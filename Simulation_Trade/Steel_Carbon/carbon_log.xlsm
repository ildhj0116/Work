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/>
  <bookViews>
    <workbookView xWindow="0" yWindow="0" windowWidth="22260" windowHeight="12645" activeTab="1"/>
  </bookViews>
  <sheets>
    <sheet name="权益" sheetId="2" r:id="rId1"/>
    <sheet name="成交记录" sheetId="1" r:id="rId2"/>
    <sheet name="Sheet1" sheetId="5" r:id="rId3"/>
    <sheet name="Sheet2" sheetId="6" r:id="rId4"/>
  </sheets>
  <functionGroups builtInGroupCount="18"/>
  <definedNames>
    <definedName name="nv">权益!#REF!:OFFSET(权益!#REF!,权益!$E$1,0)</definedName>
    <definedName name="tt">权益!#REF!:OFFSET(权益!#REF!,权益!$E$1,0)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" i="2" l="1"/>
  <c r="K4" i="1" l="1"/>
  <c r="K5" i="1"/>
  <c r="K6" i="1"/>
  <c r="K7" i="1"/>
  <c r="K8" i="1"/>
  <c r="E1" i="2" l="1"/>
  <c r="G2" i="2" l="1"/>
  <c r="G3" i="2" l="1"/>
</calcChain>
</file>

<file path=xl/sharedStrings.xml><?xml version="1.0" encoding="utf-8"?>
<sst xmlns="http://schemas.openxmlformats.org/spreadsheetml/2006/main" count="151" uniqueCount="109">
  <si>
    <t>日期</t>
    <phoneticPr fontId="1" type="noConversion"/>
  </si>
  <si>
    <t>合约</t>
    <phoneticPr fontId="1" type="noConversion"/>
  </si>
  <si>
    <t>开仓</t>
    <phoneticPr fontId="1" type="noConversion"/>
  </si>
  <si>
    <t>开仓价</t>
    <phoneticPr fontId="1" type="noConversion"/>
  </si>
  <si>
    <t>平仓盈亏</t>
    <phoneticPr fontId="1" type="noConversion"/>
  </si>
  <si>
    <t>平仓价</t>
    <phoneticPr fontId="1" type="noConversion"/>
  </si>
  <si>
    <t>Date</t>
    <phoneticPr fontId="1" type="noConversion"/>
  </si>
  <si>
    <t>Capital</t>
    <phoneticPr fontId="1" type="noConversion"/>
  </si>
  <si>
    <t>NV</t>
    <phoneticPr fontId="1" type="noConversion"/>
  </si>
  <si>
    <t>胜率</t>
  </si>
  <si>
    <t>盈亏比</t>
    <phoneticPr fontId="1" type="noConversion"/>
  </si>
  <si>
    <t>平仓日期</t>
    <phoneticPr fontId="1" type="noConversion"/>
  </si>
  <si>
    <t>开仓时间</t>
    <phoneticPr fontId="1" type="noConversion"/>
  </si>
  <si>
    <t>平仓时间</t>
    <phoneticPr fontId="1" type="noConversion"/>
  </si>
  <si>
    <t>RB1805</t>
  </si>
  <si>
    <t>TA805</t>
  </si>
  <si>
    <t>CS1805</t>
  </si>
  <si>
    <t>NI1805</t>
  </si>
  <si>
    <t>IC1803</t>
  </si>
  <si>
    <t>SF805</t>
  </si>
  <si>
    <t>BU1806</t>
  </si>
  <si>
    <t>MA805</t>
  </si>
  <si>
    <t>M1805</t>
  </si>
  <si>
    <t>HC1805</t>
  </si>
  <si>
    <t>P1805</t>
  </si>
  <si>
    <t>开仓日</t>
    <phoneticPr fontId="1" type="noConversion"/>
  </si>
  <si>
    <t>IH1803</t>
  </si>
  <si>
    <t>ZN1805</t>
  </si>
  <si>
    <t>J1805</t>
  </si>
  <si>
    <t>IF1803</t>
  </si>
  <si>
    <t>AL1805</t>
  </si>
  <si>
    <t>L1805</t>
  </si>
  <si>
    <t>M</t>
    <phoneticPr fontId="1" type="noConversion"/>
  </si>
  <si>
    <t>交易代码</t>
    <phoneticPr fontId="1" type="noConversion"/>
  </si>
  <si>
    <t>CU</t>
    <phoneticPr fontId="1" type="noConversion"/>
  </si>
  <si>
    <t>AL</t>
    <phoneticPr fontId="1" type="noConversion"/>
  </si>
  <si>
    <t>ZN</t>
    <phoneticPr fontId="1" type="noConversion"/>
  </si>
  <si>
    <t>PB</t>
    <phoneticPr fontId="1" type="noConversion"/>
  </si>
  <si>
    <t>NI</t>
    <phoneticPr fontId="1" type="noConversion"/>
  </si>
  <si>
    <t>SN</t>
    <phoneticPr fontId="1" type="noConversion"/>
  </si>
  <si>
    <t>AU</t>
    <phoneticPr fontId="1" type="noConversion"/>
  </si>
  <si>
    <t>AG</t>
    <phoneticPr fontId="1" type="noConversion"/>
  </si>
  <si>
    <t>RB</t>
    <phoneticPr fontId="1" type="noConversion"/>
  </si>
  <si>
    <t>WR</t>
    <phoneticPr fontId="1" type="noConversion"/>
  </si>
  <si>
    <t>HC</t>
    <phoneticPr fontId="1" type="noConversion"/>
  </si>
  <si>
    <t>FU</t>
    <phoneticPr fontId="1" type="noConversion"/>
  </si>
  <si>
    <t>BU</t>
    <phoneticPr fontId="1" type="noConversion"/>
  </si>
  <si>
    <t>RU</t>
    <phoneticPr fontId="1" type="noConversion"/>
  </si>
  <si>
    <t>WH</t>
    <phoneticPr fontId="1" type="noConversion"/>
  </si>
  <si>
    <t>PM</t>
    <phoneticPr fontId="1" type="noConversion"/>
  </si>
  <si>
    <t>CF</t>
    <phoneticPr fontId="1" type="noConversion"/>
  </si>
  <si>
    <t>SR</t>
    <phoneticPr fontId="1" type="noConversion"/>
  </si>
  <si>
    <t>OI</t>
    <phoneticPr fontId="1" type="noConversion"/>
  </si>
  <si>
    <t>RI</t>
    <phoneticPr fontId="1" type="noConversion"/>
  </si>
  <si>
    <t>RS</t>
    <phoneticPr fontId="1" type="noConversion"/>
  </si>
  <si>
    <t>RM</t>
    <phoneticPr fontId="1" type="noConversion"/>
  </si>
  <si>
    <t>JR</t>
    <phoneticPr fontId="1" type="noConversion"/>
  </si>
  <si>
    <t>LR</t>
    <phoneticPr fontId="1" type="noConversion"/>
  </si>
  <si>
    <t>CY</t>
    <phoneticPr fontId="1" type="noConversion"/>
  </si>
  <si>
    <t>TA</t>
    <phoneticPr fontId="1" type="noConversion"/>
  </si>
  <si>
    <t>MA</t>
    <phoneticPr fontId="1" type="noConversion"/>
  </si>
  <si>
    <t>FG</t>
    <phoneticPr fontId="1" type="noConversion"/>
  </si>
  <si>
    <t>ZC</t>
    <phoneticPr fontId="1" type="noConversion"/>
  </si>
  <si>
    <t>SF</t>
    <phoneticPr fontId="1" type="noConversion"/>
  </si>
  <si>
    <t>SM</t>
    <phoneticPr fontId="1" type="noConversion"/>
  </si>
  <si>
    <t>C</t>
    <phoneticPr fontId="1" type="noConversion"/>
  </si>
  <si>
    <t>CS</t>
    <phoneticPr fontId="1" type="noConversion"/>
  </si>
  <si>
    <t>A</t>
    <phoneticPr fontId="1" type="noConversion"/>
  </si>
  <si>
    <t>B</t>
    <phoneticPr fontId="1" type="noConversion"/>
  </si>
  <si>
    <t>Y</t>
    <phoneticPr fontId="1" type="noConversion"/>
  </si>
  <si>
    <t>P</t>
    <phoneticPr fontId="1" type="noConversion"/>
  </si>
  <si>
    <t>FB</t>
    <phoneticPr fontId="1" type="noConversion"/>
  </si>
  <si>
    <t>BB</t>
    <phoneticPr fontId="1" type="noConversion"/>
  </si>
  <si>
    <t>JD</t>
    <phoneticPr fontId="1" type="noConversion"/>
  </si>
  <si>
    <t>L</t>
    <phoneticPr fontId="1" type="noConversion"/>
  </si>
  <si>
    <t>V</t>
    <phoneticPr fontId="1" type="noConversion"/>
  </si>
  <si>
    <t>PP</t>
    <phoneticPr fontId="1" type="noConversion"/>
  </si>
  <si>
    <t>J</t>
    <phoneticPr fontId="1" type="noConversion"/>
  </si>
  <si>
    <t>JM</t>
    <phoneticPr fontId="1" type="noConversion"/>
  </si>
  <si>
    <t>I</t>
    <phoneticPr fontId="1" type="noConversion"/>
  </si>
  <si>
    <t>IF</t>
    <phoneticPr fontId="1" type="noConversion"/>
  </si>
  <si>
    <t>IC</t>
    <phoneticPr fontId="1" type="noConversion"/>
  </si>
  <si>
    <t>IH</t>
    <phoneticPr fontId="1" type="noConversion"/>
  </si>
  <si>
    <t>TF</t>
    <phoneticPr fontId="1" type="noConversion"/>
  </si>
  <si>
    <t>T</t>
    <phoneticPr fontId="1" type="noConversion"/>
  </si>
  <si>
    <t>乘数</t>
    <phoneticPr fontId="1" type="noConversion"/>
  </si>
  <si>
    <t/>
  </si>
  <si>
    <t>板块</t>
    <phoneticPr fontId="1" type="noConversion"/>
  </si>
  <si>
    <t>乘数</t>
    <phoneticPr fontId="1" type="noConversion"/>
  </si>
  <si>
    <t>CU1804</t>
  </si>
  <si>
    <t>T1806</t>
  </si>
  <si>
    <t>开仓时间</t>
    <phoneticPr fontId="1" type="noConversion"/>
  </si>
  <si>
    <t>仓位</t>
    <phoneticPr fontId="1" type="noConversion"/>
  </si>
  <si>
    <t>平仓价</t>
    <phoneticPr fontId="1" type="noConversion"/>
  </si>
  <si>
    <t>平仓日期</t>
    <phoneticPr fontId="1" type="noConversion"/>
  </si>
  <si>
    <t>有色</t>
    <phoneticPr fontId="1" type="noConversion"/>
  </si>
  <si>
    <t>化工</t>
    <phoneticPr fontId="1" type="noConversion"/>
  </si>
  <si>
    <t>黑色</t>
    <phoneticPr fontId="1" type="noConversion"/>
  </si>
  <si>
    <t>指数</t>
    <phoneticPr fontId="1" type="noConversion"/>
  </si>
  <si>
    <t>平仓时间</t>
    <phoneticPr fontId="1" type="noConversion"/>
  </si>
  <si>
    <t>平仓盈亏</t>
    <phoneticPr fontId="1" type="noConversion"/>
  </si>
  <si>
    <t>农产</t>
    <phoneticPr fontId="1" type="noConversion"/>
  </si>
  <si>
    <t>国债</t>
    <phoneticPr fontId="1" type="noConversion"/>
  </si>
  <si>
    <t>指数</t>
    <phoneticPr fontId="1" type="noConversion"/>
  </si>
  <si>
    <t>策略</t>
    <phoneticPr fontId="1" type="noConversion"/>
  </si>
  <si>
    <t>做多焦化利润：多2手J，空5手JM;</t>
    <phoneticPr fontId="1" type="noConversion"/>
  </si>
  <si>
    <t>J1809</t>
    <phoneticPr fontId="1" type="noConversion"/>
  </si>
  <si>
    <t>做空焦化</t>
    <phoneticPr fontId="1" type="noConversion"/>
  </si>
  <si>
    <t>JM1809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</si>
</sst>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3" formatCode="_ * #,##0.00_ ;_ * \-#,##0.00_ ;_ * &quot;-&quot;??_ ;_ @_ "/>
    <numFmt numFmtId="176" formatCode="0.0%"/>
    <numFmt numFmtId="177" formatCode="0.00_);[Red]\(0.00\)"/>
    <numFmt numFmtId="178" formatCode="_ * #,##0_ ;_ * \-#,##0_ ;_ * &quot;-&quot;??_ ;_ @_ "/>
    <numFmt numFmtId="179" formatCode="0_ "/>
  </numFmts>
  <fonts count="9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等线"/>
      <family val="2"/>
      <scheme val="minor"/>
    </font>
    <font>
      <sz val="11"/>
      <color theme="0"/>
      <name val="等线"/>
      <family val="2"/>
      <scheme val="minor"/>
    </font>
    <font>
      <sz val="11"/>
      <color rgb="FFFF0000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11"/>
      <color rgb="FFFF000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000000"/>
      <name val="等线"/>
      <family val="3"/>
      <charset val="134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</cellStyleXfs>
  <cellXfs count="41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0" fillId="0" borderId="1" xfId="0" applyBorder="1"/>
    <xf numFmtId="0" fontId="3" fillId="0" borderId="0" xfId="0" applyFont="1" applyAlignment="1">
      <alignment horizontal="center"/>
    </xf>
    <xf numFmtId="9" fontId="0" fillId="0" borderId="0" xfId="1" applyFont="1" applyAlignment="1"/>
    <xf numFmtId="9" fontId="0" fillId="0" borderId="0" xfId="1" applyNumberFormat="1" applyFont="1" applyAlignment="1"/>
    <xf numFmtId="0" fontId="4" fillId="0" borderId="0" xfId="0" applyFont="1"/>
    <xf numFmtId="0" fontId="0" fillId="0" borderId="0" xfId="0" applyBorder="1" applyAlignment="1">
      <alignment horizontal="center"/>
    </xf>
    <xf numFmtId="177" fontId="0" fillId="0" borderId="0" xfId="1" applyNumberFormat="1" applyFont="1" applyAlignment="1"/>
    <xf numFmtId="0" fontId="0" fillId="0" borderId="0" xfId="0" applyFill="1" applyBorder="1" applyAlignment="1">
      <alignment horizontal="center"/>
    </xf>
    <xf numFmtId="176" fontId="0" fillId="0" borderId="0" xfId="1" applyNumberFormat="1" applyFont="1" applyAlignment="1">
      <alignment horizontal="center"/>
    </xf>
    <xf numFmtId="14" fontId="0" fillId="0" borderId="1" xfId="0" applyNumberFormat="1" applyBorder="1" applyAlignment="1">
      <alignment horizontal="center"/>
    </xf>
    <xf numFmtId="176" fontId="0" fillId="0" borderId="0" xfId="1" applyNumberFormat="1" applyFont="1" applyBorder="1" applyAlignment="1">
      <alignment horizontal="center"/>
    </xf>
    <xf numFmtId="14" fontId="0" fillId="0" borderId="0" xfId="0" applyNumberFormat="1" applyBorder="1" applyAlignment="1">
      <alignment horizontal="center"/>
    </xf>
    <xf numFmtId="0" fontId="0" fillId="0" borderId="0" xfId="0" applyBorder="1"/>
    <xf numFmtId="178" fontId="0" fillId="0" borderId="0" xfId="2" applyNumberFormat="1" applyFont="1" applyAlignment="1">
      <alignment horizontal="center"/>
    </xf>
    <xf numFmtId="178" fontId="0" fillId="0" borderId="0" xfId="2" applyNumberFormat="1" applyFont="1" applyAlignment="1"/>
    <xf numFmtId="20" fontId="0" fillId="0" borderId="0" xfId="0" applyNumberFormat="1" applyAlignment="1">
      <alignment horizontal="center"/>
    </xf>
    <xf numFmtId="20" fontId="0" fillId="0" borderId="0" xfId="0" applyNumberFormat="1" applyBorder="1" applyAlignment="1">
      <alignment horizontal="center"/>
    </xf>
    <xf numFmtId="178" fontId="0" fillId="0" borderId="1" xfId="2" applyNumberFormat="1" applyFont="1" applyBorder="1" applyAlignment="1"/>
    <xf numFmtId="179" fontId="0" fillId="0" borderId="0" xfId="0" applyNumberFormat="1"/>
    <xf numFmtId="49" fontId="0" fillId="0" borderId="0" xfId="0" applyNumberFormat="1"/>
    <xf numFmtId="0" fontId="0" fillId="0" borderId="1" xfId="0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5" fillId="0" borderId="1" xfId="0" applyFont="1" applyBorder="1"/>
    <xf numFmtId="0" fontId="6" fillId="0" borderId="1" xfId="0" applyFont="1" applyBorder="1"/>
    <xf numFmtId="0" fontId="0" fillId="0" borderId="0" xfId="0" applyFont="1" applyBorder="1" applyAlignment="1">
      <alignment horizontal="center"/>
    </xf>
    <xf numFmtId="0" fontId="0" fillId="0" borderId="0" xfId="0" applyNumberFormat="1"/>
    <xf numFmtId="176" fontId="7" fillId="0" borderId="0" xfId="1" applyNumberFormat="1" applyFont="1" applyBorder="1" applyAlignment="1">
      <alignment horizontal="center"/>
    </xf>
    <xf numFmtId="0" fontId="7" fillId="0" borderId="0" xfId="0" applyFont="1" applyBorder="1" applyAlignment="1">
      <alignment horizontal="center"/>
    </xf>
    <xf numFmtId="0" fontId="7" fillId="0" borderId="0" xfId="0" applyFont="1" applyBorder="1"/>
    <xf numFmtId="0" fontId="7" fillId="0" borderId="0" xfId="0" applyFont="1" applyFill="1" applyBorder="1" applyAlignment="1">
      <alignment horizontal="center"/>
    </xf>
    <xf numFmtId="14" fontId="7" fillId="0" borderId="0" xfId="0" applyNumberFormat="1" applyFont="1" applyBorder="1" applyAlignment="1">
      <alignment horizontal="center"/>
    </xf>
    <xf numFmtId="0" fontId="7" fillId="0" borderId="0" xfId="0" applyFont="1" applyFill="1" applyBorder="1"/>
    <xf numFmtId="0" fontId="8" fillId="0" borderId="0" xfId="0" applyFont="1" applyBorder="1" applyAlignment="1">
      <alignment horizontal="center" wrapText="1" readingOrder="1"/>
    </xf>
    <xf numFmtId="14" fontId="8" fillId="0" borderId="0" xfId="0" applyNumberFormat="1" applyFont="1" applyBorder="1" applyAlignment="1">
      <alignment horizontal="center" wrapText="1" readingOrder="1"/>
    </xf>
    <xf numFmtId="10" fontId="8" fillId="0" borderId="0" xfId="0" applyNumberFormat="1" applyFont="1" applyBorder="1" applyAlignment="1">
      <alignment horizontal="center" wrapText="1" readingOrder="1"/>
    </xf>
    <xf numFmtId="176" fontId="5" fillId="0" borderId="0" xfId="1" applyNumberFormat="1" applyFont="1" applyBorder="1" applyAlignment="1">
      <alignment horizontal="center"/>
    </xf>
    <xf numFmtId="0" fontId="5" fillId="0" borderId="0" xfId="1" applyNumberFormat="1" applyFont="1" applyBorder="1" applyAlignment="1">
      <alignment horizontal="center"/>
    </xf>
    <xf numFmtId="0" fontId="4" fillId="0" borderId="0" xfId="0" applyFont="1" applyAlignment="1">
      <alignment horizontal="left"/>
    </xf>
  </cellXfs>
  <cellStyles count="3">
    <cellStyle name="百分比" xfId="1" builtinId="5"/>
    <cellStyle name="常规" xfId="0" builtinId="0"/>
    <cellStyle name="千位分隔" xfId="2" builtinId="3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73"/>
  <sheetViews>
    <sheetView workbookViewId="0">
      <pane ySplit="1" topLeftCell="A2" activePane="bottomLeft" state="frozen"/>
      <selection pane="bottomLeft" activeCell="G9" sqref="G9"/>
    </sheetView>
  </sheetViews>
  <sheetFormatPr defaultRowHeight="13.5"/>
  <cols>
    <col min="1" max="1" width="12.75" style="1" customWidth="1"/>
    <col min="2" max="2" width="18.375" style="17" bestFit="1" customWidth="1"/>
    <col min="3" max="3" width="11.125" customWidth="1"/>
    <col min="5" max="5" width="5.5" customWidth="1"/>
    <col min="7" max="7" width="8" customWidth="1"/>
    <col min="8" max="9" width="5.75" customWidth="1"/>
  </cols>
  <sheetData>
    <row r="1" spans="1:9">
      <c r="A1" s="1" t="s">
        <v>6</v>
      </c>
      <c r="B1" s="16" t="s">
        <v>7</v>
      </c>
      <c r="C1" s="1" t="s">
        <v>8</v>
      </c>
      <c r="E1" s="4">
        <f>COUNTA(C3:C9886)</f>
        <v>1</v>
      </c>
      <c r="I1" s="5"/>
    </row>
    <row r="2" spans="1:9">
      <c r="A2" s="2">
        <v>43214</v>
      </c>
      <c r="B2" s="17">
        <v>10000000</v>
      </c>
      <c r="C2">
        <v>1</v>
      </c>
      <c r="F2" t="s">
        <v>9</v>
      </c>
      <c r="G2" s="6" t="e">
        <f>成交记录!#REF!/成交记录!#REF!</f>
        <v>#REF!</v>
      </c>
    </row>
    <row r="3" spans="1:9">
      <c r="A3" s="2">
        <v>43215</v>
      </c>
      <c r="B3" s="17">
        <v>9997000</v>
      </c>
      <c r="C3">
        <f>B3/$B$2</f>
        <v>0.99970000000000003</v>
      </c>
      <c r="F3" t="s">
        <v>10</v>
      </c>
      <c r="G3" s="9" t="e">
        <f>成交记录!O1/成交记录!P1</f>
        <v>#DIV/0!</v>
      </c>
    </row>
    <row r="4" spans="1:9">
      <c r="A4" s="2">
        <v>43216</v>
      </c>
    </row>
    <row r="5" spans="1:9">
      <c r="A5" s="12">
        <v>43217</v>
      </c>
      <c r="B5" s="20"/>
      <c r="C5" s="3"/>
    </row>
    <row r="6" spans="1:9">
      <c r="A6" s="2">
        <v>43222</v>
      </c>
    </row>
    <row r="66" spans="4:4">
      <c r="D66" s="15"/>
    </row>
    <row r="67" spans="4:4">
      <c r="D67" s="15"/>
    </row>
    <row r="68" spans="4:4">
      <c r="D68" s="15"/>
    </row>
    <row r="69" spans="4:4">
      <c r="D69" s="15"/>
    </row>
    <row r="70" spans="4:4">
      <c r="D70" s="15"/>
    </row>
    <row r="71" spans="4:4">
      <c r="D71" s="15"/>
    </row>
    <row r="72" spans="4:4">
      <c r="D72" s="15"/>
    </row>
    <row r="73" spans="4:4">
      <c r="D73" s="15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Q8"/>
  <sheetViews>
    <sheetView tabSelected="1" workbookViewId="0">
      <pane ySplit="1" topLeftCell="A2" activePane="bottomLeft" state="frozen"/>
      <selection pane="bottomLeft" activeCell="G7" sqref="G7"/>
    </sheetView>
  </sheetViews>
  <sheetFormatPr defaultRowHeight="13.5"/>
  <cols>
    <col min="1" max="2" width="10.375" style="1" customWidth="1"/>
    <col min="3" max="3" width="9.375" style="1" customWidth="1"/>
    <col min="4" max="4" width="7" style="1" customWidth="1"/>
    <col min="5" max="5" width="9.875" style="1" customWidth="1"/>
    <col min="6" max="6" width="11.375" style="1" customWidth="1"/>
    <col min="7" max="7" width="8.875" style="1" customWidth="1"/>
    <col min="8" max="8" width="7.25" style="1" customWidth="1"/>
    <col min="9" max="9" width="11.375" style="1" customWidth="1"/>
    <col min="10" max="10" width="7.5" style="1" customWidth="1"/>
    <col min="11" max="11" width="10.5" style="1" bestFit="1" customWidth="1"/>
    <col min="12" max="12" width="2.75" customWidth="1"/>
  </cols>
  <sheetData>
    <row r="1" spans="1:17" s="25" customFormat="1">
      <c r="A1" s="23" t="s">
        <v>0</v>
      </c>
      <c r="B1" s="23" t="s">
        <v>104</v>
      </c>
      <c r="C1" s="23" t="s">
        <v>1</v>
      </c>
      <c r="D1" s="23" t="s">
        <v>2</v>
      </c>
      <c r="E1" s="23" t="s">
        <v>3</v>
      </c>
      <c r="F1" s="23" t="s">
        <v>25</v>
      </c>
      <c r="G1" s="23" t="s">
        <v>12</v>
      </c>
      <c r="H1" s="23" t="s">
        <v>5</v>
      </c>
      <c r="I1" s="23" t="s">
        <v>11</v>
      </c>
      <c r="J1" s="24" t="s">
        <v>13</v>
      </c>
      <c r="K1" s="24" t="s">
        <v>4</v>
      </c>
      <c r="M1" s="7" t="s">
        <v>105</v>
      </c>
      <c r="N1" s="26"/>
      <c r="O1" s="26"/>
      <c r="P1" s="26"/>
      <c r="Q1" s="40"/>
    </row>
    <row r="2" spans="1:17">
      <c r="A2" s="2">
        <v>43216</v>
      </c>
      <c r="B2" s="1" t="s">
        <v>107</v>
      </c>
      <c r="C2" s="1" t="s">
        <v>106</v>
      </c>
      <c r="D2" s="1">
        <v>-2</v>
      </c>
      <c r="F2" s="2"/>
      <c r="G2" s="18"/>
      <c r="I2" s="2"/>
      <c r="J2" s="2"/>
      <c r="K2" s="10"/>
      <c r="M2" s="7"/>
      <c r="N2" s="7"/>
      <c r="P2" s="7"/>
      <c r="Q2" s="7"/>
    </row>
    <row r="3" spans="1:17">
      <c r="C3" s="1" t="s">
        <v>108</v>
      </c>
      <c r="D3" s="1">
        <v>5</v>
      </c>
      <c r="F3" s="2"/>
      <c r="G3" s="18"/>
      <c r="I3" s="2"/>
      <c r="J3" s="2"/>
      <c r="K3" s="10"/>
      <c r="M3" s="7"/>
      <c r="N3" s="7"/>
      <c r="P3" s="7"/>
      <c r="Q3" s="7"/>
    </row>
    <row r="4" spans="1:17">
      <c r="K4" s="10" t="str">
        <f>IF(H4="","",#REF!*(H4-#REF!)*#REF!)</f>
        <v/>
      </c>
      <c r="N4" s="7"/>
    </row>
    <row r="5" spans="1:17">
      <c r="K5" s="10" t="str">
        <f>IF(H5="","",D2*(H5-E2)*#REF!)</f>
        <v/>
      </c>
      <c r="N5" s="7"/>
    </row>
    <row r="6" spans="1:17">
      <c r="K6" s="10" t="str">
        <f>IF(H6="","",D3*(H6-E3)*#REF!)</f>
        <v/>
      </c>
      <c r="N6" s="7"/>
    </row>
    <row r="7" spans="1:17">
      <c r="K7" s="10" t="str">
        <f>IF(H7="","",D4*(H7-E4)*#REF!)</f>
        <v/>
      </c>
      <c r="N7" s="7"/>
    </row>
    <row r="8" spans="1:17">
      <c r="K8" s="10" t="str">
        <f>IF(H8="","",D5*(H8-E5)*#REF!)</f>
        <v/>
      </c>
      <c r="N8" s="7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L91"/>
  <sheetViews>
    <sheetView workbookViewId="0">
      <pane ySplit="1" topLeftCell="A2" activePane="bottomLeft" state="frozen"/>
      <selection pane="bottomLeft" sqref="A1:J33"/>
    </sheetView>
  </sheetViews>
  <sheetFormatPr defaultRowHeight="13.5"/>
  <cols>
    <col min="2" max="3" width="9.125" bestFit="1" customWidth="1"/>
    <col min="4" max="4" width="10.625" bestFit="1" customWidth="1"/>
    <col min="5" max="5" width="9.125" bestFit="1" customWidth="1"/>
    <col min="6" max="6" width="10.5" style="28" customWidth="1"/>
    <col min="7" max="7" width="10.625" bestFit="1" customWidth="1"/>
    <col min="8" max="8" width="13.125" bestFit="1" customWidth="1"/>
    <col min="9" max="9" width="11" customWidth="1"/>
    <col min="10" max="10" width="9.25" customWidth="1"/>
    <col min="12" max="12" width="9.125" bestFit="1" customWidth="1"/>
  </cols>
  <sheetData>
    <row r="1" spans="1:12">
      <c r="A1" s="27" t="s">
        <v>1</v>
      </c>
      <c r="B1" s="27" t="s">
        <v>2</v>
      </c>
      <c r="C1" s="27" t="s">
        <v>3</v>
      </c>
      <c r="D1" s="27" t="s">
        <v>25</v>
      </c>
      <c r="E1" s="38" t="s">
        <v>91</v>
      </c>
      <c r="F1" s="39" t="s">
        <v>92</v>
      </c>
      <c r="G1" s="27" t="s">
        <v>93</v>
      </c>
      <c r="H1" s="24" t="s">
        <v>94</v>
      </c>
      <c r="I1" s="24" t="s">
        <v>99</v>
      </c>
      <c r="J1" s="27" t="s">
        <v>100</v>
      </c>
      <c r="K1" s="32" t="s">
        <v>87</v>
      </c>
      <c r="L1" s="32" t="s">
        <v>88</v>
      </c>
    </row>
    <row r="2" spans="1:12">
      <c r="A2" s="8" t="s">
        <v>14</v>
      </c>
      <c r="B2" s="8">
        <v>49</v>
      </c>
      <c r="C2" s="8">
        <v>4018</v>
      </c>
      <c r="D2" s="14">
        <v>43161</v>
      </c>
      <c r="E2" s="19">
        <v>0.88611111111111107</v>
      </c>
      <c r="F2" s="13">
        <v>3.1E-2</v>
      </c>
      <c r="G2" s="8">
        <v>3980</v>
      </c>
      <c r="H2" s="14">
        <v>43164</v>
      </c>
      <c r="I2" s="19">
        <v>0.38194444444444442</v>
      </c>
      <c r="J2" s="10">
        <v>-18620</v>
      </c>
      <c r="K2" t="s">
        <v>97</v>
      </c>
    </row>
    <row r="3" spans="1:12">
      <c r="A3" s="8" t="s">
        <v>22</v>
      </c>
      <c r="B3" s="8">
        <v>36</v>
      </c>
      <c r="C3" s="8">
        <v>3146</v>
      </c>
      <c r="D3" s="14">
        <v>43166</v>
      </c>
      <c r="E3" s="19">
        <v>0.56597222222222221</v>
      </c>
      <c r="F3" s="13">
        <v>1.7999999999999999E-2</v>
      </c>
      <c r="G3" s="8">
        <v>3100</v>
      </c>
      <c r="H3" s="14">
        <v>43167</v>
      </c>
      <c r="I3" s="19">
        <v>0.38194444444444442</v>
      </c>
      <c r="J3" s="10">
        <v>-16560</v>
      </c>
      <c r="K3" t="s">
        <v>101</v>
      </c>
    </row>
    <row r="4" spans="1:12">
      <c r="A4" s="8" t="s">
        <v>17</v>
      </c>
      <c r="B4" s="8">
        <v>-15</v>
      </c>
      <c r="C4" s="8">
        <v>100240</v>
      </c>
      <c r="D4" s="14">
        <v>43168</v>
      </c>
      <c r="E4" s="19">
        <v>0.62013888888888891</v>
      </c>
      <c r="F4" s="13">
        <v>2.4E-2</v>
      </c>
      <c r="G4" s="8">
        <v>101240</v>
      </c>
      <c r="H4" s="14">
        <v>43168</v>
      </c>
      <c r="I4" s="19">
        <v>0.93472222222222223</v>
      </c>
      <c r="J4" s="10">
        <v>-15000</v>
      </c>
      <c r="K4" t="s">
        <v>95</v>
      </c>
    </row>
    <row r="5" spans="1:12">
      <c r="A5" s="8" t="s">
        <v>20</v>
      </c>
      <c r="B5" s="8">
        <v>-40</v>
      </c>
      <c r="C5" s="8">
        <v>2706</v>
      </c>
      <c r="D5" s="14">
        <v>43168</v>
      </c>
      <c r="E5" s="19">
        <v>0.57638888888888895</v>
      </c>
      <c r="F5" s="13">
        <v>1.7000000000000001E-2</v>
      </c>
      <c r="G5" s="8">
        <v>2740</v>
      </c>
      <c r="H5" s="14">
        <v>43171</v>
      </c>
      <c r="I5" s="19">
        <v>0.375</v>
      </c>
      <c r="J5" s="10">
        <v>-13600</v>
      </c>
      <c r="K5" t="s">
        <v>96</v>
      </c>
    </row>
    <row r="6" spans="1:12">
      <c r="A6" s="8" t="s">
        <v>23</v>
      </c>
      <c r="B6" s="8">
        <v>36</v>
      </c>
      <c r="C6" s="8">
        <v>4106</v>
      </c>
      <c r="D6" s="14">
        <v>43161</v>
      </c>
      <c r="E6" s="19">
        <v>0.88611111111111107</v>
      </c>
      <c r="F6" s="13">
        <v>2.3E-2</v>
      </c>
      <c r="G6" s="8">
        <v>4069</v>
      </c>
      <c r="H6" s="14">
        <v>43164</v>
      </c>
      <c r="I6" s="19">
        <v>0.38194444444444442</v>
      </c>
      <c r="J6" s="10">
        <v>-13320</v>
      </c>
      <c r="K6" t="s">
        <v>97</v>
      </c>
    </row>
    <row r="7" spans="1:12">
      <c r="A7" s="8" t="s">
        <v>30</v>
      </c>
      <c r="B7" s="8">
        <v>-20</v>
      </c>
      <c r="C7" s="8">
        <v>14075</v>
      </c>
      <c r="D7" s="14">
        <v>43168</v>
      </c>
      <c r="E7" s="19">
        <v>0.62013888888888891</v>
      </c>
      <c r="F7" s="13">
        <v>2.1999999999999999E-2</v>
      </c>
      <c r="G7" s="8">
        <v>14185</v>
      </c>
      <c r="H7" s="14">
        <v>43171</v>
      </c>
      <c r="I7" s="19">
        <v>0.38125000000000003</v>
      </c>
      <c r="J7" s="10">
        <v>-11000</v>
      </c>
      <c r="K7" t="s">
        <v>95</v>
      </c>
    </row>
    <row r="8" spans="1:12">
      <c r="A8" s="8" t="s">
        <v>28</v>
      </c>
      <c r="B8" s="8">
        <v>-12</v>
      </c>
      <c r="C8" s="8">
        <v>2059</v>
      </c>
      <c r="D8" s="14">
        <v>43168</v>
      </c>
      <c r="E8" s="19">
        <v>0.46319444444444446</v>
      </c>
      <c r="F8" s="13">
        <v>3.9E-2</v>
      </c>
      <c r="G8" s="8">
        <v>2068</v>
      </c>
      <c r="H8" s="14">
        <v>43168</v>
      </c>
      <c r="I8" s="19">
        <v>0.96875</v>
      </c>
      <c r="J8" s="10">
        <v>-10800</v>
      </c>
      <c r="K8" t="s">
        <v>97</v>
      </c>
    </row>
    <row r="9" spans="1:12">
      <c r="A9" s="8" t="s">
        <v>18</v>
      </c>
      <c r="B9" s="8">
        <v>1</v>
      </c>
      <c r="C9" s="8">
        <v>6040</v>
      </c>
      <c r="D9" s="14">
        <v>43164</v>
      </c>
      <c r="E9" s="19">
        <v>0.42430555555555555</v>
      </c>
      <c r="F9" s="13">
        <v>1.4E-2</v>
      </c>
      <c r="G9" s="8">
        <v>5986.2</v>
      </c>
      <c r="H9" s="14">
        <v>43164</v>
      </c>
      <c r="I9" s="19">
        <v>0.56736111111111109</v>
      </c>
      <c r="J9" s="10">
        <v>-10760.000000000036</v>
      </c>
      <c r="K9" t="s">
        <v>98</v>
      </c>
    </row>
    <row r="10" spans="1:12">
      <c r="A10" s="8" t="s">
        <v>17</v>
      </c>
      <c r="B10" s="8">
        <v>-15</v>
      </c>
      <c r="C10" s="8">
        <v>101930</v>
      </c>
      <c r="D10" s="14">
        <v>43164</v>
      </c>
      <c r="E10" s="19">
        <v>0.88263888888888886</v>
      </c>
      <c r="F10" s="13">
        <v>2.4E-2</v>
      </c>
      <c r="G10" s="8">
        <v>102620</v>
      </c>
      <c r="H10" s="14">
        <v>43165</v>
      </c>
      <c r="I10" s="19">
        <v>0.58958333333333335</v>
      </c>
      <c r="J10" s="10">
        <v>-10350</v>
      </c>
      <c r="K10" t="s">
        <v>95</v>
      </c>
    </row>
    <row r="11" spans="1:12">
      <c r="A11" s="8" t="s">
        <v>21</v>
      </c>
      <c r="B11" s="8">
        <v>-40</v>
      </c>
      <c r="C11" s="8">
        <v>2654</v>
      </c>
      <c r="D11" s="14">
        <v>43166</v>
      </c>
      <c r="E11" s="19">
        <v>0.40972222222222227</v>
      </c>
      <c r="F11" s="13">
        <v>1.7000000000000001E-2</v>
      </c>
      <c r="G11" s="8">
        <v>2679</v>
      </c>
      <c r="H11" s="14">
        <v>43166</v>
      </c>
      <c r="I11" s="19">
        <v>0.61805555555555558</v>
      </c>
      <c r="J11" s="10">
        <v>-10000</v>
      </c>
      <c r="K11" t="s">
        <v>96</v>
      </c>
    </row>
    <row r="12" spans="1:12">
      <c r="A12" s="8" t="s">
        <v>18</v>
      </c>
      <c r="B12" s="8">
        <v>1</v>
      </c>
      <c r="C12" s="8">
        <v>6101.6</v>
      </c>
      <c r="D12" s="14">
        <v>43166</v>
      </c>
      <c r="E12" s="19">
        <v>0.37847222222222227</v>
      </c>
      <c r="F12" s="13">
        <v>1.4E-2</v>
      </c>
      <c r="G12" s="8">
        <v>6057.4</v>
      </c>
      <c r="H12" s="14">
        <v>43167</v>
      </c>
      <c r="I12" s="19">
        <v>0.4201388888888889</v>
      </c>
      <c r="J12" s="10">
        <v>-8840.0000000001455</v>
      </c>
      <c r="K12" t="s">
        <v>98</v>
      </c>
    </row>
    <row r="13" spans="1:12">
      <c r="A13" s="8" t="s">
        <v>20</v>
      </c>
      <c r="B13" s="8">
        <v>-40</v>
      </c>
      <c r="C13" s="8">
        <v>2710</v>
      </c>
      <c r="D13" s="14">
        <v>43166</v>
      </c>
      <c r="E13" s="19">
        <v>0.40972222222222227</v>
      </c>
      <c r="F13" s="13">
        <v>1.7000000000000001E-2</v>
      </c>
      <c r="G13" s="8">
        <v>2728</v>
      </c>
      <c r="H13" s="14">
        <v>43166</v>
      </c>
      <c r="I13" s="19">
        <v>0.93333333333333324</v>
      </c>
      <c r="J13" s="10">
        <v>-7200</v>
      </c>
      <c r="K13" t="s">
        <v>96</v>
      </c>
    </row>
    <row r="14" spans="1:12">
      <c r="A14" s="8" t="s">
        <v>26</v>
      </c>
      <c r="B14" s="8">
        <v>-1</v>
      </c>
      <c r="C14" s="8">
        <v>2858.6</v>
      </c>
      <c r="D14" s="14">
        <v>43164</v>
      </c>
      <c r="E14" s="19">
        <v>0.56736111111111109</v>
      </c>
      <c r="F14" s="13">
        <v>1.2999999999999999E-2</v>
      </c>
      <c r="G14" s="8">
        <v>2879</v>
      </c>
      <c r="H14" s="14">
        <v>43165</v>
      </c>
      <c r="I14" s="19">
        <v>0.56597222222222221</v>
      </c>
      <c r="J14" s="10">
        <v>-6120.0000000000273</v>
      </c>
      <c r="K14" t="s">
        <v>98</v>
      </c>
    </row>
    <row r="15" spans="1:12">
      <c r="A15" s="8" t="s">
        <v>26</v>
      </c>
      <c r="B15" s="8">
        <v>-1</v>
      </c>
      <c r="C15" s="8">
        <v>2870.2</v>
      </c>
      <c r="D15" s="14">
        <v>43166</v>
      </c>
      <c r="E15" s="19">
        <v>0.61805555555555558</v>
      </c>
      <c r="F15" s="13">
        <v>1.2999999999999999E-2</v>
      </c>
      <c r="G15" s="8">
        <v>2885.2</v>
      </c>
      <c r="H15" s="14">
        <v>43167</v>
      </c>
      <c r="I15" s="19">
        <v>0.4604166666666667</v>
      </c>
      <c r="J15" s="10">
        <v>-4500</v>
      </c>
      <c r="K15" t="s">
        <v>98</v>
      </c>
    </row>
    <row r="16" spans="1:12">
      <c r="A16" s="1" t="s">
        <v>26</v>
      </c>
      <c r="B16" s="1">
        <v>-1</v>
      </c>
      <c r="C16" s="1">
        <v>2857</v>
      </c>
      <c r="D16" s="2">
        <v>43161</v>
      </c>
      <c r="E16" s="18">
        <v>0.42569444444444443</v>
      </c>
      <c r="F16" s="11">
        <v>1.2999999999999999E-2</v>
      </c>
      <c r="G16" s="1">
        <v>2866.4</v>
      </c>
      <c r="H16" s="2">
        <v>43161</v>
      </c>
      <c r="I16" s="18">
        <v>0.42222222222222222</v>
      </c>
      <c r="J16" s="10">
        <v>-2820.0000000000273</v>
      </c>
      <c r="K16" t="s">
        <v>103</v>
      </c>
    </row>
    <row r="17" spans="1:11">
      <c r="A17" s="1" t="s">
        <v>15</v>
      </c>
      <c r="B17" s="1">
        <v>9</v>
      </c>
      <c r="C17" s="1">
        <v>5838</v>
      </c>
      <c r="D17" s="2">
        <v>43157</v>
      </c>
      <c r="E17" s="18">
        <v>0.37986111111111115</v>
      </c>
      <c r="F17" s="11">
        <v>1.2E-2</v>
      </c>
      <c r="G17" s="1">
        <v>5788</v>
      </c>
      <c r="H17" s="2">
        <v>43164</v>
      </c>
      <c r="I17" s="18">
        <v>0.58819444444444446</v>
      </c>
      <c r="J17" s="10">
        <v>-2250</v>
      </c>
      <c r="K17" t="s">
        <v>96</v>
      </c>
    </row>
    <row r="18" spans="1:11">
      <c r="A18" s="8" t="s">
        <v>89</v>
      </c>
      <c r="B18" s="8">
        <v>-5</v>
      </c>
      <c r="C18" s="8">
        <v>52090</v>
      </c>
      <c r="D18" s="14">
        <v>43164</v>
      </c>
      <c r="E18" s="19">
        <v>0.42430555555555555</v>
      </c>
      <c r="F18" s="13">
        <v>1.9E-2</v>
      </c>
      <c r="G18" s="8">
        <v>52180</v>
      </c>
      <c r="H18" s="14">
        <v>43165</v>
      </c>
      <c r="I18" s="19">
        <v>0.37986111111111115</v>
      </c>
      <c r="J18" s="10">
        <v>-2250</v>
      </c>
      <c r="K18" t="s">
        <v>95</v>
      </c>
    </row>
    <row r="19" spans="1:11">
      <c r="A19" s="8" t="s">
        <v>17</v>
      </c>
      <c r="B19" s="8">
        <v>-15</v>
      </c>
      <c r="C19" s="8">
        <v>102450</v>
      </c>
      <c r="D19" s="14">
        <v>43166</v>
      </c>
      <c r="E19" s="19">
        <v>0.56597222222222221</v>
      </c>
      <c r="F19" s="13">
        <v>2.4E-2</v>
      </c>
      <c r="G19" s="8">
        <v>102550</v>
      </c>
      <c r="H19" s="14">
        <v>43167</v>
      </c>
      <c r="I19" s="19">
        <v>0.38194444444444442</v>
      </c>
      <c r="J19" s="10">
        <v>-1500</v>
      </c>
      <c r="K19" t="s">
        <v>95</v>
      </c>
    </row>
    <row r="20" spans="1:11">
      <c r="A20" s="8" t="s">
        <v>17</v>
      </c>
      <c r="B20" s="8">
        <v>-15</v>
      </c>
      <c r="C20" s="8">
        <v>102650</v>
      </c>
      <c r="D20" s="14">
        <v>43166</v>
      </c>
      <c r="E20" s="19">
        <v>0.4236111111111111</v>
      </c>
      <c r="F20" s="13">
        <v>2.4E-2</v>
      </c>
      <c r="G20" s="8">
        <v>102690</v>
      </c>
      <c r="H20" s="14">
        <v>43166</v>
      </c>
      <c r="I20" s="19">
        <v>0.46527777777777773</v>
      </c>
      <c r="J20" s="10">
        <v>-600</v>
      </c>
      <c r="K20" t="s">
        <v>95</v>
      </c>
    </row>
    <row r="21" spans="1:11">
      <c r="A21" s="8" t="s">
        <v>90</v>
      </c>
      <c r="B21" s="8">
        <v>-1</v>
      </c>
      <c r="C21" s="8">
        <v>92.54</v>
      </c>
      <c r="D21" s="14">
        <v>43164</v>
      </c>
      <c r="E21" s="19">
        <v>0.42430555555555555</v>
      </c>
      <c r="F21" s="13">
        <v>1.4999999999999999E-2</v>
      </c>
      <c r="G21" s="8">
        <v>92.55</v>
      </c>
      <c r="H21" s="14">
        <v>43164</v>
      </c>
      <c r="I21" s="19">
        <v>0.56736111111111109</v>
      </c>
      <c r="J21" s="10">
        <v>-99.999999999909051</v>
      </c>
      <c r="K21" t="s">
        <v>102</v>
      </c>
    </row>
    <row r="22" spans="1:11">
      <c r="A22" s="8" t="s">
        <v>19</v>
      </c>
      <c r="B22" s="8">
        <v>-2</v>
      </c>
      <c r="C22" s="8">
        <v>6460</v>
      </c>
      <c r="D22" s="14">
        <v>43164</v>
      </c>
      <c r="E22" s="19">
        <v>0.56805555555555554</v>
      </c>
      <c r="F22" s="13">
        <v>1E-3</v>
      </c>
      <c r="G22" s="8">
        <v>6308</v>
      </c>
      <c r="H22" s="14">
        <v>43167</v>
      </c>
      <c r="I22" s="19">
        <v>0.59027777777777779</v>
      </c>
      <c r="J22" s="10">
        <v>1520</v>
      </c>
      <c r="K22" t="s">
        <v>97</v>
      </c>
    </row>
    <row r="23" spans="1:11">
      <c r="A23" s="8" t="s">
        <v>16</v>
      </c>
      <c r="B23" s="8">
        <v>20</v>
      </c>
      <c r="C23" s="8">
        <v>2181</v>
      </c>
      <c r="D23" s="14">
        <v>43161</v>
      </c>
      <c r="E23" s="19">
        <v>0.46458333333333335</v>
      </c>
      <c r="F23" s="13">
        <v>2.1999999999999999E-2</v>
      </c>
      <c r="G23" s="8">
        <v>2197</v>
      </c>
      <c r="H23" s="14">
        <v>43165</v>
      </c>
      <c r="I23" s="19">
        <v>0.58958333333333335</v>
      </c>
      <c r="J23" s="10">
        <v>3200</v>
      </c>
      <c r="K23" t="s">
        <v>101</v>
      </c>
    </row>
    <row r="24" spans="1:11">
      <c r="A24" s="8" t="s">
        <v>24</v>
      </c>
      <c r="B24" s="8">
        <v>-11</v>
      </c>
      <c r="C24" s="8">
        <v>5144</v>
      </c>
      <c r="D24" s="14">
        <v>43167</v>
      </c>
      <c r="E24" s="19">
        <v>0.41944444444444445</v>
      </c>
      <c r="F24" s="13">
        <v>8.9999999999999993E-3</v>
      </c>
      <c r="G24" s="8">
        <v>5102</v>
      </c>
      <c r="H24" s="14">
        <v>43171</v>
      </c>
      <c r="I24" s="19">
        <v>0.38125000000000003</v>
      </c>
      <c r="J24" s="10">
        <v>4620</v>
      </c>
      <c r="K24" t="s">
        <v>101</v>
      </c>
    </row>
    <row r="25" spans="1:11">
      <c r="A25" s="8" t="s">
        <v>89</v>
      </c>
      <c r="B25" s="8">
        <v>-5</v>
      </c>
      <c r="C25" s="8">
        <v>52310</v>
      </c>
      <c r="D25" s="14">
        <v>43166</v>
      </c>
      <c r="E25" s="19">
        <v>0.61805555555555558</v>
      </c>
      <c r="F25" s="13">
        <v>2.4E-2</v>
      </c>
      <c r="G25" s="8">
        <v>52040</v>
      </c>
      <c r="H25" s="14">
        <v>43171</v>
      </c>
      <c r="I25" s="19">
        <v>0.38125000000000003</v>
      </c>
      <c r="J25" s="10">
        <v>6750</v>
      </c>
      <c r="K25" t="s">
        <v>95</v>
      </c>
    </row>
    <row r="26" spans="1:11">
      <c r="A26" s="8" t="s">
        <v>17</v>
      </c>
      <c r="B26" s="8">
        <v>-15</v>
      </c>
      <c r="C26" s="8">
        <v>101010</v>
      </c>
      <c r="D26" s="14">
        <v>43167</v>
      </c>
      <c r="E26" s="19">
        <v>0.58680555555555558</v>
      </c>
      <c r="F26" s="13">
        <v>2.4E-2</v>
      </c>
      <c r="G26" s="8">
        <v>100560</v>
      </c>
      <c r="H26" s="14">
        <v>43168</v>
      </c>
      <c r="I26" s="19">
        <v>0.58958333333333335</v>
      </c>
      <c r="J26" s="10">
        <v>6750</v>
      </c>
      <c r="K26" t="s">
        <v>95</v>
      </c>
    </row>
    <row r="27" spans="1:11">
      <c r="A27" s="8" t="s">
        <v>31</v>
      </c>
      <c r="B27" s="8">
        <v>-20</v>
      </c>
      <c r="C27" s="8">
        <v>9420</v>
      </c>
      <c r="D27" s="14">
        <v>43167</v>
      </c>
      <c r="E27" s="19">
        <v>0.46180555555555558</v>
      </c>
      <c r="F27" s="13">
        <v>1.4999999999999999E-2</v>
      </c>
      <c r="G27" s="8">
        <v>9350</v>
      </c>
      <c r="H27" s="14">
        <v>43171</v>
      </c>
      <c r="I27" s="19">
        <v>0.38125000000000003</v>
      </c>
      <c r="J27" s="10">
        <v>7000</v>
      </c>
      <c r="K27" t="s">
        <v>96</v>
      </c>
    </row>
    <row r="28" spans="1:11">
      <c r="A28" s="8" t="s">
        <v>19</v>
      </c>
      <c r="B28" s="8">
        <v>-16</v>
      </c>
      <c r="C28" s="8">
        <v>6272</v>
      </c>
      <c r="D28" s="14">
        <v>43168</v>
      </c>
      <c r="E28" s="19">
        <v>0.38263888888888892</v>
      </c>
      <c r="F28" s="13">
        <v>8.0000000000000002E-3</v>
      </c>
      <c r="G28" s="1">
        <v>6160</v>
      </c>
      <c r="H28" s="2">
        <v>43171</v>
      </c>
      <c r="I28" s="18">
        <v>0.4694444444444445</v>
      </c>
      <c r="J28" s="10">
        <v>8960</v>
      </c>
      <c r="K28" t="s">
        <v>97</v>
      </c>
    </row>
    <row r="29" spans="1:11">
      <c r="A29" s="8" t="s">
        <v>29</v>
      </c>
      <c r="B29" s="8">
        <v>-1</v>
      </c>
      <c r="C29" s="8">
        <v>4013</v>
      </c>
      <c r="D29" s="14">
        <v>43164</v>
      </c>
      <c r="E29" s="19">
        <v>0.42430555555555555</v>
      </c>
      <c r="F29" s="13">
        <v>1.0999999999999999E-2</v>
      </c>
      <c r="G29" s="8">
        <v>3982</v>
      </c>
      <c r="H29" s="14">
        <v>43164</v>
      </c>
      <c r="I29" s="19">
        <v>0.56736111111111109</v>
      </c>
      <c r="J29" s="10">
        <v>9300</v>
      </c>
      <c r="K29" t="s">
        <v>98</v>
      </c>
    </row>
    <row r="30" spans="1:11">
      <c r="A30" s="8" t="s">
        <v>27</v>
      </c>
      <c r="B30" s="8">
        <v>-13</v>
      </c>
      <c r="C30" s="8">
        <v>25310</v>
      </c>
      <c r="D30" s="14">
        <v>43167</v>
      </c>
      <c r="E30" s="19">
        <v>0.39930555555555558</v>
      </c>
      <c r="F30" s="13">
        <v>2.7E-2</v>
      </c>
      <c r="G30" s="8">
        <v>25100</v>
      </c>
      <c r="H30" s="14">
        <v>43171</v>
      </c>
      <c r="I30" s="19">
        <v>0.38125000000000003</v>
      </c>
      <c r="J30" s="10">
        <v>13650</v>
      </c>
      <c r="K30" t="s">
        <v>95</v>
      </c>
    </row>
    <row r="31" spans="1:11">
      <c r="A31" s="8" t="s">
        <v>14</v>
      </c>
      <c r="B31" s="8">
        <v>-31</v>
      </c>
      <c r="C31" s="8">
        <v>3870</v>
      </c>
      <c r="D31" s="14">
        <v>43167</v>
      </c>
      <c r="E31" s="19">
        <v>0.39930555555555558</v>
      </c>
      <c r="F31" s="13">
        <v>1.9E-2</v>
      </c>
      <c r="G31" s="8">
        <v>3744</v>
      </c>
      <c r="H31" s="14">
        <v>43171</v>
      </c>
      <c r="I31" s="19">
        <v>0.38125000000000003</v>
      </c>
      <c r="J31" s="10">
        <v>39060</v>
      </c>
      <c r="K31" t="s">
        <v>97</v>
      </c>
    </row>
    <row r="32" spans="1:11">
      <c r="A32" s="8" t="s">
        <v>23</v>
      </c>
      <c r="B32" s="8">
        <v>-45</v>
      </c>
      <c r="C32" s="8">
        <v>3956</v>
      </c>
      <c r="D32" s="14">
        <v>43167</v>
      </c>
      <c r="E32" s="19">
        <v>0.39930555555555558</v>
      </c>
      <c r="F32" s="13">
        <v>2.8000000000000001E-2</v>
      </c>
      <c r="G32" s="8">
        <v>3843</v>
      </c>
      <c r="H32" s="14">
        <v>43171</v>
      </c>
      <c r="I32" s="19">
        <v>0.38125000000000003</v>
      </c>
      <c r="J32" s="10">
        <v>50850</v>
      </c>
      <c r="K32" t="s">
        <v>97</v>
      </c>
    </row>
    <row r="33" spans="1:12">
      <c r="A33" s="8" t="s">
        <v>18</v>
      </c>
      <c r="B33" s="8">
        <v>1</v>
      </c>
      <c r="C33" s="8">
        <v>6099</v>
      </c>
      <c r="D33" s="14">
        <v>43167</v>
      </c>
      <c r="E33" s="19">
        <v>0.62013888888888891</v>
      </c>
      <c r="F33" s="13">
        <v>1.4E-2</v>
      </c>
      <c r="G33" s="14"/>
      <c r="H33" s="19"/>
      <c r="I33" s="8"/>
      <c r="J33" s="10" t="s">
        <v>86</v>
      </c>
      <c r="K33" t="s">
        <v>98</v>
      </c>
    </row>
    <row r="34" spans="1:12">
      <c r="A34" s="30"/>
      <c r="B34" s="30"/>
      <c r="C34" s="30"/>
      <c r="D34" s="33"/>
      <c r="E34" s="29"/>
      <c r="F34" s="29"/>
      <c r="G34" s="33"/>
      <c r="H34" s="32"/>
      <c r="I34" s="32"/>
      <c r="J34" s="30"/>
      <c r="K34" s="34"/>
      <c r="L34" s="31"/>
    </row>
    <row r="35" spans="1:12">
      <c r="A35" s="35"/>
      <c r="B35" s="35"/>
      <c r="C35" s="35"/>
      <c r="D35" s="36"/>
      <c r="E35" s="37"/>
      <c r="F35" s="37"/>
      <c r="G35" s="36"/>
      <c r="H35" s="35"/>
      <c r="I35" s="35"/>
      <c r="J35" s="31"/>
      <c r="K35" s="31"/>
      <c r="L35" s="31"/>
    </row>
    <row r="36" spans="1:12">
      <c r="A36" s="35"/>
      <c r="B36" s="35"/>
      <c r="C36" s="35"/>
      <c r="D36" s="36"/>
      <c r="E36" s="37"/>
      <c r="F36" s="37"/>
      <c r="G36" s="36"/>
      <c r="H36" s="35"/>
      <c r="I36" s="35"/>
      <c r="J36" s="31"/>
      <c r="K36" s="31"/>
      <c r="L36" s="31"/>
    </row>
    <row r="37" spans="1:12">
      <c r="A37" s="30"/>
      <c r="B37" s="30"/>
      <c r="C37" s="30"/>
      <c r="D37" s="33"/>
      <c r="E37" s="29"/>
      <c r="F37" s="29"/>
      <c r="G37" s="33"/>
      <c r="H37" s="32"/>
      <c r="I37" s="32"/>
      <c r="J37" s="30"/>
      <c r="K37" s="34"/>
      <c r="L37" s="31"/>
    </row>
    <row r="38" spans="1:12">
      <c r="A38" s="35"/>
      <c r="B38" s="35"/>
      <c r="C38" s="35"/>
      <c r="D38" s="36"/>
      <c r="E38" s="37"/>
      <c r="F38" s="37"/>
      <c r="G38" s="36"/>
      <c r="H38" s="35"/>
      <c r="I38" s="35"/>
      <c r="J38" s="31"/>
      <c r="K38" s="31"/>
      <c r="L38" s="31"/>
    </row>
    <row r="39" spans="1:12">
      <c r="A39" s="35"/>
      <c r="B39" s="35"/>
      <c r="C39" s="35"/>
      <c r="D39" s="36"/>
      <c r="E39" s="37"/>
      <c r="F39" s="37"/>
      <c r="G39" s="36"/>
      <c r="H39" s="35"/>
      <c r="I39" s="35"/>
      <c r="J39" s="31"/>
      <c r="K39" s="31"/>
      <c r="L39" s="31"/>
    </row>
    <row r="40" spans="1:12">
      <c r="A40" s="30"/>
      <c r="B40" s="30"/>
      <c r="C40" s="30"/>
      <c r="D40" s="33"/>
      <c r="E40" s="29"/>
      <c r="F40" s="29"/>
      <c r="G40" s="33"/>
      <c r="H40" s="32"/>
      <c r="I40" s="32"/>
      <c r="J40" s="30"/>
      <c r="K40" s="34"/>
      <c r="L40" s="31"/>
    </row>
    <row r="41" spans="1:12">
      <c r="A41" s="30"/>
      <c r="B41" s="30"/>
      <c r="C41" s="30"/>
      <c r="D41" s="33"/>
      <c r="E41" s="29"/>
      <c r="F41" s="29"/>
      <c r="G41" s="33"/>
      <c r="H41" s="32"/>
      <c r="I41" s="32"/>
      <c r="J41" s="30"/>
      <c r="K41" s="31"/>
      <c r="L41" s="31"/>
    </row>
    <row r="42" spans="1:12">
      <c r="A42" s="30"/>
      <c r="B42" s="30"/>
      <c r="C42" s="30"/>
      <c r="D42" s="33"/>
      <c r="E42" s="29"/>
      <c r="F42" s="29"/>
      <c r="G42" s="33"/>
      <c r="H42" s="32"/>
      <c r="I42" s="32"/>
      <c r="J42" s="30"/>
      <c r="K42" s="31"/>
      <c r="L42" s="31"/>
    </row>
    <row r="43" spans="1:12">
      <c r="A43" s="35"/>
      <c r="B43" s="35"/>
      <c r="C43" s="35"/>
      <c r="D43" s="36"/>
      <c r="E43" s="37"/>
      <c r="F43" s="37"/>
      <c r="G43" s="36"/>
      <c r="H43" s="35"/>
      <c r="I43" s="35"/>
      <c r="J43" s="31"/>
      <c r="K43" s="31"/>
      <c r="L43" s="31"/>
    </row>
    <row r="44" spans="1:12">
      <c r="A44" s="35"/>
      <c r="B44" s="35"/>
      <c r="C44" s="35"/>
      <c r="D44" s="36"/>
      <c r="E44" s="37"/>
      <c r="F44" s="37"/>
      <c r="G44" s="36"/>
      <c r="H44" s="35"/>
      <c r="I44" s="35"/>
      <c r="J44" s="31"/>
      <c r="K44" s="31"/>
      <c r="L44" s="31"/>
    </row>
    <row r="45" spans="1:12">
      <c r="A45" s="30"/>
      <c r="B45" s="30"/>
      <c r="C45" s="30"/>
      <c r="D45" s="33"/>
      <c r="E45" s="29"/>
      <c r="F45" s="29"/>
      <c r="G45" s="33"/>
      <c r="H45" s="32"/>
      <c r="I45" s="32"/>
      <c r="J45" s="30"/>
      <c r="K45" s="31"/>
      <c r="L45" s="31"/>
    </row>
    <row r="46" spans="1:12">
      <c r="A46" s="30"/>
      <c r="B46" s="30"/>
      <c r="C46" s="30"/>
      <c r="D46" s="33"/>
      <c r="E46" s="29"/>
      <c r="F46" s="29"/>
      <c r="G46" s="33"/>
      <c r="H46" s="32"/>
      <c r="I46" s="32"/>
      <c r="J46" s="30"/>
      <c r="K46" s="31"/>
      <c r="L46" s="31"/>
    </row>
    <row r="47" spans="1:12">
      <c r="A47" s="35"/>
      <c r="B47" s="35"/>
      <c r="C47" s="35"/>
      <c r="D47" s="36"/>
      <c r="E47" s="37"/>
      <c r="F47" s="37"/>
      <c r="G47" s="36"/>
      <c r="H47" s="35"/>
      <c r="I47" s="35"/>
      <c r="J47" s="31"/>
      <c r="K47" s="31"/>
      <c r="L47" s="31"/>
    </row>
    <row r="48" spans="1:12">
      <c r="A48" s="35"/>
      <c r="B48" s="35"/>
      <c r="C48" s="35"/>
      <c r="D48" s="36"/>
      <c r="E48" s="37"/>
      <c r="F48" s="37"/>
      <c r="G48" s="36"/>
      <c r="H48" s="35"/>
      <c r="I48" s="35"/>
      <c r="J48" s="31"/>
      <c r="K48" s="31"/>
      <c r="L48" s="31"/>
    </row>
    <row r="49" spans="1:12">
      <c r="A49" s="35"/>
      <c r="B49" s="35"/>
      <c r="C49" s="35"/>
      <c r="D49" s="36"/>
      <c r="E49" s="37"/>
      <c r="F49" s="37"/>
      <c r="G49" s="36"/>
      <c r="H49" s="35"/>
      <c r="I49" s="35"/>
      <c r="J49" s="31"/>
      <c r="K49" s="31"/>
      <c r="L49" s="31"/>
    </row>
    <row r="50" spans="1:12">
      <c r="A50" s="30"/>
      <c r="B50" s="30"/>
      <c r="C50" s="30"/>
      <c r="D50" s="33"/>
      <c r="E50" s="29"/>
      <c r="F50" s="29"/>
      <c r="G50" s="33"/>
      <c r="H50" s="32"/>
      <c r="I50" s="32"/>
      <c r="J50" s="30"/>
      <c r="K50" s="34"/>
      <c r="L50" s="31"/>
    </row>
    <row r="51" spans="1:12">
      <c r="A51" s="35"/>
      <c r="B51" s="35"/>
      <c r="C51" s="35"/>
      <c r="D51" s="36"/>
      <c r="E51" s="37"/>
      <c r="F51" s="37"/>
      <c r="G51" s="36"/>
      <c r="H51" s="35"/>
      <c r="I51" s="35"/>
      <c r="J51" s="31"/>
      <c r="K51" s="31"/>
      <c r="L51" s="31"/>
    </row>
    <row r="52" spans="1:12">
      <c r="A52" s="35"/>
      <c r="B52" s="35"/>
      <c r="C52" s="35"/>
      <c r="D52" s="36"/>
      <c r="E52" s="37"/>
      <c r="F52" s="37"/>
      <c r="G52" s="36"/>
      <c r="H52" s="35"/>
      <c r="I52" s="35"/>
      <c r="J52" s="31"/>
      <c r="K52" s="31"/>
      <c r="L52" s="31"/>
    </row>
    <row r="53" spans="1:12">
      <c r="A53" s="30"/>
      <c r="B53" s="30"/>
      <c r="C53" s="30"/>
      <c r="D53" s="33"/>
      <c r="E53" s="29"/>
      <c r="F53" s="29"/>
      <c r="G53" s="33"/>
      <c r="H53" s="32"/>
      <c r="I53" s="32"/>
      <c r="J53" s="30"/>
      <c r="K53" s="34"/>
      <c r="L53" s="31"/>
    </row>
    <row r="54" spans="1:12">
      <c r="A54" s="35"/>
      <c r="B54" s="35"/>
      <c r="C54" s="35"/>
      <c r="D54" s="36"/>
      <c r="E54" s="37"/>
      <c r="F54" s="37"/>
      <c r="G54" s="36"/>
      <c r="H54" s="35"/>
      <c r="I54" s="35"/>
      <c r="J54" s="31"/>
      <c r="K54" s="31"/>
      <c r="L54" s="31"/>
    </row>
    <row r="55" spans="1:12">
      <c r="A55" s="35"/>
      <c r="B55" s="35"/>
      <c r="C55" s="35"/>
      <c r="D55" s="36"/>
      <c r="E55" s="37"/>
      <c r="F55" s="37"/>
      <c r="G55" s="36"/>
      <c r="H55" s="35"/>
      <c r="I55" s="35"/>
      <c r="J55" s="31"/>
      <c r="K55" s="31"/>
      <c r="L55" s="31"/>
    </row>
    <row r="56" spans="1:12">
      <c r="A56" s="30"/>
      <c r="B56" s="30"/>
      <c r="C56" s="30"/>
      <c r="D56" s="33"/>
      <c r="E56" s="29"/>
      <c r="F56" s="29"/>
      <c r="G56" s="33"/>
      <c r="H56" s="32"/>
      <c r="I56" s="32"/>
      <c r="J56" s="30"/>
      <c r="K56" s="31"/>
      <c r="L56" s="31"/>
    </row>
    <row r="57" spans="1:12">
      <c r="A57" s="30"/>
      <c r="B57" s="30"/>
      <c r="C57" s="30"/>
      <c r="D57" s="33"/>
      <c r="E57" s="29"/>
      <c r="F57" s="29"/>
      <c r="G57" s="33"/>
      <c r="H57" s="32"/>
      <c r="I57" s="32"/>
      <c r="J57" s="30"/>
      <c r="K57" s="31"/>
      <c r="L57" s="31"/>
    </row>
    <row r="58" spans="1:12">
      <c r="A58" s="30"/>
      <c r="B58" s="30"/>
      <c r="C58" s="30"/>
      <c r="D58" s="33"/>
      <c r="E58" s="29"/>
      <c r="F58" s="29"/>
      <c r="G58" s="33"/>
      <c r="H58" s="32"/>
      <c r="I58" s="32"/>
      <c r="J58" s="30"/>
      <c r="K58" s="31"/>
      <c r="L58" s="31"/>
    </row>
    <row r="59" spans="1:12">
      <c r="A59" s="35"/>
      <c r="B59" s="35"/>
      <c r="C59" s="35"/>
      <c r="D59" s="36"/>
      <c r="E59" s="37"/>
      <c r="F59" s="37"/>
      <c r="G59" s="36"/>
      <c r="H59" s="35"/>
      <c r="I59" s="35"/>
      <c r="J59" s="31"/>
      <c r="K59" s="31"/>
      <c r="L59" s="31"/>
    </row>
    <row r="60" spans="1:12">
      <c r="A60" s="35"/>
      <c r="B60" s="35"/>
      <c r="C60" s="35"/>
      <c r="D60" s="36"/>
      <c r="E60" s="37"/>
      <c r="F60" s="37"/>
      <c r="G60" s="36"/>
      <c r="H60" s="35"/>
      <c r="I60" s="35"/>
      <c r="J60" s="31"/>
      <c r="K60" s="31"/>
      <c r="L60" s="31"/>
    </row>
    <row r="61" spans="1:12">
      <c r="A61" s="30"/>
      <c r="B61" s="30"/>
      <c r="C61" s="30"/>
      <c r="D61" s="33"/>
      <c r="E61" s="29"/>
      <c r="F61" s="29"/>
      <c r="G61" s="33"/>
      <c r="H61" s="32"/>
      <c r="I61" s="32"/>
      <c r="J61" s="30"/>
      <c r="K61" s="31"/>
      <c r="L61" s="31"/>
    </row>
    <row r="62" spans="1:12">
      <c r="A62" s="35"/>
      <c r="B62" s="35"/>
      <c r="C62" s="35"/>
      <c r="D62" s="36"/>
      <c r="E62" s="37"/>
      <c r="F62" s="37"/>
      <c r="G62" s="36"/>
      <c r="H62" s="35"/>
      <c r="I62" s="35"/>
      <c r="J62" s="31"/>
      <c r="K62" s="31"/>
      <c r="L62" s="31"/>
    </row>
    <row r="63" spans="1:12">
      <c r="A63" s="35"/>
      <c r="B63" s="35"/>
      <c r="C63" s="35"/>
      <c r="D63" s="36"/>
      <c r="E63" s="37"/>
      <c r="F63" s="37"/>
      <c r="G63" s="36"/>
      <c r="H63" s="35"/>
      <c r="I63" s="35"/>
      <c r="J63" s="31"/>
      <c r="K63" s="31"/>
      <c r="L63" s="31"/>
    </row>
    <row r="64" spans="1:12">
      <c r="A64" s="35"/>
      <c r="B64" s="35"/>
      <c r="C64" s="35"/>
      <c r="D64" s="36"/>
      <c r="E64" s="37"/>
      <c r="F64" s="37"/>
      <c r="G64" s="36"/>
      <c r="H64" s="35"/>
      <c r="I64" s="35"/>
      <c r="J64" s="31"/>
      <c r="K64" s="31"/>
      <c r="L64" s="31"/>
    </row>
    <row r="65" spans="1:12">
      <c r="A65" s="35"/>
      <c r="B65" s="35"/>
      <c r="C65" s="35"/>
      <c r="D65" s="36"/>
      <c r="E65" s="37"/>
      <c r="F65" s="37"/>
      <c r="G65" s="36"/>
      <c r="H65" s="35"/>
      <c r="I65" s="35"/>
      <c r="J65" s="31"/>
      <c r="K65" s="31"/>
      <c r="L65" s="31"/>
    </row>
    <row r="66" spans="1:12">
      <c r="A66" s="30"/>
      <c r="B66" s="30"/>
      <c r="C66" s="30"/>
      <c r="D66" s="33"/>
      <c r="E66" s="29"/>
      <c r="F66" s="29"/>
      <c r="G66" s="33"/>
      <c r="H66" s="32"/>
      <c r="I66" s="32"/>
      <c r="J66" s="30"/>
      <c r="K66" s="31"/>
      <c r="L66" s="31"/>
    </row>
    <row r="67" spans="1:12">
      <c r="A67" s="30"/>
      <c r="B67" s="30"/>
      <c r="C67" s="30"/>
      <c r="D67" s="33"/>
      <c r="E67" s="29"/>
      <c r="F67" s="29"/>
      <c r="G67" s="33"/>
      <c r="H67" s="32"/>
      <c r="I67" s="32"/>
      <c r="J67" s="30"/>
      <c r="K67" s="31"/>
      <c r="L67" s="31"/>
    </row>
    <row r="68" spans="1:12">
      <c r="A68" s="30"/>
      <c r="B68" s="30"/>
      <c r="C68" s="30"/>
      <c r="D68" s="33"/>
      <c r="E68" s="29"/>
      <c r="F68" s="29"/>
      <c r="G68" s="33"/>
      <c r="H68" s="32"/>
      <c r="I68" s="32"/>
      <c r="J68" s="30"/>
      <c r="K68" s="31"/>
      <c r="L68" s="31"/>
    </row>
    <row r="69" spans="1:12">
      <c r="A69" s="30"/>
      <c r="B69" s="30"/>
      <c r="C69" s="30"/>
      <c r="D69" s="33"/>
      <c r="E69" s="29"/>
      <c r="F69" s="29"/>
      <c r="G69" s="33"/>
      <c r="H69" s="32"/>
      <c r="I69" s="32"/>
      <c r="J69" s="30"/>
      <c r="K69" s="34"/>
      <c r="L69" s="31"/>
    </row>
    <row r="70" spans="1:12">
      <c r="A70" s="30"/>
      <c r="B70" s="30"/>
      <c r="C70" s="30"/>
      <c r="D70" s="33"/>
      <c r="E70" s="29"/>
      <c r="F70" s="29"/>
      <c r="G70" s="33"/>
      <c r="H70" s="32"/>
      <c r="I70" s="32"/>
      <c r="J70" s="30"/>
      <c r="K70" s="34"/>
      <c r="L70" s="31"/>
    </row>
    <row r="71" spans="1:12">
      <c r="A71" s="35"/>
      <c r="B71" s="35"/>
      <c r="C71" s="35"/>
      <c r="D71" s="36"/>
      <c r="E71" s="37"/>
      <c r="F71" s="37"/>
      <c r="G71" s="36"/>
      <c r="H71" s="35"/>
      <c r="I71" s="35"/>
      <c r="J71" s="31"/>
      <c r="K71" s="31"/>
      <c r="L71" s="31"/>
    </row>
    <row r="72" spans="1:12">
      <c r="A72" s="30"/>
      <c r="B72" s="30"/>
      <c r="C72" s="30"/>
      <c r="D72" s="33"/>
      <c r="E72" s="29"/>
      <c r="F72" s="29"/>
      <c r="G72" s="33"/>
      <c r="H72" s="32"/>
      <c r="I72" s="32"/>
      <c r="J72" s="30"/>
      <c r="K72" s="31"/>
      <c r="L72" s="31"/>
    </row>
    <row r="73" spans="1:12">
      <c r="A73" s="30"/>
      <c r="B73" s="30"/>
      <c r="C73" s="30"/>
      <c r="D73" s="33"/>
      <c r="E73" s="29"/>
      <c r="F73" s="29"/>
      <c r="G73" s="33"/>
      <c r="H73" s="32"/>
      <c r="I73" s="32"/>
      <c r="J73" s="30"/>
      <c r="K73" s="31"/>
      <c r="L73" s="31"/>
    </row>
    <row r="74" spans="1:12">
      <c r="A74" s="35"/>
      <c r="B74" s="35"/>
      <c r="C74" s="35"/>
      <c r="D74" s="36"/>
      <c r="E74" s="37"/>
      <c r="F74" s="37"/>
      <c r="G74" s="36"/>
      <c r="H74" s="35"/>
      <c r="I74" s="35"/>
      <c r="J74" s="31"/>
      <c r="K74" s="31"/>
      <c r="L74" s="31"/>
    </row>
    <row r="75" spans="1:12">
      <c r="A75" s="35"/>
      <c r="B75" s="35"/>
      <c r="C75" s="35"/>
      <c r="D75" s="36"/>
      <c r="E75" s="37"/>
      <c r="F75" s="37"/>
      <c r="G75" s="36"/>
      <c r="H75" s="35"/>
      <c r="I75" s="35"/>
      <c r="J75" s="31"/>
      <c r="K75" s="31"/>
      <c r="L75" s="31"/>
    </row>
    <row r="76" spans="1:12">
      <c r="A76" s="35"/>
      <c r="B76" s="35"/>
      <c r="C76" s="35"/>
      <c r="D76" s="36"/>
      <c r="E76" s="37"/>
      <c r="F76" s="37"/>
      <c r="G76" s="36"/>
      <c r="H76" s="35"/>
      <c r="I76" s="35"/>
      <c r="J76" s="31"/>
      <c r="K76" s="31"/>
      <c r="L76" s="31"/>
    </row>
    <row r="77" spans="1:12">
      <c r="A77" s="30"/>
      <c r="B77" s="30"/>
      <c r="C77" s="30"/>
      <c r="D77" s="33"/>
      <c r="E77" s="29"/>
      <c r="F77" s="29"/>
      <c r="G77" s="33"/>
      <c r="H77" s="32"/>
      <c r="I77" s="32"/>
      <c r="J77" s="30"/>
      <c r="K77" s="31"/>
      <c r="L77" s="31"/>
    </row>
    <row r="78" spans="1:12">
      <c r="A78" s="35"/>
      <c r="B78" s="35"/>
      <c r="C78" s="35"/>
      <c r="D78" s="36"/>
      <c r="E78" s="37"/>
      <c r="F78" s="37"/>
      <c r="G78" s="36"/>
      <c r="H78" s="35"/>
      <c r="I78" s="35"/>
      <c r="J78" s="31"/>
      <c r="K78" s="31"/>
      <c r="L78" s="31"/>
    </row>
    <row r="79" spans="1:12">
      <c r="A79" s="30"/>
      <c r="B79" s="30"/>
      <c r="C79" s="30"/>
      <c r="D79" s="33"/>
      <c r="E79" s="29"/>
      <c r="F79" s="29"/>
      <c r="G79" s="33"/>
      <c r="H79" s="32"/>
      <c r="I79" s="32"/>
      <c r="J79" s="30"/>
      <c r="K79" s="34"/>
      <c r="L79" s="31"/>
    </row>
    <row r="80" spans="1:12">
      <c r="A80" s="30"/>
      <c r="B80" s="30"/>
      <c r="C80" s="30"/>
      <c r="D80" s="33"/>
      <c r="E80" s="29"/>
      <c r="F80" s="29"/>
      <c r="G80" s="33"/>
      <c r="H80" s="32"/>
      <c r="I80" s="32"/>
      <c r="J80" s="30"/>
      <c r="K80" s="31"/>
      <c r="L80" s="31"/>
    </row>
    <row r="81" spans="1:12">
      <c r="A81" s="30"/>
      <c r="B81" s="30"/>
      <c r="C81" s="30"/>
      <c r="D81" s="33"/>
      <c r="E81" s="29"/>
      <c r="F81" s="29"/>
      <c r="G81" s="33"/>
      <c r="H81" s="32"/>
      <c r="I81" s="32"/>
      <c r="J81" s="30"/>
      <c r="K81" s="31"/>
      <c r="L81" s="31"/>
    </row>
    <row r="82" spans="1:12">
      <c r="A82" s="30"/>
      <c r="B82" s="30"/>
      <c r="C82" s="30"/>
      <c r="D82" s="33"/>
      <c r="E82" s="29"/>
      <c r="F82" s="29"/>
      <c r="G82" s="33"/>
      <c r="H82" s="32"/>
      <c r="I82" s="32"/>
      <c r="J82" s="30"/>
      <c r="K82" s="34"/>
      <c r="L82" s="31"/>
    </row>
    <row r="83" spans="1:12">
      <c r="A83" s="35"/>
      <c r="B83" s="35"/>
      <c r="C83" s="35"/>
      <c r="D83" s="36"/>
      <c r="E83" s="37"/>
      <c r="F83" s="37"/>
      <c r="G83" s="36"/>
      <c r="H83" s="35"/>
      <c r="I83" s="35"/>
      <c r="J83" s="31"/>
      <c r="K83" s="31"/>
      <c r="L83" s="31"/>
    </row>
    <row r="84" spans="1:12">
      <c r="A84" s="35"/>
      <c r="B84" s="35"/>
      <c r="C84" s="35"/>
      <c r="D84" s="36"/>
      <c r="E84" s="37"/>
      <c r="F84" s="37"/>
      <c r="G84" s="36"/>
      <c r="H84" s="35"/>
      <c r="I84" s="35"/>
      <c r="J84" s="31"/>
      <c r="K84" s="31"/>
      <c r="L84" s="31"/>
    </row>
    <row r="85" spans="1:12">
      <c r="A85" s="30"/>
      <c r="B85" s="30"/>
      <c r="C85" s="30"/>
      <c r="D85" s="33"/>
      <c r="E85" s="29"/>
      <c r="F85" s="29"/>
      <c r="G85" s="33"/>
      <c r="H85" s="32"/>
      <c r="I85" s="32"/>
      <c r="J85" s="30"/>
      <c r="K85" s="31"/>
      <c r="L85" s="31"/>
    </row>
    <row r="86" spans="1:12">
      <c r="A86" s="30"/>
      <c r="B86" s="30"/>
      <c r="C86" s="30"/>
      <c r="D86" s="33"/>
      <c r="E86" s="29"/>
      <c r="F86" s="29"/>
      <c r="G86" s="33"/>
      <c r="H86" s="32"/>
      <c r="I86" s="32"/>
      <c r="J86" s="30"/>
      <c r="K86" s="31"/>
      <c r="L86" s="31"/>
    </row>
    <row r="87" spans="1:12">
      <c r="A87" s="35"/>
      <c r="B87" s="35"/>
      <c r="C87" s="35"/>
      <c r="D87" s="36"/>
      <c r="E87" s="37"/>
      <c r="F87" s="37"/>
      <c r="G87" s="36"/>
      <c r="H87" s="35"/>
      <c r="I87" s="35"/>
      <c r="J87" s="31"/>
      <c r="K87" s="31"/>
      <c r="L87" s="31"/>
    </row>
    <row r="88" spans="1:12">
      <c r="A88" s="30"/>
      <c r="B88" s="30"/>
      <c r="C88" s="30"/>
      <c r="D88" s="33"/>
      <c r="E88" s="29"/>
      <c r="F88" s="29"/>
      <c r="G88" s="33"/>
      <c r="H88" s="32"/>
      <c r="I88" s="32"/>
      <c r="J88" s="30"/>
      <c r="K88" s="31"/>
      <c r="L88" s="31"/>
    </row>
    <row r="89" spans="1:12">
      <c r="A89" s="30"/>
      <c r="B89" s="30"/>
      <c r="C89" s="30"/>
      <c r="D89" s="33"/>
      <c r="E89" s="29"/>
      <c r="F89" s="29"/>
      <c r="G89" s="33"/>
      <c r="H89" s="32"/>
      <c r="I89" s="32"/>
      <c r="J89" s="30"/>
      <c r="K89" s="31"/>
      <c r="L89" s="31"/>
    </row>
    <row r="90" spans="1:12">
      <c r="A90" s="35"/>
      <c r="B90" s="35"/>
      <c r="C90" s="35"/>
      <c r="D90" s="36"/>
      <c r="E90" s="37"/>
      <c r="F90" s="37"/>
      <c r="G90" s="36"/>
      <c r="H90" s="35"/>
      <c r="I90" s="35"/>
      <c r="J90" s="31"/>
      <c r="K90" s="31"/>
      <c r="L90" s="31"/>
    </row>
    <row r="91" spans="1:12">
      <c r="A91" s="30"/>
      <c r="B91" s="30"/>
      <c r="C91" s="30"/>
      <c r="D91" s="33"/>
      <c r="E91" s="29"/>
      <c r="F91" s="29"/>
      <c r="G91" s="30"/>
      <c r="H91" s="32"/>
      <c r="I91" s="32"/>
      <c r="J91" s="30"/>
      <c r="K91" s="31"/>
      <c r="L91" s="31"/>
    </row>
  </sheetData>
  <sortState ref="A2:K33">
    <sortCondition ref="J2:J33"/>
  </sortState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53"/>
  <sheetViews>
    <sheetView topLeftCell="A25" workbookViewId="0">
      <selection activeCell="A40" sqref="A40"/>
    </sheetView>
  </sheetViews>
  <sheetFormatPr defaultRowHeight="13.5"/>
  <cols>
    <col min="1" max="1" width="9" style="22" bestFit="1" customWidth="1"/>
    <col min="2" max="2" width="10.5" style="21" bestFit="1" customWidth="1"/>
  </cols>
  <sheetData>
    <row r="1" spans="1:2">
      <c r="A1" s="22" t="s">
        <v>33</v>
      </c>
      <c r="B1" s="21" t="s">
        <v>85</v>
      </c>
    </row>
    <row r="2" spans="1:2">
      <c r="A2" s="22" t="s">
        <v>34</v>
      </c>
      <c r="B2" s="21">
        <v>5</v>
      </c>
    </row>
    <row r="3" spans="1:2">
      <c r="A3" s="22" t="s">
        <v>35</v>
      </c>
      <c r="B3" s="21">
        <v>5</v>
      </c>
    </row>
    <row r="4" spans="1:2">
      <c r="A4" s="22" t="s">
        <v>36</v>
      </c>
      <c r="B4" s="21">
        <v>5</v>
      </c>
    </row>
    <row r="5" spans="1:2">
      <c r="A5" s="22" t="s">
        <v>37</v>
      </c>
      <c r="B5" s="21">
        <v>5</v>
      </c>
    </row>
    <row r="6" spans="1:2">
      <c r="A6" s="22" t="s">
        <v>38</v>
      </c>
      <c r="B6" s="21">
        <v>1</v>
      </c>
    </row>
    <row r="7" spans="1:2">
      <c r="A7" s="22" t="s">
        <v>39</v>
      </c>
      <c r="B7" s="21">
        <v>1</v>
      </c>
    </row>
    <row r="8" spans="1:2">
      <c r="A8" s="22" t="s">
        <v>40</v>
      </c>
      <c r="B8" s="21">
        <v>1000</v>
      </c>
    </row>
    <row r="9" spans="1:2">
      <c r="A9" s="22" t="s">
        <v>41</v>
      </c>
      <c r="B9" s="21">
        <v>15</v>
      </c>
    </row>
    <row r="10" spans="1:2">
      <c r="A10" s="22" t="s">
        <v>42</v>
      </c>
      <c r="B10" s="21">
        <v>10</v>
      </c>
    </row>
    <row r="11" spans="1:2">
      <c r="A11" s="22" t="s">
        <v>43</v>
      </c>
      <c r="B11" s="21">
        <v>10</v>
      </c>
    </row>
    <row r="12" spans="1:2">
      <c r="A12" s="22" t="s">
        <v>44</v>
      </c>
      <c r="B12" s="21">
        <v>10</v>
      </c>
    </row>
    <row r="13" spans="1:2">
      <c r="A13" s="22" t="s">
        <v>45</v>
      </c>
      <c r="B13" s="21">
        <v>50</v>
      </c>
    </row>
    <row r="14" spans="1:2">
      <c r="A14" s="22" t="s">
        <v>46</v>
      </c>
      <c r="B14" s="21">
        <v>10</v>
      </c>
    </row>
    <row r="15" spans="1:2">
      <c r="A15" s="22" t="s">
        <v>47</v>
      </c>
      <c r="B15" s="21">
        <v>10</v>
      </c>
    </row>
    <row r="16" spans="1:2">
      <c r="A16" s="22" t="s">
        <v>48</v>
      </c>
      <c r="B16" s="21">
        <v>20</v>
      </c>
    </row>
    <row r="17" spans="1:2">
      <c r="A17" s="22" t="s">
        <v>49</v>
      </c>
      <c r="B17" s="21">
        <v>50</v>
      </c>
    </row>
    <row r="18" spans="1:2">
      <c r="A18" s="22" t="s">
        <v>50</v>
      </c>
      <c r="B18" s="21">
        <v>5</v>
      </c>
    </row>
    <row r="19" spans="1:2">
      <c r="A19" s="22" t="s">
        <v>51</v>
      </c>
      <c r="B19" s="21">
        <v>10</v>
      </c>
    </row>
    <row r="20" spans="1:2">
      <c r="A20" s="22" t="s">
        <v>52</v>
      </c>
      <c r="B20" s="21">
        <v>10</v>
      </c>
    </row>
    <row r="21" spans="1:2">
      <c r="A21" s="22" t="s">
        <v>53</v>
      </c>
      <c r="B21" s="21">
        <v>20</v>
      </c>
    </row>
    <row r="22" spans="1:2">
      <c r="A22" s="22" t="s">
        <v>54</v>
      </c>
      <c r="B22" s="21">
        <v>10</v>
      </c>
    </row>
    <row r="23" spans="1:2">
      <c r="A23" s="22" t="s">
        <v>55</v>
      </c>
      <c r="B23" s="21">
        <v>10</v>
      </c>
    </row>
    <row r="24" spans="1:2">
      <c r="A24" s="22" t="s">
        <v>56</v>
      </c>
      <c r="B24" s="21">
        <v>20</v>
      </c>
    </row>
    <row r="25" spans="1:2">
      <c r="A25" s="22" t="s">
        <v>57</v>
      </c>
      <c r="B25" s="21">
        <v>20</v>
      </c>
    </row>
    <row r="26" spans="1:2">
      <c r="A26" s="22" t="s">
        <v>58</v>
      </c>
      <c r="B26" s="21">
        <v>5</v>
      </c>
    </row>
    <row r="27" spans="1:2">
      <c r="A27" s="22" t="s">
        <v>59</v>
      </c>
      <c r="B27" s="21">
        <v>5</v>
      </c>
    </row>
    <row r="28" spans="1:2">
      <c r="A28" s="22" t="s">
        <v>60</v>
      </c>
      <c r="B28" s="21">
        <v>10</v>
      </c>
    </row>
    <row r="29" spans="1:2">
      <c r="A29" s="22" t="s">
        <v>61</v>
      </c>
      <c r="B29" s="21">
        <v>20</v>
      </c>
    </row>
    <row r="30" spans="1:2">
      <c r="A30" s="22" t="s">
        <v>62</v>
      </c>
      <c r="B30" s="21">
        <v>100</v>
      </c>
    </row>
    <row r="31" spans="1:2">
      <c r="A31" s="22" t="s">
        <v>63</v>
      </c>
      <c r="B31" s="21">
        <v>5</v>
      </c>
    </row>
    <row r="32" spans="1:2">
      <c r="A32" s="22" t="s">
        <v>64</v>
      </c>
      <c r="B32" s="21">
        <v>5</v>
      </c>
    </row>
    <row r="33" spans="1:2">
      <c r="A33" s="22" t="s">
        <v>65</v>
      </c>
      <c r="B33" s="21">
        <v>10</v>
      </c>
    </row>
    <row r="34" spans="1:2">
      <c r="A34" s="22" t="s">
        <v>66</v>
      </c>
      <c r="B34" s="21">
        <v>10</v>
      </c>
    </row>
    <row r="35" spans="1:2">
      <c r="A35" s="22" t="s">
        <v>67</v>
      </c>
      <c r="B35" s="21">
        <v>10</v>
      </c>
    </row>
    <row r="36" spans="1:2">
      <c r="A36" s="22" t="s">
        <v>68</v>
      </c>
      <c r="B36" s="21">
        <v>10</v>
      </c>
    </row>
    <row r="37" spans="1:2">
      <c r="A37" s="22" t="s">
        <v>32</v>
      </c>
      <c r="B37" s="21">
        <v>10</v>
      </c>
    </row>
    <row r="38" spans="1:2">
      <c r="A38" s="22" t="s">
        <v>69</v>
      </c>
      <c r="B38" s="21">
        <v>10</v>
      </c>
    </row>
    <row r="39" spans="1:2">
      <c r="A39" s="22" t="s">
        <v>70</v>
      </c>
      <c r="B39" s="21">
        <v>10</v>
      </c>
    </row>
    <row r="40" spans="1:2">
      <c r="A40" s="22" t="s">
        <v>71</v>
      </c>
      <c r="B40" s="21">
        <v>500</v>
      </c>
    </row>
    <row r="41" spans="1:2">
      <c r="A41" s="22" t="s">
        <v>72</v>
      </c>
      <c r="B41" s="21">
        <v>500</v>
      </c>
    </row>
    <row r="42" spans="1:2">
      <c r="A42" s="22" t="s">
        <v>73</v>
      </c>
      <c r="B42" s="21">
        <v>5</v>
      </c>
    </row>
    <row r="43" spans="1:2">
      <c r="A43" s="22" t="s">
        <v>74</v>
      </c>
      <c r="B43" s="21">
        <v>5</v>
      </c>
    </row>
    <row r="44" spans="1:2">
      <c r="A44" s="22" t="s">
        <v>75</v>
      </c>
      <c r="B44" s="21">
        <v>5</v>
      </c>
    </row>
    <row r="45" spans="1:2">
      <c r="A45" s="22" t="s">
        <v>76</v>
      </c>
      <c r="B45" s="21">
        <v>5</v>
      </c>
    </row>
    <row r="46" spans="1:2">
      <c r="A46" s="22" t="s">
        <v>77</v>
      </c>
      <c r="B46" s="21">
        <v>100</v>
      </c>
    </row>
    <row r="47" spans="1:2">
      <c r="A47" s="22" t="s">
        <v>78</v>
      </c>
      <c r="B47" s="21">
        <v>60</v>
      </c>
    </row>
    <row r="48" spans="1:2">
      <c r="A48" s="22" t="s">
        <v>79</v>
      </c>
      <c r="B48" s="21">
        <v>100</v>
      </c>
    </row>
    <row r="49" spans="1:2">
      <c r="A49" s="22" t="s">
        <v>80</v>
      </c>
      <c r="B49" s="21">
        <v>300</v>
      </c>
    </row>
    <row r="50" spans="1:2">
      <c r="A50" s="22" t="s">
        <v>81</v>
      </c>
      <c r="B50" s="21">
        <v>200</v>
      </c>
    </row>
    <row r="51" spans="1:2">
      <c r="A51" s="22" t="s">
        <v>82</v>
      </c>
      <c r="B51" s="21">
        <v>300</v>
      </c>
    </row>
    <row r="52" spans="1:2">
      <c r="A52" s="22" t="s">
        <v>83</v>
      </c>
      <c r="B52" s="21">
        <v>10000</v>
      </c>
    </row>
    <row r="53" spans="1:2">
      <c r="A53" s="22" t="s">
        <v>84</v>
      </c>
      <c r="B53" s="21">
        <v>10000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权益</vt:lpstr>
      <vt:lpstr>成交记录</vt:lpstr>
      <vt:lpstr>Sheet1</vt:lpstr>
      <vt:lpstr>Sheet2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2018-04-25T07:57:51Z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a5281842-cfec-4ec0-87b5-0a26ce53f1d6</vt:lpwstr>
  </property>
</Properties>
</file>