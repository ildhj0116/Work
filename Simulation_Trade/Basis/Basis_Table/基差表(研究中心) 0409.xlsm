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330" windowWidth="21840" windowHeight="12510" activeTab="1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</workbook>
</file>

<file path=xl/calcChain.xml><?xml version="1.0" encoding="utf-8"?>
<calcChain xmlns="http://schemas.openxmlformats.org/spreadsheetml/2006/main">
  <c r="C8" i="5" l="1"/>
  <c r="D8" i="5"/>
  <c r="W24" i="3" l="1"/>
  <c r="W16" i="3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7" i="3"/>
  <c r="W18" i="3"/>
  <c r="W19" i="3"/>
  <c r="W20" i="3"/>
  <c r="W21" i="3"/>
  <c r="W22" i="3"/>
  <c r="W23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21" i="9" l="1"/>
  <c r="A3" i="9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<sst xmlns="http://schemas.openxmlformats.org/spreadsheetml/2006/main" count="3016" uniqueCount="697">
  <si>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</si>
  <si>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</si>
  <si>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</si>
  <si>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</si>
  <si>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</si>
  <si>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</si>
  <si>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</si>
  <si>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</si>
  <si>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</si>
  <si>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</si>
  <si>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</si>
  <si>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</si>
  <si>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</si>
  <si>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</si>
  <si>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</si>
  <si>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</si>
  <si>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</si>
  <si>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</si>
  <si>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</si>
  <si>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</si>
  <si>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</si>
  <si>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</si>
  <si>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</si>
  <si>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</si>
  <si>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</si>
  <si>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</si>
  <si>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</si>
  <si>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</si>
  <si>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</si>
  <si>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</si>
  <si>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</si>
  <si>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</si>
  <si>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</si>
  <si>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</si>
  <si>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</si>
  <si>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</si>
  <si>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</si>
  <si>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</si>
  <si>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</si>
  <si>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</si>
  <si>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</si>
  <si>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</si>
  <si>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</si>
  <si>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</si>
  <si>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</si>
  <si>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</si>
  <si>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</si>
  <si>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</si>
  <si>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</si>
  <si>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</si>
  <si>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</si>
  <si>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</si>
  <si>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</si>
  <si>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</si>
  <si>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</si>
  <si>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</si>
  <si>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</si>
  <si>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</si>
  <si>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</si>
  <si>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</si>
  <si>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</si>
  <si>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</si>
  <si>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</si>
  <si>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</si>
  <si>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</si>
  <si>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</si>
  <si>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</si>
  <si>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</si>
  <si>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</si>
  <si>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</si>
  <si>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</si>
  <si>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</si>
  <si>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</si>
  <si>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</si>
  <si>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</si>
  <si>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</si>
  <si>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</si>
  <si>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</si>
  <si>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</si>
  <si>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</si>
  <si>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</si>
  <si>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</si>
  <si>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</si>
  <si>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</si>
  <si>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</si>
  <si>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</si>
  <si>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</si>
  <si>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</si>
  <si>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</si>
  <si>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</si>
  <si>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</si>
  <si>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</si>
  <si>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</si>
  <si>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</si>
  <si>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</si>
  <si>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</si>
  <si>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</si>
  <si>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</si>
  <si>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</si>
  <si>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</si>
  <si>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</si>
  <si>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</si>
  <si>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</si>
  <si>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</si>
  <si>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</si>
  <si>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</si>
  <si>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</si>
  <si>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</si>
  <si>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</si>
  <si>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</si>
  <si>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</si>
  <si>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</si>
  <si>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</si>
  <si>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</si>
  <si>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</si>
  <si>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</si>
  <si>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</si>
  <si>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</si>
  <si>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</si>
  <si>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</si>
  <si>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</si>
  <si>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</si>
  <si>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</si>
  <si>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</si>
  <si>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</si>
  <si>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</si>
  <si>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</si>
  <si>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</si>
  <si>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</si>
  <si>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</si>
  <si>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</si>
  <si>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</si>
  <si>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</si>
  <si>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</si>
  <si>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</si>
  <si>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</si>
  <si>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</si>
  <si>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</si>
  <si>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</si>
  <si>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</si>
  <si>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</si>
  <si>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</si>
  <si>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</si>
  <si>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</si>
  <si>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</si>
  <si>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</si>
  <si>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</si>
  <si>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</si>
  <si>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</si>
  <si>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</si>
  <si>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</si>
  <si>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</si>
  <si>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</si>
  <si>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</si>
  <si>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</si>
  <si>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</si>
  <si>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</si>
  <si>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</si>
  <si>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</si>
  <si>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</si>
  <si>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</si>
  <si>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</si>
  <si>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</si>
  <si>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</si>
  <si>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</si>
  <si>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</si>
  <si>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</si>
  <si>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</si>
  <si>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</si>
  <si>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</si>
  <si>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</si>
  <si>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</si>
  <si>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</si>
  <si>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</si>
  <si>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</si>
  <si>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</si>
  <si>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</si>
  <si>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</si>
  <si>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</si>
  <si>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</si>
  <si>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</si>
  <si>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</si>
  <si>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</si>
  <si>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</si>
  <si>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</si>
  <si>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</si>
  <si>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</si>
  <si>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</si>
  <si>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</si>
  <si>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</si>
  <si>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</si>
  <si>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</si>
  <si>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</si>
  <si>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</si>
  <si>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</si>
  <si>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</si>
  <si>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</si>
  <si>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</si>
  <si>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</si>
  <si>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</si>
  <si>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</si>
  <si>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</si>
  <si>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</si>
  <si>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</si>
  <si>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</si>
  <si>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</si>
  <si>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</si>
  <si>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</si>
  <si>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</si>
  <si>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</si>
  <si>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</si>
  <si>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</si>
  <si>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</si>
  <si>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</si>
  <si>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</si>
  <si>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</si>
  <si>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</si>
  <si>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</si>
  <si>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</si>
  <si>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</si>
  <si>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</si>
  <si>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</si>
  <si>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</si>
  <si>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</si>
  <si>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</si>
  <si>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</si>
  <si>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</si>
  <si>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</si>
  <si>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</si>
  <si>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</si>
  <si>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</si>
  <si>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</si>
  <si>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</si>
  <si>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</si>
  <si>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</si>
  <si>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</si>
  <si>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</si>
  <si>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</si>
  <si>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</si>
  <si>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</si>
  <si>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</si>
  <si>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</si>
  <si>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</si>
  <si>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</si>
  <si>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</si>
  <si>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</si>
  <si>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</si>
  <si>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</si>
  <si>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</si>
  <si>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</si>
  <si>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</si>
  <si>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</si>
  <si>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</si>
  <si>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</si>
  <si>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</si>
  <si>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</si>
  <si>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</si>
  <si>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</si>
  <si>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</si>
  <si>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</si>
  <si>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</si>
  <si>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</si>
  <si>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</si>
  <si>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</si>
  <si>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</si>
  <si>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</si>
  <si>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</si>
  <si>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</si>
  <si>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</si>
  <si>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</si>
  <si>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</si>
  <si>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</si>
  <si>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</si>
  <si>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</si>
  <si>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</si>
  <si>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</si>
  <si>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</si>
  <si>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</si>
  <si>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</si>
  <si>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</si>
  <si>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</si>
  <si>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</si>
  <si>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</si>
  <si>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</si>
  <si>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</si>
  <si>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</si>
  <si>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</si>
  <si>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</si>
  <si>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</si>
  <si>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</si>
  <si>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</si>
  <si>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</si>
  <si>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</si>
  <si>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</si>
  <si>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</si>
  <si>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</si>
  <si>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</si>
  <si>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</si>
  <si>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</si>
  <si>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</si>
  <si>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</si>
  <si>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</si>
  <si>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</si>
  <si>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</si>
  <si>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</si>
  <si>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</si>
  <si>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</si>
  <si>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</si>
  <si>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</si>
  <si>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</si>
  <si>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</si>
  <si>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</si>
  <si>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</si>
  <si>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</si>
  <si>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</si>
  <si>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</si>
  <si>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</si>
  <si>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</si>
  <si>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</si>
  <si>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</si>
  <si>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</si>
  <si>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</si>
  <si>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</si>
  <si>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</si>
  <si>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</si>
  <si>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</si>
  <si>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</si>
  <si>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</si>
  <si>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</si>
  <si>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</si>
  <si>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</si>
  <si>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</si>
  <si>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</si>
  <si>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</si>
  <si>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</si>
  <si>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</si>
  <si>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</si>
  <si>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</si>
  <si>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</si>
  <si>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</si>
  <si>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</si>
  <si>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</si>
  <si>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</si>
  <si>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</si>
  <si>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</si>
  <si>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</si>
  <si>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</si>
  <si>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</si>
  <si>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</si>
  <si>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</si>
  <si>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</si>
  <si>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</si>
  <si>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</si>
  <si>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</si>
  <si>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</si>
  <si>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</si>
  <si>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</si>
  <si>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</si>
  <si>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</si>
  <si>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</si>
  <si>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</si>
  <si>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</si>
  <si>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</si>
  <si>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</si>
  <si>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</si>
  <si>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</si>
  <si>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</si>
  <si>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</si>
  <si>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</si>
  <si>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</si>
  <si>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</si>
  <si>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</si>
  <si>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</si>
  <si>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</si>
  <si>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</si>
  <si>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</si>
  <si>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</si>
  <si>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</si>
  <si>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</si>
  <si>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</si>
  <si>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</si>
  <si>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</si>
  <si>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</si>
  <si>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</si>
  <si>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</si>
  <si>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</si>
  <si>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</si>
  <si>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</si>
  <si>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</si>
  <si>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</si>
  <si>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</si>
  <si>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</si>
  <si>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</si>
  <si>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</si>
  <si>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</si>
  <si>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</si>
  <si>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</si>
  <si>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</si>
  <si>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</si>
  <si>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</si>
  <si>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</si>
  <si>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</si>
  <si>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</si>
  <si>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</si>
  <si>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</si>
  <si>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</si>
  <si>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</si>
  <si>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</si>
  <si>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</si>
  <si>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</si>
  <si>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</si>
  <si>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</si>
  <si>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</si>
  <si>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</si>
  <si>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</si>
  <si>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</si>
  <si>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</si>
  <si>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</si>
  <si>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</si>
  <si>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</si>
  <si>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</si>
  <si>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</si>
  <si>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</si>
  <si>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</si>
  <si>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</si>
  <si>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</si>
  <si>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</si>
  <si>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</si>
  <si>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</si>
  <si>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</si>
  <si>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</si>
  <si>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</si>
  <si>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</si>
  <si>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</si>
  <si>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</si>
  <si>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</si>
  <si>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</si>
  <si>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</si>
  <si>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</si>
  <si>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</si>
  <si>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</si>
  <si>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</si>
  <si>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</si>
  <si>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</si>
  <si>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</si>
  <si>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</si>
  <si>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</si>
  <si>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</si>
  <si>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</si>
  <si>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</si>
  <si>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</si>
  <si>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</si>
  <si>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</si>
  <si>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</si>
  <si>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</si>
  <si>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</si>
  <si>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</si>
  <si>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</si>
  <si>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</si>
  <si>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</si>
  <si>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</si>
  <si>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</si>
  <si>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</si>
  <si>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</si>
  <si>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</si>
  <si>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</si>
  <si>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</si>
  <si>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</si>
  <si>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</si>
  <si>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</si>
  <si>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</si>
  <si>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</si>
  <si>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</si>
  <si>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</si>
  <si>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</si>
  <si>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</si>
  <si>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</si>
  <si>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</si>
  <si>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</si>
  <si>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</si>
  <si>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</si>
  <si>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</si>
  <si>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</si>
  <si>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</si>
  <si>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</si>
  <si>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</si>
  <si>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</si>
  <si>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</si>
  <si>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</si>
  <si>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</si>
  <si>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</si>
  <si>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</si>
  <si>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</si>
  <si>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</si>
  <si>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</si>
  <si>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</si>
  <si>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</si>
  <si>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</si>
  <si>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</si>
  <si>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</si>
  <si>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</si>
  <si>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</si>
  <si>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</si>
  <si>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</si>
  <si>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</si>
  <si>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</si>
  <si>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</si>
  <si>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</si>
  <si>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</si>
  <si>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</si>
  <si>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</si>
  <si>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</si>
  <si>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</si>
  <si>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</si>
  <si>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</si>
  <si>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</si>
  <si>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</si>
  <si>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</si>
  <si>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</si>
  <si>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</si>
  <si>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</si>
  <si>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</si>
  <si>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</si>
  <si>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</si>
  <si>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</si>
  <si>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</si>
  <si>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</si>
  <si>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</si>
  <si>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</si>
  <si>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</si>
  <si>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福建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</si>
  <si>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</si>
  <si>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</si>
  <si>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</si>
  <si>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</si>
  <si>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</si>
  <si>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</si>
  <si>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</si>
  <si>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</si>
  <si>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</si>
  <si>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</si>
  <si>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</si>
  <si>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</si>
  <si>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</si>
  <si>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</si>
  <si>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</si>
  <si>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</si>
  <si>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</si>
  <si>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</si>
  <si>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</si>
  <si>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</si>
  <si>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</si>
  <si>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</si>
  <si>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</si>
  <si>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</si>
  <si>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</si>
  <si>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</si>
  <si>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</si>
  <si>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</si>
  <si>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</si>
  <si>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</si>
  <si>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</si>
  <si>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</si>
  <si>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</si>
  <si>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</si>
  <si>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</si>
  <si>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</si>
  <si>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</si>
  <si>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</si>
  <si>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</si>
  <si>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</si>
  <si>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</si>
  <si>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</si>
  <si>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</si>
  <si>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</si>
  <si>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</si>
  <si>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</si>
  <si>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</si>
  <si>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</si>
  <si>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</si>
  <si>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</si>
  <si>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</si>
  <si>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</si>
  <si>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</si>
  <si>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</si>
  <si>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</si>
  <si>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</si>
  <si>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</si>
  <si>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</si>
  <si>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</si>
  <si>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</si>
  <si>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</si>
  <si>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</si>
  <si>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</si>
  <si>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</si>
  <si>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</si>
  <si>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</si>
  <si>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</si>
  <si>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</si>
  <si>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</si>
  <si>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</si>
  <si>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</si>
  <si>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</si>
  <si>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</si>
  <si>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</si>
  <si>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</si>
  <si>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</si>
  <si>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</si>
  <si>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</si>
  <si>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</si>
  <si>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</si>
  <si>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</si>
  <si>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</si>
  <si>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</si>
  <si>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</si>
  <si>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</si>
  <si>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</si>
  <si>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</si>
  <si>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</si>
  <si>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</si>
  <si>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</si>
  <si>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</si>
  <si>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</si>
  <si>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</si>
  <si>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</si>
  <si>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</si>
  <si>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</si>
  <si>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</si>
  <si>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</si>
  <si>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</si>
  <si>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</si>
  <si>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</si>
  <si>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</si>
  <si>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</si>
  <si>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</si>
  <si>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</si>
  <si>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</si>
  <si>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</si>
  <si>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</si>
  <si>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</si>
  <si>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</si>
  <si>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</si>
  <si>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</si>
  <si>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</si>
  <si>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</si>
  <si>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</si>
  <si>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</si>
  <si>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</si>
  <si>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</si>
  <si>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</si>
  <si>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</si>
  <si>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</si>
  <si>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</si>
  <si>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</si>
  <si>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</si>
  <si>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</si>
  <si>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</si>
  <si>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</si>
  <si>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</si>
  <si>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</si>
  <si>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</si>
  <si>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</si>
  <si>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</si>
  <si>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</si>
  <si>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</si>
  <si>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</si>
  <si>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</si>
  <si>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</si>
  <si>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</si>
  <si>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</si>
  <si>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</si>
  <si>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</si>
  <si>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</si>
  <si>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</si>
  <si>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</si>
  <si>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</si>
  <si>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</si>
  <si>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2018年4月9日收盘基差表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</si>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</sst>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11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2" borderId="0" xfId="0" applyFill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zoomScaleNormal="100" workbookViewId="0">
      <selection activeCell="D45" sqref="D45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2" t="s">
        <v>677</v>
      </c>
      <c r="C2" s="72"/>
      <c r="D2" s="72"/>
      <c r="E2" s="72"/>
      <c r="F2" s="72"/>
      <c r="G2" s="72"/>
      <c r="H2" s="72"/>
      <c r="I2" s="72"/>
      <c r="J2" s="12"/>
      <c r="K2" s="71" t="s">
        <v>1</v>
      </c>
      <c r="L2" s="70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1"/>
      <c r="L3" s="70"/>
    </row>
    <row r="4" spans="2:14" ht="18" customHeight="1">
      <c r="B4" s="53" t="str">
        <f>排序表!A2</f>
        <v>菜油</v>
      </c>
      <c r="C4" s="54">
        <f>排序表!C2</f>
        <v>6740</v>
      </c>
      <c r="D4" s="55">
        <f>排序表!D2</f>
        <v>100</v>
      </c>
      <c r="E4" s="56">
        <f>排序表!G2</f>
        <v>402</v>
      </c>
      <c r="F4" s="55">
        <f>排序表!H2</f>
        <v>98</v>
      </c>
      <c r="G4" s="49">
        <f>排序表!I2</f>
        <v>6.3426948564215838E-2</v>
      </c>
      <c r="H4" s="49"/>
      <c r="I4" s="57" t="str">
        <f>排序表!E2</f>
        <v>广东东莞</v>
      </c>
      <c r="J4" s="48"/>
      <c r="K4" s="53"/>
      <c r="L4" s="53"/>
    </row>
    <row r="5" spans="2:14" ht="18" customHeight="1">
      <c r="B5" s="60" t="str">
        <f>排序表!A3</f>
        <v>动力煤</v>
      </c>
      <c r="C5" s="60">
        <f>排序表!C3</f>
        <v>596</v>
      </c>
      <c r="D5" s="61">
        <f>排序表!D3</f>
        <v>-3</v>
      </c>
      <c r="E5" s="60">
        <f>排序表!G3</f>
        <v>34.199999999999932</v>
      </c>
      <c r="F5" s="61">
        <f>排序表!H3</f>
        <v>-1.2000000000000455</v>
      </c>
      <c r="G5" s="62">
        <f>排序表!I3</f>
        <v>6.0875756496973882E-2</v>
      </c>
      <c r="H5" s="60"/>
      <c r="I5" s="63" t="str">
        <f>排序表!E3</f>
        <v>秦皇岛港</v>
      </c>
      <c r="J5" s="48"/>
      <c r="K5" s="60"/>
      <c r="L5" s="60"/>
    </row>
    <row r="6" spans="2:14" ht="18" customHeight="1">
      <c r="B6" s="53" t="str">
        <f>排序表!A4</f>
        <v>玻璃</v>
      </c>
      <c r="C6" s="54">
        <f>排序表!C4</f>
        <v>1460</v>
      </c>
      <c r="D6" s="55">
        <f>排序表!D4</f>
        <v>-80</v>
      </c>
      <c r="E6" s="56">
        <f>排序表!G4</f>
        <v>75</v>
      </c>
      <c r="F6" s="55">
        <f>排序表!H4</f>
        <v>-80</v>
      </c>
      <c r="G6" s="49">
        <f>排序表!I4</f>
        <v>5.4151624548736461E-2</v>
      </c>
      <c r="H6" s="49"/>
      <c r="I6" s="57" t="str">
        <f>排序表!E4</f>
        <v>沙河</v>
      </c>
      <c r="J6" s="48"/>
      <c r="K6" s="53"/>
      <c r="L6" s="53"/>
    </row>
    <row r="7" spans="2:14" ht="18" customHeight="1">
      <c r="B7" s="60" t="str">
        <f>排序表!A5</f>
        <v>焦煤</v>
      </c>
      <c r="C7" s="60">
        <f>排序表!C5</f>
        <v>1350</v>
      </c>
      <c r="D7" s="61">
        <f>排序表!D5</f>
        <v>0</v>
      </c>
      <c r="E7" s="60">
        <f>排序表!G5</f>
        <v>59</v>
      </c>
      <c r="F7" s="61">
        <f>排序表!H5</f>
        <v>9.5</v>
      </c>
      <c r="G7" s="62">
        <f>排序表!I5</f>
        <v>4.5701006971340045E-2</v>
      </c>
      <c r="H7" s="60"/>
      <c r="I7" s="63" t="str">
        <f>排序表!E5</f>
        <v>日照港</v>
      </c>
      <c r="J7" s="48"/>
      <c r="K7" s="60"/>
      <c r="L7" s="60"/>
    </row>
    <row r="8" spans="2:14" ht="18" customHeight="1">
      <c r="B8" s="53" t="str">
        <f>排序表!A6</f>
        <v>棉花</v>
      </c>
      <c r="C8" s="54">
        <f>排序表!C6</f>
        <v>15355</v>
      </c>
      <c r="D8" s="55">
        <f>排序表!D6</f>
        <v>-30</v>
      </c>
      <c r="E8" s="56">
        <f>排序表!G6</f>
        <v>560</v>
      </c>
      <c r="F8" s="55">
        <f>排序表!H6</f>
        <v>-70</v>
      </c>
      <c r="G8" s="49">
        <f>排序表!I6</f>
        <v>3.7850625211220006E-2</v>
      </c>
      <c r="H8" s="49"/>
      <c r="I8" s="57" t="str">
        <f>排序表!E6</f>
        <v>新疆</v>
      </c>
      <c r="J8" s="48"/>
      <c r="K8" s="53"/>
      <c r="L8" s="53"/>
      <c r="N8" s="32"/>
    </row>
    <row r="9" spans="2:14" ht="18" customHeight="1">
      <c r="B9" s="60" t="str">
        <f>排序表!A7</f>
        <v>豆油</v>
      </c>
      <c r="C9" s="60">
        <f>排序表!C7</f>
        <v>6020</v>
      </c>
      <c r="D9" s="61">
        <f>排序表!D7</f>
        <v>270</v>
      </c>
      <c r="E9" s="60">
        <f>排序表!G7</f>
        <v>218</v>
      </c>
      <c r="F9" s="61">
        <f>排序表!H7</f>
        <v>242</v>
      </c>
      <c r="G9" s="62">
        <f>排序表!I7</f>
        <v>3.7573250603240259E-2</v>
      </c>
      <c r="H9" s="60"/>
      <c r="I9" s="63" t="str">
        <f>排序表!E7</f>
        <v>日照</v>
      </c>
      <c r="J9" s="48"/>
      <c r="K9" s="60"/>
      <c r="L9" s="60"/>
    </row>
    <row r="10" spans="2:14" ht="18" customHeight="1">
      <c r="B10" s="53" t="str">
        <f>排序表!A8</f>
        <v>淀粉</v>
      </c>
      <c r="C10" s="54">
        <f>排序表!C8</f>
        <v>2200</v>
      </c>
      <c r="D10" s="55">
        <f>排序表!D8</f>
        <v>0</v>
      </c>
      <c r="E10" s="56">
        <f>排序表!G8</f>
        <v>79</v>
      </c>
      <c r="F10" s="55">
        <f>排序表!H8</f>
        <v>44</v>
      </c>
      <c r="G10" s="49">
        <f>排序表!I8</f>
        <v>3.7246581801037244E-2</v>
      </c>
      <c r="H10" s="49"/>
      <c r="I10" s="57" t="str">
        <f>排序表!E8</f>
        <v>东北</v>
      </c>
      <c r="J10" s="48"/>
      <c r="K10" s="53"/>
      <c r="L10" s="53"/>
    </row>
    <row r="11" spans="2:14" ht="18" customHeight="1">
      <c r="B11" s="60" t="str">
        <f>排序表!A9</f>
        <v>螺纹钢</v>
      </c>
      <c r="C11" s="60">
        <f>排序表!C9</f>
        <v>3783.5</v>
      </c>
      <c r="D11" s="61">
        <f>排序表!D9</f>
        <v>-20.5</v>
      </c>
      <c r="E11" s="60">
        <f>排序表!G9</f>
        <v>134.5</v>
      </c>
      <c r="F11" s="61">
        <f>排序表!H9</f>
        <v>-79.5</v>
      </c>
      <c r="G11" s="62">
        <f>排序表!I9</f>
        <v>3.6859413537955604E-2</v>
      </c>
      <c r="H11" s="60"/>
      <c r="I11" s="63" t="str">
        <f>排序表!E9</f>
        <v>上海</v>
      </c>
      <c r="J11" s="48"/>
      <c r="K11" s="60"/>
      <c r="L11" s="60"/>
    </row>
    <row r="12" spans="2:14" ht="18" customHeight="1">
      <c r="B12" s="53" t="str">
        <f>排序表!A10</f>
        <v>铁矿石</v>
      </c>
      <c r="C12" s="54">
        <f>排序表!C10</f>
        <v>448.7</v>
      </c>
      <c r="D12" s="55">
        <f>排序表!D10</f>
        <v>-3.1999999999999886</v>
      </c>
      <c r="E12" s="56">
        <f>排序表!G10</f>
        <v>13.199999999999989</v>
      </c>
      <c r="F12" s="55">
        <f>排序表!H10</f>
        <v>-7.6999999999999886</v>
      </c>
      <c r="G12" s="49">
        <f>排序表!I10</f>
        <v>3.0309988518943717E-2</v>
      </c>
      <c r="H12" s="49"/>
      <c r="I12" s="57" t="str">
        <f>排序表!E10</f>
        <v>青岛港</v>
      </c>
      <c r="J12" s="48"/>
      <c r="K12" s="53"/>
      <c r="L12" s="53"/>
    </row>
    <row r="13" spans="2:14" ht="18" customHeight="1">
      <c r="B13" s="60" t="str">
        <f>排序表!A11</f>
        <v>玉米</v>
      </c>
      <c r="C13" s="60">
        <f>排序表!C11</f>
        <v>1830</v>
      </c>
      <c r="D13" s="61">
        <f>排序表!D11</f>
        <v>-10</v>
      </c>
      <c r="E13" s="60">
        <f>排序表!G11</f>
        <v>53</v>
      </c>
      <c r="F13" s="61">
        <f>排序表!H11</f>
        <v>2</v>
      </c>
      <c r="G13" s="62">
        <f>排序表!I11</f>
        <v>2.9825548677546426E-2</v>
      </c>
      <c r="H13" s="60"/>
      <c r="I13" s="63" t="str">
        <f>排序表!E11</f>
        <v>鲅鱼圈平舱价</v>
      </c>
      <c r="J13" s="48"/>
      <c r="K13" s="60"/>
      <c r="L13" s="60"/>
    </row>
    <row r="14" spans="2:14" ht="18" customHeight="1">
      <c r="B14" s="53" t="str">
        <f>排序表!A12</f>
        <v>豆粕</v>
      </c>
      <c r="C14" s="54">
        <f>排序表!C12</f>
        <v>3360</v>
      </c>
      <c r="D14" s="55">
        <f>排序表!D12</f>
        <v>110</v>
      </c>
      <c r="E14" s="56">
        <f>排序表!G12</f>
        <v>67</v>
      </c>
      <c r="F14" s="55">
        <f>排序表!H12</f>
        <v>-8</v>
      </c>
      <c r="G14" s="49">
        <f>排序表!I12</f>
        <v>2.0346188885514729E-2</v>
      </c>
      <c r="H14" s="49"/>
      <c r="I14" s="57" t="str">
        <f>排序表!E12</f>
        <v>广东</v>
      </c>
      <c r="J14" s="48"/>
      <c r="K14" s="53"/>
      <c r="L14" s="53"/>
    </row>
    <row r="15" spans="2:14" ht="18" customHeight="1">
      <c r="B15" s="60" t="str">
        <f>排序表!A13</f>
        <v>热卷</v>
      </c>
      <c r="C15" s="60">
        <f>排序表!C13</f>
        <v>3830</v>
      </c>
      <c r="D15" s="61">
        <f>排序表!D13</f>
        <v>20</v>
      </c>
      <c r="E15" s="60">
        <f>排序表!G13</f>
        <v>48</v>
      </c>
      <c r="F15" s="61">
        <f>排序表!H13</f>
        <v>-49</v>
      </c>
      <c r="G15" s="62">
        <f>排序表!I13</f>
        <v>1.269169751454257E-2</v>
      </c>
      <c r="H15" s="60"/>
      <c r="I15" s="63" t="str">
        <f>排序表!E13</f>
        <v>上海</v>
      </c>
      <c r="J15" s="48"/>
      <c r="K15" s="60"/>
      <c r="L15" s="60"/>
    </row>
    <row r="16" spans="2:14" ht="18" customHeight="1">
      <c r="B16" s="53" t="str">
        <f>排序表!A14</f>
        <v>白糖</v>
      </c>
      <c r="C16" s="54">
        <f>排序表!C14</f>
        <v>5660</v>
      </c>
      <c r="D16" s="55">
        <f>排序表!D14</f>
        <v>-10</v>
      </c>
      <c r="E16" s="56">
        <f>排序表!G14</f>
        <v>69</v>
      </c>
      <c r="F16" s="55">
        <f>排序表!H14</f>
        <v>1</v>
      </c>
      <c r="G16" s="49">
        <f>排序表!I14</f>
        <v>1.2341262743695224E-2</v>
      </c>
      <c r="H16" s="49"/>
      <c r="I16" s="57" t="str">
        <f>排序表!E14</f>
        <v>南宁</v>
      </c>
      <c r="J16" s="48"/>
      <c r="K16" s="53"/>
      <c r="L16" s="53"/>
    </row>
    <row r="17" spans="2:18" ht="18" customHeight="1">
      <c r="B17" s="60" t="str">
        <f>排序表!A15</f>
        <v>棕榈油</v>
      </c>
      <c r="C17" s="60">
        <f>排序表!C15</f>
        <v>5180</v>
      </c>
      <c r="D17" s="61">
        <f>排序表!D15</f>
        <v>110</v>
      </c>
      <c r="E17" s="60">
        <f>排序表!G15</f>
        <v>56</v>
      </c>
      <c r="F17" s="61">
        <f>排序表!H15</f>
        <v>100</v>
      </c>
      <c r="G17" s="62">
        <f>排序表!I15</f>
        <v>1.092896174863388E-2</v>
      </c>
      <c r="H17" s="60"/>
      <c r="I17" s="63" t="str">
        <f>排序表!E15</f>
        <v>天津港</v>
      </c>
      <c r="J17" s="48"/>
      <c r="K17" s="60"/>
      <c r="L17" s="60"/>
    </row>
    <row r="18" spans="2:18" ht="18" customHeight="1">
      <c r="B18" s="53" t="str">
        <f>排序表!A16</f>
        <v>菜粕</v>
      </c>
      <c r="C18" s="54">
        <f>排序表!C16</f>
        <v>2730</v>
      </c>
      <c r="D18" s="55">
        <f>排序表!D16</f>
        <v>160</v>
      </c>
      <c r="E18" s="56">
        <f>排序表!G16</f>
        <v>29</v>
      </c>
      <c r="F18" s="55">
        <f>排序表!H16</f>
        <v>69</v>
      </c>
      <c r="G18" s="49">
        <f>排序表!I16</f>
        <v>1.0736764161421697E-2</v>
      </c>
      <c r="H18" s="49"/>
      <c r="I18" s="57" t="str">
        <f>排序表!E16</f>
        <v>福建</v>
      </c>
      <c r="J18" s="48"/>
      <c r="K18" s="53"/>
      <c r="L18" s="53"/>
    </row>
    <row r="19" spans="2:18" ht="18" customHeight="1">
      <c r="B19" s="60" t="str">
        <f>排序表!A17</f>
        <v>中证500</v>
      </c>
      <c r="C19" s="60">
        <f>排序表!C17</f>
        <v>6025.6500000000005</v>
      </c>
      <c r="D19" s="61">
        <f>排序表!D17</f>
        <v>7.9600000000000364</v>
      </c>
      <c r="E19" s="60">
        <f>排序表!G17</f>
        <v>43.850000000000364</v>
      </c>
      <c r="F19" s="61">
        <f>排序表!H17</f>
        <v>2.1599999999998545</v>
      </c>
      <c r="G19" s="62">
        <f>排序表!I17</f>
        <v>7.3305693938280053E-3</v>
      </c>
      <c r="H19" s="60"/>
      <c r="I19" s="63" t="str">
        <f>排序表!E17</f>
        <v>无</v>
      </c>
      <c r="J19" s="48"/>
      <c r="K19" s="60"/>
      <c r="L19" s="60"/>
    </row>
    <row r="20" spans="2:18" ht="18" customHeight="1">
      <c r="B20" s="53" t="str">
        <f>排序表!A18</f>
        <v>沥青</v>
      </c>
      <c r="C20" s="54">
        <f>排序表!C18</f>
        <v>2760</v>
      </c>
      <c r="D20" s="55">
        <f>排序表!D18</f>
        <v>35</v>
      </c>
      <c r="E20" s="56">
        <f>排序表!G18</f>
        <v>14</v>
      </c>
      <c r="F20" s="55">
        <f>排序表!H18</f>
        <v>73</v>
      </c>
      <c r="G20" s="49">
        <f>排序表!I18</f>
        <v>5.0983248361252727E-3</v>
      </c>
      <c r="H20" s="49"/>
      <c r="I20" s="57" t="str">
        <f>排序表!E18</f>
        <v>华东</v>
      </c>
      <c r="J20" s="48"/>
      <c r="K20" s="53"/>
      <c r="L20" s="53"/>
      <c r="R20" s="33"/>
    </row>
    <row r="21" spans="2:18" ht="18" customHeight="1">
      <c r="B21" s="60" t="str">
        <f>排序表!A19</f>
        <v>沪深300</v>
      </c>
      <c r="C21" s="60">
        <f>排序表!C19</f>
        <v>3852.9300000000003</v>
      </c>
      <c r="D21" s="61">
        <f>排序表!D19</f>
        <v>-1.9299999999998363</v>
      </c>
      <c r="E21" s="60">
        <f>排序表!G19</f>
        <v>7.1300000000001091</v>
      </c>
      <c r="F21" s="61">
        <f>排序表!H19</f>
        <v>-6.1300000000001091</v>
      </c>
      <c r="G21" s="62">
        <f>排序表!I19</f>
        <v>1.8539705652920351E-3</v>
      </c>
      <c r="H21" s="60"/>
      <c r="I21" s="63" t="str">
        <f>排序表!E19</f>
        <v>无</v>
      </c>
      <c r="J21" s="48"/>
      <c r="K21" s="60"/>
      <c r="L21" s="60"/>
    </row>
    <row r="22" spans="2:18" ht="18" customHeight="1">
      <c r="B22" s="53" t="str">
        <f>排序表!A20</f>
        <v>焦炭</v>
      </c>
      <c r="C22" s="54">
        <f>排序表!C20</f>
        <v>1880</v>
      </c>
      <c r="D22" s="55">
        <f>排序表!D20</f>
        <v>0</v>
      </c>
      <c r="E22" s="56">
        <f>排序表!G20</f>
        <v>3</v>
      </c>
      <c r="F22" s="55">
        <f>排序表!H20</f>
        <v>12</v>
      </c>
      <c r="G22" s="49">
        <f>排序表!I20</f>
        <v>1.5982951518380393E-3</v>
      </c>
      <c r="H22" s="49"/>
      <c r="I22" s="57" t="str">
        <f>排序表!E20</f>
        <v>日照</v>
      </c>
      <c r="J22" s="48"/>
      <c r="K22" s="53"/>
      <c r="L22" s="53"/>
    </row>
    <row r="23" spans="2:18" ht="18" customHeight="1">
      <c r="B23" s="60" t="str">
        <f>排序表!A21</f>
        <v>上证50</v>
      </c>
      <c r="C23" s="60">
        <f>排序表!C21</f>
        <v>2715.73</v>
      </c>
      <c r="D23" s="61">
        <f>排序表!D21</f>
        <v>13.360000000000127</v>
      </c>
      <c r="E23" s="60">
        <f>排序表!G21</f>
        <v>-2.0700000000001637</v>
      </c>
      <c r="F23" s="61">
        <f>排序表!H21</f>
        <v>-6.4400000000000546</v>
      </c>
      <c r="G23" s="62">
        <f>排序表!I21</f>
        <v>-7.6164544852460215E-4</v>
      </c>
      <c r="H23" s="60"/>
      <c r="I23" s="63" t="str">
        <f>排序表!E21</f>
        <v>无</v>
      </c>
      <c r="J23" s="48"/>
      <c r="K23" s="60"/>
      <c r="L23" s="60"/>
    </row>
    <row r="24" spans="2:18" ht="18" customHeight="1">
      <c r="B24" s="53" t="str">
        <f>排序表!A22</f>
        <v>LLDPE</v>
      </c>
      <c r="C24" s="54">
        <f>排序表!C22</f>
        <v>9265</v>
      </c>
      <c r="D24" s="55">
        <f>排序表!D22</f>
        <v>150</v>
      </c>
      <c r="E24" s="56">
        <f>排序表!G22</f>
        <v>-30</v>
      </c>
      <c r="F24" s="55">
        <f>排序表!H22</f>
        <v>50</v>
      </c>
      <c r="G24" s="49">
        <f>排序表!I22</f>
        <v>-3.2275416890801506E-3</v>
      </c>
      <c r="H24" s="49"/>
      <c r="I24" s="57" t="str">
        <f>排序表!E22</f>
        <v>华北</v>
      </c>
      <c r="J24" s="48"/>
      <c r="K24" s="53"/>
      <c r="L24" s="53"/>
    </row>
    <row r="25" spans="2:18" ht="18" customHeight="1">
      <c r="B25" s="60" t="str">
        <f>排序表!A23</f>
        <v>PTA</v>
      </c>
      <c r="C25" s="60">
        <f>排序表!C23</f>
        <v>5368</v>
      </c>
      <c r="D25" s="61">
        <f>排序表!D23</f>
        <v>-72</v>
      </c>
      <c r="E25" s="60">
        <f>排序表!G23</f>
        <v>-20</v>
      </c>
      <c r="F25" s="61">
        <f>排序表!H23</f>
        <v>-36</v>
      </c>
      <c r="G25" s="62">
        <f>排序表!I23</f>
        <v>-3.7119524870081661E-3</v>
      </c>
      <c r="H25" s="60"/>
      <c r="I25" s="63" t="str">
        <f>排序表!E23</f>
        <v>华东</v>
      </c>
      <c r="J25" s="48"/>
      <c r="K25" s="60"/>
      <c r="L25" s="60"/>
    </row>
    <row r="26" spans="2:18" ht="18" customHeight="1">
      <c r="B26" s="53" t="str">
        <f>排序表!A24</f>
        <v>棉纱</v>
      </c>
      <c r="C26" s="54">
        <f>排序表!C24</f>
        <v>23150</v>
      </c>
      <c r="D26" s="55">
        <f>排序表!D24</f>
        <v>0</v>
      </c>
      <c r="E26" s="56">
        <f>排序表!G24</f>
        <v>-150</v>
      </c>
      <c r="F26" s="55">
        <f>排序表!H24</f>
        <v>0</v>
      </c>
      <c r="G26" s="49">
        <f>排序表!I24</f>
        <v>-6.4377682403433476E-3</v>
      </c>
      <c r="H26" s="49"/>
      <c r="I26" s="57" t="str">
        <f>排序表!E24</f>
        <v>江苏</v>
      </c>
      <c r="J26" s="48"/>
      <c r="K26" s="53"/>
      <c r="L26" s="53"/>
    </row>
    <row r="27" spans="2:18" ht="18" customHeight="1">
      <c r="B27" s="60" t="str">
        <f>排序表!A25</f>
        <v>铜</v>
      </c>
      <c r="C27" s="60">
        <f>排序表!C25</f>
        <v>50330</v>
      </c>
      <c r="D27" s="61">
        <f>排序表!D25</f>
        <v>-70</v>
      </c>
      <c r="E27" s="60">
        <f>排序表!G25</f>
        <v>-350</v>
      </c>
      <c r="F27" s="61">
        <f>排序表!H25</f>
        <v>-410</v>
      </c>
      <c r="G27" s="62">
        <f>排序表!I25</f>
        <v>-6.9060773480662981E-3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锌</v>
      </c>
      <c r="C28" s="54">
        <f>排序表!C26</f>
        <v>24390</v>
      </c>
      <c r="D28" s="55">
        <f>排序表!D26</f>
        <v>-250</v>
      </c>
      <c r="E28" s="56">
        <f>排序表!G26</f>
        <v>-205</v>
      </c>
      <c r="F28" s="55">
        <f>排序表!H26</f>
        <v>-130</v>
      </c>
      <c r="G28" s="49">
        <f>排序表!I26</f>
        <v>-8.3350274446025614E-3</v>
      </c>
      <c r="H28" s="49"/>
      <c r="I28" s="57" t="str">
        <f>排序表!E26</f>
        <v>上海</v>
      </c>
      <c r="J28" s="48"/>
      <c r="K28" s="53"/>
      <c r="L28" s="53"/>
    </row>
    <row r="29" spans="2:18" ht="18" customHeight="1">
      <c r="B29" s="60" t="str">
        <f>排序表!A27</f>
        <v>铝</v>
      </c>
      <c r="C29" s="60">
        <f>排序表!C27</f>
        <v>14040</v>
      </c>
      <c r="D29" s="61">
        <f>排序表!D27</f>
        <v>80</v>
      </c>
      <c r="E29" s="60">
        <f>排序表!G27</f>
        <v>-150</v>
      </c>
      <c r="F29" s="61">
        <f>排序表!H27</f>
        <v>-115</v>
      </c>
      <c r="G29" s="62">
        <f>排序表!I27</f>
        <v>-1.0570824524312896E-2</v>
      </c>
      <c r="H29" s="60"/>
      <c r="I29" s="63" t="str">
        <f>排序表!E27</f>
        <v>上海</v>
      </c>
      <c r="J29" s="48"/>
      <c r="K29" s="60"/>
      <c r="L29" s="60"/>
    </row>
    <row r="30" spans="2:18" ht="18" customHeight="1">
      <c r="B30" s="53" t="str">
        <f>排序表!A28</f>
        <v>PP</v>
      </c>
      <c r="C30" s="54">
        <f>排序表!C28</f>
        <v>8848</v>
      </c>
      <c r="D30" s="55">
        <f>排序表!D28</f>
        <v>132</v>
      </c>
      <c r="E30" s="56">
        <f>排序表!G28</f>
        <v>-100</v>
      </c>
      <c r="F30" s="55">
        <f>排序表!H28</f>
        <v>0</v>
      </c>
      <c r="G30" s="49">
        <f>排序表!I28</f>
        <v>-1.1175681716584712E-2</v>
      </c>
      <c r="H30" s="49"/>
      <c r="I30" s="57" t="str">
        <f>排序表!E28</f>
        <v>华东</v>
      </c>
      <c r="J30" s="48"/>
      <c r="K30" s="53"/>
      <c r="L30" s="53"/>
    </row>
    <row r="31" spans="2:18" ht="18" customHeight="1">
      <c r="B31" s="60" t="str">
        <f>排序表!A29</f>
        <v>镍</v>
      </c>
      <c r="C31" s="60">
        <f>排序表!C29</f>
        <v>98250</v>
      </c>
      <c r="D31" s="61">
        <f>排序表!D29</f>
        <v>-1300</v>
      </c>
      <c r="E31" s="60">
        <f>排序表!G29</f>
        <v>-1380</v>
      </c>
      <c r="F31" s="61">
        <f>排序表!H29</f>
        <v>-580</v>
      </c>
      <c r="G31" s="62">
        <f>排序表!I29</f>
        <v>-1.3851249623607348E-2</v>
      </c>
      <c r="H31" s="60"/>
      <c r="I31" s="63" t="str">
        <f>排序表!E29</f>
        <v>上海</v>
      </c>
      <c r="J31" s="48"/>
      <c r="K31" s="60"/>
      <c r="L31" s="60"/>
    </row>
    <row r="32" spans="2:18" ht="18" customHeight="1">
      <c r="B32" s="53" t="str">
        <f>排序表!A30</f>
        <v>甲醇</v>
      </c>
      <c r="C32" s="54">
        <f>排序表!C30</f>
        <v>2700</v>
      </c>
      <c r="D32" s="55">
        <f>排序表!D30</f>
        <v>-50</v>
      </c>
      <c r="E32" s="56">
        <f>排序表!G30</f>
        <v>-42</v>
      </c>
      <c r="F32" s="55">
        <f>排序表!H30</f>
        <v>-122</v>
      </c>
      <c r="G32" s="49">
        <f>排序表!I30</f>
        <v>-1.5317286652078774E-2</v>
      </c>
      <c r="H32" s="49"/>
      <c r="I32" s="57" t="str">
        <f>排序表!E30</f>
        <v>河南</v>
      </c>
      <c r="J32" s="48"/>
      <c r="K32" s="53"/>
      <c r="L32" s="53"/>
    </row>
    <row r="33" spans="2:12" ht="18" customHeight="1">
      <c r="B33" s="60" t="str">
        <f>排序表!A31</f>
        <v>PVC</v>
      </c>
      <c r="C33" s="60">
        <f>排序表!C31</f>
        <v>6495</v>
      </c>
      <c r="D33" s="61">
        <f>排序表!D31</f>
        <v>80</v>
      </c>
      <c r="E33" s="60">
        <f>排序表!G31</f>
        <v>-140</v>
      </c>
      <c r="F33" s="61">
        <f>排序表!H31</f>
        <v>-80</v>
      </c>
      <c r="G33" s="62">
        <f>排序表!I31</f>
        <v>-2.110022607385079E-2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豆一</v>
      </c>
      <c r="C34" s="54">
        <f>排序表!C32</f>
        <v>3690</v>
      </c>
      <c r="D34" s="55">
        <f>排序表!D32</f>
        <v>0</v>
      </c>
      <c r="E34" s="56">
        <f>排序表!G32</f>
        <v>-223</v>
      </c>
      <c r="F34" s="55">
        <f>排序表!H32</f>
        <v>-69</v>
      </c>
      <c r="G34" s="49">
        <f>排序表!I32</f>
        <v>-5.6989522105801174E-2</v>
      </c>
      <c r="H34" s="49"/>
      <c r="I34" s="57" t="str">
        <f>排序表!E32</f>
        <v>哈尔滨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10270</v>
      </c>
      <c r="D35" s="61">
        <f>排序表!D33</f>
        <v>110</v>
      </c>
      <c r="E35" s="60">
        <f>排序表!G33</f>
        <v>-800</v>
      </c>
      <c r="F35" s="61">
        <f>排序表!H33</f>
        <v>0</v>
      </c>
      <c r="G35" s="62">
        <f>排序表!I33</f>
        <v>-7.2267389340560068E-2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676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531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tabSelected="1" workbookViewId="0">
      <selection activeCell="D32" sqref="D32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1880</v>
      </c>
      <c r="D2" s="22">
        <f>H2-J2</f>
        <v>1880</v>
      </c>
      <c r="E2" s="75" t="s">
        <v>145</v>
      </c>
      <c r="F2" s="16" t="s">
        <v>5</v>
      </c>
      <c r="G2" s="35">
        <v>1880</v>
      </c>
      <c r="H2" s="35">
        <v>1880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43199</v>
      </c>
      <c r="B3" s="19" t="s">
        <v>7</v>
      </c>
      <c r="C3" s="22">
        <f t="shared" ref="C3:C30" si="0">G3-J3</f>
        <v>1350</v>
      </c>
      <c r="D3" s="22">
        <f t="shared" ref="D3:D30" si="1">H3-J3</f>
        <v>1350</v>
      </c>
      <c r="E3" s="75"/>
      <c r="F3" s="16" t="s">
        <v>7</v>
      </c>
      <c r="G3" s="35">
        <v>1350</v>
      </c>
      <c r="H3" s="35">
        <v>1350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596</v>
      </c>
      <c r="D4" s="22">
        <f t="shared" si="1"/>
        <v>596</v>
      </c>
      <c r="E4" s="75"/>
      <c r="F4" s="16" t="s">
        <v>4</v>
      </c>
      <c r="G4" s="35">
        <v>596</v>
      </c>
      <c r="H4" s="35">
        <v>596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448.7</v>
      </c>
      <c r="D5" s="22">
        <f t="shared" si="1"/>
        <v>448.7</v>
      </c>
      <c r="E5" s="75"/>
      <c r="F5" s="16" t="s">
        <v>20</v>
      </c>
      <c r="G5" s="35">
        <v>448.7</v>
      </c>
      <c r="H5" s="35">
        <v>448.7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3783.5</v>
      </c>
      <c r="D6" s="22">
        <f t="shared" si="1"/>
        <v>3783.5</v>
      </c>
      <c r="E6" s="75"/>
      <c r="F6" s="16" t="s">
        <v>12</v>
      </c>
      <c r="G6" s="35">
        <v>3783.5</v>
      </c>
      <c r="H6" s="35">
        <v>3783.5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3830</v>
      </c>
      <c r="D7" s="22">
        <f t="shared" si="1"/>
        <v>3830</v>
      </c>
      <c r="E7" s="75"/>
      <c r="F7" s="16" t="s">
        <v>9</v>
      </c>
      <c r="G7" s="35">
        <v>3830</v>
      </c>
      <c r="H7" s="35">
        <v>3830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ref="C8" si="2">G8-J8</f>
        <v>10250</v>
      </c>
      <c r="D8" s="22">
        <f t="shared" ref="D8" si="3">H8-J8</f>
        <v>10270</v>
      </c>
      <c r="E8" s="75"/>
      <c r="F8" s="16" t="s">
        <v>31</v>
      </c>
      <c r="G8" s="35">
        <v>10250</v>
      </c>
      <c r="H8" s="35">
        <v>10270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615</v>
      </c>
      <c r="B9" s="19" t="s">
        <v>17</v>
      </c>
      <c r="C9" s="22">
        <f t="shared" si="0"/>
        <v>1540</v>
      </c>
      <c r="D9" s="22">
        <f t="shared" si="1"/>
        <v>1460</v>
      </c>
      <c r="E9" s="75"/>
      <c r="F9" s="16" t="s">
        <v>17</v>
      </c>
      <c r="G9" s="35">
        <v>1540</v>
      </c>
      <c r="H9" s="35">
        <v>1460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6495</v>
      </c>
      <c r="D10" s="22">
        <f t="shared" si="1"/>
        <v>6495</v>
      </c>
      <c r="E10" s="75"/>
      <c r="F10" s="16" t="s">
        <v>32</v>
      </c>
      <c r="G10" s="35">
        <v>6495</v>
      </c>
      <c r="H10" s="35">
        <v>6495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9290</v>
      </c>
      <c r="D11" s="22">
        <f t="shared" si="1"/>
        <v>9265</v>
      </c>
      <c r="E11" s="75"/>
      <c r="F11" s="16" t="s">
        <v>21</v>
      </c>
      <c r="G11" s="35">
        <v>9290</v>
      </c>
      <c r="H11" s="35">
        <v>9265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8836</v>
      </c>
      <c r="D12" s="22">
        <f t="shared" si="1"/>
        <v>8848</v>
      </c>
      <c r="E12" s="75"/>
      <c r="F12" s="16" t="s">
        <v>33</v>
      </c>
      <c r="G12" s="35">
        <v>8836</v>
      </c>
      <c r="H12" s="35">
        <v>8848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5368</v>
      </c>
      <c r="D13" s="22">
        <f t="shared" si="1"/>
        <v>5368</v>
      </c>
      <c r="E13" s="75"/>
      <c r="F13" s="16" t="s">
        <v>13</v>
      </c>
      <c r="G13" s="35">
        <v>5368</v>
      </c>
      <c r="H13" s="35">
        <v>5368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2760</v>
      </c>
      <c r="D14" s="22">
        <f t="shared" si="1"/>
        <v>2760</v>
      </c>
      <c r="E14" s="75"/>
      <c r="F14" s="16" t="s">
        <v>26</v>
      </c>
      <c r="G14" s="35">
        <v>2760</v>
      </c>
      <c r="H14" s="35">
        <v>2760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2700</v>
      </c>
      <c r="D15" s="22">
        <f t="shared" si="1"/>
        <v>2700</v>
      </c>
      <c r="E15" s="75"/>
      <c r="F15" s="16" t="s">
        <v>6</v>
      </c>
      <c r="G15" s="35">
        <v>2500</v>
      </c>
      <c r="H15" s="35">
        <v>2500</v>
      </c>
      <c r="I15" s="36" t="s">
        <v>528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5"/>
      <c r="F16" s="16" t="s">
        <v>15</v>
      </c>
      <c r="G16" s="35">
        <v>3540</v>
      </c>
      <c r="H16" s="35">
        <v>3540</v>
      </c>
      <c r="I16" s="36" t="s">
        <v>595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3420</v>
      </c>
      <c r="D17" s="22">
        <f t="shared" si="1"/>
        <v>3360</v>
      </c>
      <c r="E17" s="75"/>
      <c r="F17" s="16" t="s">
        <v>11</v>
      </c>
      <c r="G17" s="35">
        <v>3420</v>
      </c>
      <c r="H17" s="35">
        <v>3360</v>
      </c>
      <c r="I17" s="36" t="s">
        <v>617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2730</v>
      </c>
      <c r="D18" s="22">
        <f t="shared" si="1"/>
        <v>2730</v>
      </c>
      <c r="E18" s="75"/>
      <c r="F18" s="16" t="s">
        <v>23</v>
      </c>
      <c r="G18" s="35">
        <v>2730</v>
      </c>
      <c r="H18" s="35">
        <v>2730</v>
      </c>
      <c r="I18" s="36" t="s">
        <v>530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1830</v>
      </c>
      <c r="D19" s="22">
        <f t="shared" si="1"/>
        <v>1830</v>
      </c>
      <c r="E19" s="75"/>
      <c r="F19" s="16" t="s">
        <v>14</v>
      </c>
      <c r="G19" s="35">
        <v>1830</v>
      </c>
      <c r="H19" s="35">
        <v>1830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2200</v>
      </c>
      <c r="D20" s="22">
        <f t="shared" si="1"/>
        <v>2200</v>
      </c>
      <c r="E20" s="75"/>
      <c r="F20" s="16" t="s">
        <v>8</v>
      </c>
      <c r="G20" s="35">
        <v>2200</v>
      </c>
      <c r="H20" s="35">
        <v>2200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6020</v>
      </c>
      <c r="D21" s="22">
        <f t="shared" si="1"/>
        <v>6020</v>
      </c>
      <c r="E21" s="75"/>
      <c r="F21" s="16" t="s">
        <v>34</v>
      </c>
      <c r="G21" s="35">
        <v>5970</v>
      </c>
      <c r="H21" s="35">
        <v>5970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5180</v>
      </c>
      <c r="D22" s="22">
        <f t="shared" si="1"/>
        <v>5180</v>
      </c>
      <c r="E22" s="75"/>
      <c r="F22" s="16" t="s">
        <v>25</v>
      </c>
      <c r="G22" s="35">
        <v>5280</v>
      </c>
      <c r="H22" s="35">
        <v>5280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6590</v>
      </c>
      <c r="D23" s="22">
        <f t="shared" si="1"/>
        <v>6740</v>
      </c>
      <c r="E23" s="75"/>
      <c r="F23" s="16" t="s">
        <v>16</v>
      </c>
      <c r="G23" s="35">
        <v>6350</v>
      </c>
      <c r="H23" s="35">
        <v>6500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5660</v>
      </c>
      <c r="D24" s="22">
        <f t="shared" si="1"/>
        <v>5660</v>
      </c>
      <c r="E24" s="75"/>
      <c r="F24" s="16" t="s">
        <v>10</v>
      </c>
      <c r="G24" s="35">
        <v>5660</v>
      </c>
      <c r="H24" s="35">
        <v>5660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15355</v>
      </c>
      <c r="D25" s="22">
        <f t="shared" si="1"/>
        <v>15355</v>
      </c>
      <c r="E25" s="75"/>
      <c r="F25" s="16" t="s">
        <v>35</v>
      </c>
      <c r="G25" s="35">
        <v>15355</v>
      </c>
      <c r="H25" s="35">
        <v>15355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5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50360</v>
      </c>
      <c r="D27" s="22">
        <f t="shared" si="1"/>
        <v>50330</v>
      </c>
      <c r="E27" s="75"/>
      <c r="F27" s="16" t="s">
        <v>36</v>
      </c>
      <c r="G27" s="35">
        <v>50360</v>
      </c>
      <c r="H27" s="35">
        <v>50330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14040</v>
      </c>
      <c r="D28" s="22">
        <f t="shared" si="1"/>
        <v>14040</v>
      </c>
      <c r="E28" s="75"/>
      <c r="F28" s="16" t="s">
        <v>22</v>
      </c>
      <c r="G28" s="35">
        <v>14040</v>
      </c>
      <c r="H28" s="35">
        <v>14040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24420</v>
      </c>
      <c r="D29" s="22">
        <f t="shared" si="1"/>
        <v>24390</v>
      </c>
      <c r="E29" s="75"/>
      <c r="F29" s="16" t="s">
        <v>37</v>
      </c>
      <c r="G29" s="35">
        <v>24420</v>
      </c>
      <c r="H29" s="35">
        <v>24390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98400</v>
      </c>
      <c r="D30" s="22">
        <f t="shared" si="1"/>
        <v>98250</v>
      </c>
      <c r="E30" s="75"/>
      <c r="F30" s="16" t="s">
        <v>38</v>
      </c>
      <c r="G30" s="38">
        <v>98400</v>
      </c>
      <c r="H30" s="38">
        <v>98250</v>
      </c>
      <c r="I30" s="36" t="s">
        <v>113</v>
      </c>
      <c r="J30" s="36">
        <v>0</v>
      </c>
      <c r="K30" s="43">
        <v>0</v>
      </c>
      <c r="L30" s="39"/>
    </row>
    <row r="31" spans="1:12">
      <c r="A31" s="73" t="s">
        <v>104</v>
      </c>
      <c r="B31" s="25" t="s">
        <v>18</v>
      </c>
      <c r="C31" s="22">
        <v>6042.67</v>
      </c>
      <c r="D31" s="23">
        <v>6025.6500000000005</v>
      </c>
      <c r="E31" s="45"/>
      <c r="L31" s="40"/>
    </row>
    <row r="32" spans="1:12">
      <c r="A32" s="74"/>
      <c r="B32" s="25" t="s">
        <v>19</v>
      </c>
      <c r="C32" s="22">
        <v>2717.98</v>
      </c>
      <c r="D32" s="23">
        <v>2715.73</v>
      </c>
      <c r="E32" s="45"/>
      <c r="L32" s="40"/>
    </row>
    <row r="33" spans="1:12">
      <c r="A33" s="74"/>
      <c r="B33" s="25" t="s">
        <v>39</v>
      </c>
      <c r="C33" s="22">
        <v>3865.5</v>
      </c>
      <c r="D33" s="23">
        <v>3852.9300000000003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C1" workbookViewId="0">
      <selection activeCell="H26" sqref="H26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6" t="s">
        <v>96</v>
      </c>
      <c r="D1" s="76"/>
      <c r="E1" s="76"/>
      <c r="F1" s="76"/>
      <c r="G1" s="76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1805</v>
      </c>
      <c r="F5" s="9">
        <v>1806</v>
      </c>
      <c r="G5" s="9">
        <v>1807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7" t="s">
        <v>100</v>
      </c>
      <c r="J6" s="77"/>
      <c r="K6" s="77"/>
      <c r="L6" s="77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1877</v>
      </c>
      <c r="K8" s="1">
        <v>1773.5</v>
      </c>
      <c r="L8" s="1">
        <v>1730</v>
      </c>
      <c r="N8" s="28">
        <v>1880</v>
      </c>
      <c r="O8">
        <v>3</v>
      </c>
      <c r="P8">
        <v>106.5</v>
      </c>
      <c r="Q8">
        <v>150</v>
      </c>
      <c r="T8" s="31">
        <v>1.5982951518380393E-3</v>
      </c>
      <c r="U8" s="31">
        <v>6.0050747110234004E-2</v>
      </c>
      <c r="V8" s="31">
        <v>8.6705202312138727E-2</v>
      </c>
      <c r="W8">
        <f>IF(A8="","",RANK(T8,$T$8:$T$99))</f>
        <v>19</v>
      </c>
      <c r="Z8">
        <v>0</v>
      </c>
      <c r="AA8">
        <v>12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1291</v>
      </c>
      <c r="K9" s="1">
        <v>1160</v>
      </c>
      <c r="L9" s="1">
        <v>1124</v>
      </c>
      <c r="N9" s="28">
        <v>1350</v>
      </c>
      <c r="O9">
        <v>59</v>
      </c>
      <c r="P9">
        <v>190</v>
      </c>
      <c r="Q9">
        <v>226</v>
      </c>
      <c r="T9" s="31">
        <v>4.5701006971340045E-2</v>
      </c>
      <c r="U9" s="31">
        <v>0.16379310344827586</v>
      </c>
      <c r="V9" s="31">
        <v>0.20106761565836298</v>
      </c>
      <c r="W9">
        <f t="shared" ref="W9:W56" si="1">IF(A9="","",RANK(T9,$T$8:$T$99))</f>
        <v>4</v>
      </c>
      <c r="Z9">
        <v>0</v>
      </c>
      <c r="AA9">
        <v>9.5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561.80000000000007</v>
      </c>
      <c r="K10" s="1">
        <v>560.6</v>
      </c>
      <c r="L10" s="1">
        <v>574.80000000000007</v>
      </c>
      <c r="N10" s="28">
        <v>596</v>
      </c>
      <c r="O10">
        <v>34.199999999999932</v>
      </c>
      <c r="P10">
        <v>35.399999999999977</v>
      </c>
      <c r="Q10">
        <v>21.199999999999932</v>
      </c>
      <c r="T10" s="31">
        <v>6.0875756496973882E-2</v>
      </c>
      <c r="U10" s="31">
        <v>6.3146628612201175E-2</v>
      </c>
      <c r="V10" s="31">
        <v>3.6882393876130702E-2</v>
      </c>
      <c r="W10">
        <f t="shared" si="1"/>
        <v>2</v>
      </c>
      <c r="Z10">
        <v>-3</v>
      </c>
      <c r="AA10">
        <v>-1.2000000000000455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435.5</v>
      </c>
      <c r="K11" s="1">
        <v>444</v>
      </c>
      <c r="L11" s="1">
        <v>439.5</v>
      </c>
      <c r="N11" s="28">
        <v>448.7</v>
      </c>
      <c r="O11">
        <v>13.199999999999989</v>
      </c>
      <c r="P11">
        <v>4.6999999999999886</v>
      </c>
      <c r="Q11">
        <v>9.1999999999999886</v>
      </c>
      <c r="T11" s="31">
        <v>3.0309988518943717E-2</v>
      </c>
      <c r="U11" s="31">
        <v>1.0585585585585561E-2</v>
      </c>
      <c r="V11" s="31">
        <v>2.0932878270762203E-2</v>
      </c>
      <c r="W11">
        <f t="shared" si="1"/>
        <v>9</v>
      </c>
      <c r="Z11">
        <v>-3.1999999999999886</v>
      </c>
      <c r="AA11">
        <v>-7.6999999999999886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3649</v>
      </c>
      <c r="K12" s="1">
        <v>3408</v>
      </c>
      <c r="L12" s="1">
        <v>3287</v>
      </c>
      <c r="N12" s="28">
        <v>3783.5</v>
      </c>
      <c r="O12">
        <v>134.5</v>
      </c>
      <c r="P12">
        <v>375.5</v>
      </c>
      <c r="Q12">
        <v>496.5</v>
      </c>
      <c r="T12" s="31">
        <v>3.6859413537955604E-2</v>
      </c>
      <c r="U12" s="31">
        <v>0.11018192488262911</v>
      </c>
      <c r="V12" s="31">
        <v>0.15104958929114695</v>
      </c>
      <c r="W12">
        <f t="shared" si="1"/>
        <v>8</v>
      </c>
      <c r="Z12">
        <v>-20.5</v>
      </c>
      <c r="AA12">
        <v>-79.5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3782</v>
      </c>
      <c r="K13" s="1">
        <v>3635</v>
      </c>
      <c r="L13" s="1">
        <v>3400</v>
      </c>
      <c r="N13" s="28">
        <v>3830</v>
      </c>
      <c r="O13">
        <v>48</v>
      </c>
      <c r="P13">
        <v>195</v>
      </c>
      <c r="Q13">
        <v>430</v>
      </c>
      <c r="T13" s="31">
        <v>1.269169751454257E-2</v>
      </c>
      <c r="U13" s="31">
        <v>5.364511691884457E-2</v>
      </c>
      <c r="V13" s="31">
        <v>0.12647058823529411</v>
      </c>
      <c r="W13">
        <f t="shared" si="1"/>
        <v>12</v>
      </c>
      <c r="Z13">
        <v>20</v>
      </c>
      <c r="AA13">
        <v>-49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11070</v>
      </c>
      <c r="K14" s="1">
        <v>11450</v>
      </c>
      <c r="L14" s="1">
        <v>13510</v>
      </c>
      <c r="N14" s="28">
        <v>10270</v>
      </c>
      <c r="O14">
        <v>-800</v>
      </c>
      <c r="P14">
        <v>-1180</v>
      </c>
      <c r="Q14">
        <v>-3240</v>
      </c>
      <c r="T14" s="31">
        <v>-7.2267389340560068E-2</v>
      </c>
      <c r="U14" s="31">
        <v>-0.10305676855895196</v>
      </c>
      <c r="V14" s="31">
        <v>-0.23982235381199113</v>
      </c>
      <c r="W14">
        <f t="shared" si="1"/>
        <v>32</v>
      </c>
      <c r="Z14">
        <v>110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1385</v>
      </c>
      <c r="K15" s="1">
        <v>1337</v>
      </c>
      <c r="L15" s="1">
        <v>1286</v>
      </c>
      <c r="N15" s="28">
        <v>1460</v>
      </c>
      <c r="O15">
        <v>75</v>
      </c>
      <c r="P15">
        <v>123</v>
      </c>
      <c r="Q15">
        <v>174</v>
      </c>
      <c r="T15" s="31">
        <v>5.4151624548736461E-2</v>
      </c>
      <c r="U15" s="31">
        <v>9.1997008227374721E-2</v>
      </c>
      <c r="V15" s="31">
        <v>0.13530326594090203</v>
      </c>
      <c r="W15">
        <f t="shared" si="1"/>
        <v>3</v>
      </c>
      <c r="Z15">
        <v>-80</v>
      </c>
      <c r="AA15">
        <v>-80</v>
      </c>
    </row>
    <row r="16" spans="1:28" s="66" customFormat="1">
      <c r="A16" s="65" t="s">
        <v>32</v>
      </c>
      <c r="B16" s="65" t="s">
        <v>56</v>
      </c>
      <c r="C16" s="65" t="s">
        <v>80</v>
      </c>
      <c r="D16" s="65"/>
      <c r="E16" s="65" t="str">
        <f t="shared" si="0"/>
        <v>V1805.DCE</v>
      </c>
      <c r="F16" s="65" t="str">
        <f t="shared" si="0"/>
        <v>V1809.DCE</v>
      </c>
      <c r="G16" s="65" t="str">
        <f t="shared" si="0"/>
        <v>V1901.DCE</v>
      </c>
      <c r="H16" s="65">
        <v>0</v>
      </c>
      <c r="J16" s="65">
        <v>6635</v>
      </c>
      <c r="K16" s="65">
        <v>6680</v>
      </c>
      <c r="L16" s="65">
        <v>6555</v>
      </c>
      <c r="N16" s="67">
        <v>6495</v>
      </c>
      <c r="O16" s="66">
        <v>-140</v>
      </c>
      <c r="P16" s="66">
        <v>-185</v>
      </c>
      <c r="Q16" s="66">
        <v>-60</v>
      </c>
      <c r="T16" s="68">
        <v>-2.110022607385079E-2</v>
      </c>
      <c r="U16" s="68">
        <v>-2.7694610778443114E-2</v>
      </c>
      <c r="V16" s="68">
        <v>-9.1533180778032037E-3</v>
      </c>
      <c r="W16" s="66">
        <f>IF(A16="","",RANK(T16,$T$8:$T$99))</f>
        <v>30</v>
      </c>
      <c r="Z16" s="66">
        <v>80</v>
      </c>
      <c r="AA16" s="66">
        <v>-80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9295</v>
      </c>
      <c r="K17" s="1">
        <v>9260</v>
      </c>
      <c r="L17" s="1">
        <v>9170</v>
      </c>
      <c r="N17" s="28">
        <v>9265</v>
      </c>
      <c r="O17">
        <v>-30</v>
      </c>
      <c r="P17">
        <v>5</v>
      </c>
      <c r="Q17">
        <v>95</v>
      </c>
      <c r="R17" s="64"/>
      <c r="T17" s="31">
        <v>-3.2275416890801506E-3</v>
      </c>
      <c r="U17" s="31">
        <v>5.3995680345572358E-4</v>
      </c>
      <c r="V17" s="31">
        <v>1.0359869138495093E-2</v>
      </c>
      <c r="W17">
        <f t="shared" si="1"/>
        <v>21</v>
      </c>
      <c r="Z17">
        <v>150</v>
      </c>
      <c r="AA17">
        <v>50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8948</v>
      </c>
      <c r="K18" s="1">
        <v>9062</v>
      </c>
      <c r="L18" s="1">
        <v>8980</v>
      </c>
      <c r="N18" s="28">
        <v>8848</v>
      </c>
      <c r="O18">
        <v>-100</v>
      </c>
      <c r="P18">
        <v>-214</v>
      </c>
      <c r="Q18">
        <v>-132</v>
      </c>
      <c r="R18" s="64"/>
      <c r="T18" s="31">
        <v>-1.1175681716584712E-2</v>
      </c>
      <c r="U18" s="31">
        <v>-2.3615096005296845E-2</v>
      </c>
      <c r="V18" s="31">
        <v>-1.4699331848552339E-2</v>
      </c>
      <c r="W18">
        <f t="shared" si="1"/>
        <v>27</v>
      </c>
      <c r="Z18">
        <v>132</v>
      </c>
      <c r="AA18">
        <v>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5388</v>
      </c>
      <c r="K19" s="1">
        <v>5376</v>
      </c>
      <c r="L19" s="1">
        <v>5396</v>
      </c>
      <c r="N19" s="28">
        <v>5368</v>
      </c>
      <c r="O19">
        <v>-20</v>
      </c>
      <c r="P19">
        <v>-8</v>
      </c>
      <c r="Q19">
        <v>-28</v>
      </c>
      <c r="R19" s="64"/>
      <c r="T19" s="31">
        <v>-3.7119524870081661E-3</v>
      </c>
      <c r="U19" s="31">
        <v>-1.488095238095238E-3</v>
      </c>
      <c r="V19" s="31">
        <v>-5.1890289103039286E-3</v>
      </c>
      <c r="W19">
        <f t="shared" si="1"/>
        <v>22</v>
      </c>
      <c r="Z19">
        <v>-72</v>
      </c>
      <c r="AA19">
        <v>-36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2746</v>
      </c>
      <c r="K20" s="1">
        <v>2800</v>
      </c>
      <c r="L20" s="1">
        <v>2848</v>
      </c>
      <c r="N20" s="28">
        <v>2760</v>
      </c>
      <c r="O20">
        <v>14</v>
      </c>
      <c r="P20">
        <v>-40</v>
      </c>
      <c r="Q20">
        <v>-88</v>
      </c>
      <c r="R20" s="64"/>
      <c r="T20" s="31">
        <v>5.0983248361252727E-3</v>
      </c>
      <c r="U20" s="31">
        <v>-1.4285714285714285E-2</v>
      </c>
      <c r="V20" s="31">
        <v>-3.0898876404494381E-2</v>
      </c>
      <c r="W20">
        <f t="shared" si="1"/>
        <v>17</v>
      </c>
      <c r="Z20">
        <v>35</v>
      </c>
      <c r="AA20">
        <v>73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2742</v>
      </c>
      <c r="K21" s="1">
        <v>2592</v>
      </c>
      <c r="L21" s="1">
        <v>2647</v>
      </c>
      <c r="N21" s="28">
        <v>2700</v>
      </c>
      <c r="O21">
        <v>-42</v>
      </c>
      <c r="P21">
        <v>108</v>
      </c>
      <c r="Q21">
        <v>53</v>
      </c>
      <c r="R21" s="64"/>
      <c r="T21" s="31">
        <v>-1.5317286652078774E-2</v>
      </c>
      <c r="U21" s="31">
        <v>4.1666666666666664E-2</v>
      </c>
      <c r="V21" s="31">
        <v>2.0022667170381564E-2</v>
      </c>
      <c r="W21">
        <f t="shared" si="1"/>
        <v>29</v>
      </c>
      <c r="Z21">
        <v>-50</v>
      </c>
      <c r="AA21">
        <v>-122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3913</v>
      </c>
      <c r="K22" s="1">
        <v>4031</v>
      </c>
      <c r="L22" s="1">
        <v>4084</v>
      </c>
      <c r="N22" s="28">
        <v>3690</v>
      </c>
      <c r="O22">
        <v>-223</v>
      </c>
      <c r="P22">
        <v>-341</v>
      </c>
      <c r="Q22">
        <v>-394</v>
      </c>
      <c r="R22" s="64"/>
      <c r="T22" s="31">
        <v>-5.6989522105801174E-2</v>
      </c>
      <c r="U22" s="31">
        <v>-8.459439345075663E-2</v>
      </c>
      <c r="V22" s="31">
        <v>-9.6474045053868751E-2</v>
      </c>
      <c r="W22">
        <f t="shared" si="1"/>
        <v>31</v>
      </c>
      <c r="Z22">
        <v>0</v>
      </c>
      <c r="AA22">
        <v>-69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3293</v>
      </c>
      <c r="K23" s="1">
        <v>3327</v>
      </c>
      <c r="L23" s="1">
        <v>3348</v>
      </c>
      <c r="N23" s="28">
        <v>3360</v>
      </c>
      <c r="O23">
        <v>67</v>
      </c>
      <c r="P23">
        <v>33</v>
      </c>
      <c r="Q23">
        <v>12</v>
      </c>
      <c r="R23" s="64"/>
      <c r="T23" s="31">
        <v>2.0346188885514729E-2</v>
      </c>
      <c r="U23" s="31">
        <v>9.9188458070333628E-3</v>
      </c>
      <c r="V23" s="31">
        <v>3.5842293906810036E-3</v>
      </c>
      <c r="W23">
        <f t="shared" si="1"/>
        <v>11</v>
      </c>
      <c r="Z23">
        <v>110</v>
      </c>
      <c r="AA23">
        <v>-8</v>
      </c>
    </row>
    <row r="24" spans="1:27" s="66" customFormat="1">
      <c r="A24" s="65" t="s">
        <v>23</v>
      </c>
      <c r="B24" s="65" t="s">
        <v>64</v>
      </c>
      <c r="C24" s="65" t="s">
        <v>81</v>
      </c>
      <c r="D24" s="65"/>
      <c r="E24" s="65" t="str">
        <f t="shared" si="0"/>
        <v>RM805.CZC</v>
      </c>
      <c r="F24" s="65" t="str">
        <f t="shared" si="0"/>
        <v>RM809.CZC</v>
      </c>
      <c r="G24" s="65" t="str">
        <f t="shared" si="0"/>
        <v>RM901.CZC</v>
      </c>
      <c r="H24" s="65">
        <v>0</v>
      </c>
      <c r="J24" s="65">
        <v>2701</v>
      </c>
      <c r="K24" s="65">
        <v>2712</v>
      </c>
      <c r="L24" s="65">
        <v>2582</v>
      </c>
      <c r="N24" s="67">
        <v>2730</v>
      </c>
      <c r="O24" s="66">
        <v>29</v>
      </c>
      <c r="P24" s="66">
        <v>18</v>
      </c>
      <c r="Q24" s="66">
        <v>148</v>
      </c>
      <c r="T24" s="68">
        <v>1.0736764161421697E-2</v>
      </c>
      <c r="U24" s="68">
        <v>6.6371681415929203E-3</v>
      </c>
      <c r="V24" s="68">
        <v>5.7319907048799378E-2</v>
      </c>
      <c r="W24" s="66">
        <f>IF(A24="","",RANK(T24,$T$8:$T$99))</f>
        <v>15</v>
      </c>
      <c r="Z24" s="66">
        <v>160</v>
      </c>
      <c r="AA24" s="66">
        <v>69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1777</v>
      </c>
      <c r="K25" s="1">
        <v>1758</v>
      </c>
      <c r="L25" s="1">
        <v>1789</v>
      </c>
      <c r="N25" s="28">
        <v>1830</v>
      </c>
      <c r="O25">
        <v>53</v>
      </c>
      <c r="P25">
        <v>72</v>
      </c>
      <c r="Q25">
        <v>41</v>
      </c>
      <c r="T25" s="31">
        <v>2.9825548677546426E-2</v>
      </c>
      <c r="U25" s="31">
        <v>4.0955631399317405E-2</v>
      </c>
      <c r="V25" s="31">
        <v>2.2917831190609278E-2</v>
      </c>
      <c r="W25">
        <f t="shared" si="1"/>
        <v>10</v>
      </c>
      <c r="Z25">
        <v>-10</v>
      </c>
      <c r="AA25">
        <v>2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2121</v>
      </c>
      <c r="K26" s="1">
        <v>2132</v>
      </c>
      <c r="L26" s="1">
        <v>2139</v>
      </c>
      <c r="N26" s="28">
        <v>2200</v>
      </c>
      <c r="O26">
        <v>79</v>
      </c>
      <c r="P26">
        <v>68</v>
      </c>
      <c r="Q26">
        <v>61</v>
      </c>
      <c r="T26" s="31">
        <v>3.7246581801037244E-2</v>
      </c>
      <c r="U26" s="31">
        <v>3.1894934333958722E-2</v>
      </c>
      <c r="V26" s="31">
        <v>2.8517999064983639E-2</v>
      </c>
      <c r="W26">
        <f t="shared" si="1"/>
        <v>7</v>
      </c>
      <c r="Z26">
        <v>0</v>
      </c>
      <c r="AA26">
        <v>44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5802</v>
      </c>
      <c r="K27" s="1">
        <v>5976</v>
      </c>
      <c r="L27" s="1">
        <v>6126</v>
      </c>
      <c r="N27" s="28">
        <v>6020</v>
      </c>
      <c r="O27">
        <v>218</v>
      </c>
      <c r="P27">
        <v>44</v>
      </c>
      <c r="Q27">
        <v>-106</v>
      </c>
      <c r="T27" s="31">
        <v>3.7573250603240259E-2</v>
      </c>
      <c r="U27" s="31">
        <v>7.3627844712182058E-3</v>
      </c>
      <c r="V27" s="31">
        <v>-1.7303297420829252E-2</v>
      </c>
      <c r="W27">
        <f t="shared" si="1"/>
        <v>6</v>
      </c>
      <c r="Z27">
        <v>270</v>
      </c>
      <c r="AA27">
        <v>242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5124</v>
      </c>
      <c r="K28" s="1">
        <v>5170</v>
      </c>
      <c r="L28" s="1">
        <v>5178</v>
      </c>
      <c r="N28" s="28">
        <v>5180</v>
      </c>
      <c r="O28">
        <v>56</v>
      </c>
      <c r="P28">
        <v>10</v>
      </c>
      <c r="Q28">
        <v>2</v>
      </c>
      <c r="T28" s="31">
        <v>1.092896174863388E-2</v>
      </c>
      <c r="U28" s="31">
        <v>1.9342359767891683E-3</v>
      </c>
      <c r="V28" s="31">
        <v>3.8624951718810351E-4</v>
      </c>
      <c r="W28">
        <f t="shared" si="1"/>
        <v>14</v>
      </c>
      <c r="Z28">
        <v>110</v>
      </c>
      <c r="AA28">
        <v>100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6338</v>
      </c>
      <c r="K29" s="1">
        <v>6604</v>
      </c>
      <c r="L29" s="1">
        <v>6754</v>
      </c>
      <c r="N29" s="28">
        <v>6740</v>
      </c>
      <c r="O29">
        <v>402</v>
      </c>
      <c r="P29">
        <v>136</v>
      </c>
      <c r="Q29">
        <v>-14</v>
      </c>
      <c r="T29" s="31">
        <v>6.3426948564215838E-2</v>
      </c>
      <c r="U29" s="31">
        <v>2.0593579648697759E-2</v>
      </c>
      <c r="V29" s="31">
        <v>-2.0728457210541901E-3</v>
      </c>
      <c r="W29">
        <f t="shared" si="1"/>
        <v>1</v>
      </c>
      <c r="Z29">
        <v>100</v>
      </c>
      <c r="AA29">
        <v>98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5591</v>
      </c>
      <c r="K30" s="1">
        <v>5551</v>
      </c>
      <c r="L30" s="1">
        <v>5505</v>
      </c>
      <c r="N30" s="28">
        <v>5660</v>
      </c>
      <c r="O30">
        <v>69</v>
      </c>
      <c r="P30">
        <v>109</v>
      </c>
      <c r="Q30">
        <v>155</v>
      </c>
      <c r="T30" s="31">
        <v>1.2341262743695224E-2</v>
      </c>
      <c r="U30" s="31">
        <v>1.9636101603314717E-2</v>
      </c>
      <c r="V30" s="31">
        <v>2.8156221616712079E-2</v>
      </c>
      <c r="W30">
        <f t="shared" si="1"/>
        <v>13</v>
      </c>
      <c r="Z30">
        <v>-10</v>
      </c>
      <c r="AA30">
        <v>1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14795</v>
      </c>
      <c r="K31" s="1">
        <v>15275</v>
      </c>
      <c r="L31" s="1">
        <v>15765</v>
      </c>
      <c r="N31" s="28">
        <v>15355</v>
      </c>
      <c r="O31">
        <v>560</v>
      </c>
      <c r="P31">
        <v>80</v>
      </c>
      <c r="Q31">
        <v>-410</v>
      </c>
      <c r="T31" s="31">
        <v>3.7850625211220006E-2</v>
      </c>
      <c r="U31" s="31">
        <v>5.2373158756137484E-3</v>
      </c>
      <c r="V31" s="31">
        <v>-2.6006977481763401E-2</v>
      </c>
      <c r="W31">
        <f t="shared" si="1"/>
        <v>5</v>
      </c>
      <c r="Z31">
        <v>-30</v>
      </c>
      <c r="AA31">
        <v>-70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23300</v>
      </c>
      <c r="K32" s="1">
        <v>23495</v>
      </c>
      <c r="L32" s="1">
        <v>22985</v>
      </c>
      <c r="N32" s="28">
        <v>23150</v>
      </c>
      <c r="O32">
        <v>-150</v>
      </c>
      <c r="P32">
        <v>-345</v>
      </c>
      <c r="Q32">
        <v>165</v>
      </c>
      <c r="T32" s="31">
        <v>-6.4377682403433476E-3</v>
      </c>
      <c r="U32" s="31">
        <v>-1.4683975313896574E-2</v>
      </c>
      <c r="V32" s="31">
        <v>7.1785947356971941E-3</v>
      </c>
      <c r="W32">
        <f t="shared" si="1"/>
        <v>23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CU1805.SHF</v>
      </c>
      <c r="F33" s="1" t="str">
        <f>IF($C33="CZC",$B33&amp;RIGHT(F$5,3)&amp;"."&amp;$C33,$B33&amp;F$5&amp;"."&amp;$C33)</f>
        <v>CU1806.SHF</v>
      </c>
      <c r="G33" s="1" t="str">
        <f>IF($C33="CZC",$B33&amp;RIGHT(G$5,3)&amp;"."&amp;$C33,$B33&amp;G$5&amp;"."&amp;$C33)</f>
        <v>CU1807.SHF</v>
      </c>
      <c r="H33" s="1">
        <v>0</v>
      </c>
      <c r="J33" s="1">
        <v>50680</v>
      </c>
      <c r="K33" s="1">
        <v>50610</v>
      </c>
      <c r="L33" s="1">
        <v>50750</v>
      </c>
      <c r="N33" s="28">
        <v>50330</v>
      </c>
      <c r="O33">
        <v>-350</v>
      </c>
      <c r="P33">
        <v>-280</v>
      </c>
      <c r="Q33">
        <v>-420</v>
      </c>
      <c r="T33" s="31">
        <v>-6.9060773480662981E-3</v>
      </c>
      <c r="U33" s="31">
        <v>-5.5325034578146614E-3</v>
      </c>
      <c r="V33" s="31">
        <v>-8.2758620689655175E-3</v>
      </c>
      <c r="W33">
        <f t="shared" si="1"/>
        <v>24</v>
      </c>
      <c r="Z33">
        <v>-70</v>
      </c>
      <c r="AA33">
        <v>-410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AL1805.SHF</v>
      </c>
      <c r="F34" s="1" t="str">
        <f t="shared" si="3"/>
        <v>AL1806.SHF</v>
      </c>
      <c r="G34" s="1" t="str">
        <f t="shared" si="3"/>
        <v>AL1807.SHF</v>
      </c>
      <c r="H34" s="1">
        <v>0</v>
      </c>
      <c r="J34" s="1">
        <v>14190</v>
      </c>
      <c r="K34" s="1">
        <v>14200</v>
      </c>
      <c r="L34" s="1">
        <v>14270</v>
      </c>
      <c r="N34" s="28">
        <v>14040</v>
      </c>
      <c r="O34">
        <v>-150</v>
      </c>
      <c r="P34">
        <v>-160</v>
      </c>
      <c r="Q34">
        <v>-230</v>
      </c>
      <c r="T34" s="31">
        <v>-1.0570824524312896E-2</v>
      </c>
      <c r="U34" s="31">
        <v>-1.1267605633802818E-2</v>
      </c>
      <c r="V34" s="31">
        <v>-1.6117729502452698E-2</v>
      </c>
      <c r="W34">
        <f t="shared" si="1"/>
        <v>26</v>
      </c>
      <c r="Z34">
        <v>80</v>
      </c>
      <c r="AA34">
        <v>-115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ZN1805.SHF</v>
      </c>
      <c r="F35" s="1" t="str">
        <f t="shared" si="3"/>
        <v>ZN1806.SHF</v>
      </c>
      <c r="G35" s="1" t="str">
        <f t="shared" si="3"/>
        <v>ZN1807.SHF</v>
      </c>
      <c r="H35" s="1">
        <v>0</v>
      </c>
      <c r="J35" s="1">
        <v>24595</v>
      </c>
      <c r="K35" s="1">
        <v>24470</v>
      </c>
      <c r="L35" s="1">
        <v>24355</v>
      </c>
      <c r="N35" s="28">
        <v>24390</v>
      </c>
      <c r="O35">
        <v>-205</v>
      </c>
      <c r="P35">
        <v>-80</v>
      </c>
      <c r="Q35">
        <v>35</v>
      </c>
      <c r="T35" s="31">
        <v>-8.3350274446025614E-3</v>
      </c>
      <c r="U35" s="31">
        <v>-3.2693093583980384E-3</v>
      </c>
      <c r="V35" s="31">
        <v>1.4370765756518168E-3</v>
      </c>
      <c r="W35">
        <f t="shared" si="1"/>
        <v>25</v>
      </c>
      <c r="Z35">
        <v>-250</v>
      </c>
      <c r="AA35">
        <v>-130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9" t="s">
        <v>616</v>
      </c>
      <c r="F36" s="69" t="str">
        <f t="shared" si="0"/>
        <v>NI1809.SHF</v>
      </c>
      <c r="G36" s="69" t="str">
        <f t="shared" si="0"/>
        <v>NI1901.SHF</v>
      </c>
      <c r="H36" s="1">
        <v>0</v>
      </c>
      <c r="J36" s="1">
        <v>99630</v>
      </c>
      <c r="K36" s="1">
        <v>100020</v>
      </c>
      <c r="L36" s="1">
        <v>101010</v>
      </c>
      <c r="N36" s="28">
        <v>98250</v>
      </c>
      <c r="O36">
        <v>-1380</v>
      </c>
      <c r="P36">
        <v>-1770</v>
      </c>
      <c r="Q36">
        <v>-2760</v>
      </c>
      <c r="T36" s="31">
        <v>-1.3851249623607348E-2</v>
      </c>
      <c r="U36" s="31">
        <v>-1.7696460707858429E-2</v>
      </c>
      <c r="V36" s="31">
        <v>-2.7324027324027323E-2</v>
      </c>
      <c r="W36">
        <f t="shared" si="1"/>
        <v>28</v>
      </c>
      <c r="Z36">
        <v>-1300</v>
      </c>
      <c r="AA36">
        <v>-580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5981.8</v>
      </c>
      <c r="K37" s="1">
        <v>5937</v>
      </c>
      <c r="L37" s="1">
        <v>5891.8</v>
      </c>
      <c r="N37" s="28">
        <v>6025.6500000000005</v>
      </c>
      <c r="O37">
        <v>43.850000000000364</v>
      </c>
      <c r="P37">
        <v>88.650000000000546</v>
      </c>
      <c r="Q37">
        <v>133.85000000000036</v>
      </c>
      <c r="T37" s="31">
        <v>7.3305693938280053E-3</v>
      </c>
      <c r="U37" s="31">
        <v>1.4931783729156231E-2</v>
      </c>
      <c r="V37" s="31">
        <v>2.2718014868121857E-2</v>
      </c>
      <c r="W37">
        <f t="shared" si="1"/>
        <v>16</v>
      </c>
      <c r="Z37">
        <v>7.9600000000000364</v>
      </c>
      <c r="AA37">
        <v>2.1599999999998545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IH1804.CFE</v>
      </c>
      <c r="F38" s="1" t="str">
        <f t="shared" si="4"/>
        <v>IH1805.CFE</v>
      </c>
      <c r="G38" s="1" t="str">
        <f t="shared" si="4"/>
        <v>IH1806.CFE</v>
      </c>
      <c r="H38" s="1">
        <v>0</v>
      </c>
      <c r="J38" s="1">
        <v>2717.8</v>
      </c>
      <c r="K38" s="1">
        <v>2716.2000000000003</v>
      </c>
      <c r="L38" s="1">
        <v>2704</v>
      </c>
      <c r="N38" s="28">
        <v>2715.73</v>
      </c>
      <c r="O38">
        <v>-2.0700000000001637</v>
      </c>
      <c r="P38">
        <v>-0.47000000000025466</v>
      </c>
      <c r="Q38">
        <v>11.730000000000018</v>
      </c>
      <c r="T38" s="31">
        <v>-7.6164544852460215E-4</v>
      </c>
      <c r="U38" s="31">
        <v>-1.730358589206445E-4</v>
      </c>
      <c r="V38" s="31">
        <v>4.3380177514792968E-3</v>
      </c>
      <c r="W38">
        <f t="shared" si="1"/>
        <v>20</v>
      </c>
      <c r="Z38">
        <v>13.360000000000127</v>
      </c>
      <c r="AA38">
        <v>-6.4400000000000546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IF1804.CFE</v>
      </c>
      <c r="F39" s="1" t="str">
        <f t="shared" si="4"/>
        <v>IF1805.CFE</v>
      </c>
      <c r="G39" s="1" t="str">
        <f t="shared" si="4"/>
        <v>IF1806.CFE</v>
      </c>
      <c r="H39" s="1">
        <v>0</v>
      </c>
      <c r="J39" s="1">
        <v>3845.8</v>
      </c>
      <c r="K39" s="1">
        <v>3833.2000000000003</v>
      </c>
      <c r="L39" s="1">
        <v>3814.2000000000003</v>
      </c>
      <c r="N39" s="28">
        <v>3852.9300000000003</v>
      </c>
      <c r="O39">
        <v>7.1300000000001091</v>
      </c>
      <c r="P39">
        <v>19.730000000000018</v>
      </c>
      <c r="Q39">
        <v>38.730000000000018</v>
      </c>
      <c r="T39" s="31">
        <v>1.8539705652920351E-3</v>
      </c>
      <c r="U39" s="31">
        <v>5.1471355525409624E-3</v>
      </c>
      <c r="V39" s="31">
        <v>1.0154160767657704E-2</v>
      </c>
      <c r="W39">
        <f t="shared" si="1"/>
        <v>18</v>
      </c>
      <c r="Z39">
        <v>-1.9299999999998363</v>
      </c>
      <c r="AA39">
        <v>-6.1300000000001091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O33"/>
  <sheetViews>
    <sheetView workbookViewId="0">
      <selection activeCell="B8" sqref="B8"/>
    </sheetView>
  </sheetViews>
  <sheetFormatPr defaultRowHeight="13.5"/>
  <cols>
    <col min="1" max="28" width="9" customWidth="1"/>
    <col min="29" max="29" width="10.625" customWidth="1"/>
    <col min="30" max="44" width="9" customWidth="1"/>
    <col min="45" max="47" width="9.875" customWidth="1"/>
    <col min="48" max="57" width="10.5" bestFit="1" customWidth="1"/>
  </cols>
  <sheetData>
    <row r="1" spans="1:93">
      <c r="A1" t="s">
        <v>98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43140</v>
      </c>
      <c r="AK1" s="11">
        <v>43139</v>
      </c>
      <c r="AL1" s="11">
        <v>43138</v>
      </c>
      <c r="AM1" s="11">
        <v>43137</v>
      </c>
      <c r="AN1" s="11">
        <v>43136</v>
      </c>
      <c r="AO1" s="11">
        <v>43133</v>
      </c>
      <c r="AP1" s="11">
        <v>43132</v>
      </c>
      <c r="AQ1" s="11">
        <v>43131</v>
      </c>
      <c r="AR1" s="11">
        <v>43130</v>
      </c>
      <c r="AS1" s="11">
        <v>43129</v>
      </c>
      <c r="AT1" s="11">
        <v>43126</v>
      </c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</row>
    <row r="2" spans="1:93">
      <c r="A2" t="s">
        <v>5</v>
      </c>
      <c r="B2">
        <v>1880</v>
      </c>
      <c r="C2">
        <v>1880</v>
      </c>
      <c r="D2">
        <v>1880</v>
      </c>
      <c r="E2">
        <v>1880</v>
      </c>
      <c r="F2">
        <v>1880</v>
      </c>
      <c r="G2">
        <v>1900</v>
      </c>
      <c r="H2">
        <v>1950</v>
      </c>
      <c r="I2">
        <v>1950</v>
      </c>
      <c r="J2">
        <v>1950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2100</v>
      </c>
      <c r="R2">
        <v>2100</v>
      </c>
      <c r="S2">
        <v>2100</v>
      </c>
      <c r="T2">
        <v>2100</v>
      </c>
      <c r="U2">
        <v>2100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2050</v>
      </c>
      <c r="AR2">
        <v>2050</v>
      </c>
      <c r="AS2">
        <v>2050</v>
      </c>
      <c r="AT2">
        <v>2050</v>
      </c>
    </row>
    <row r="3" spans="1:93">
      <c r="A3" t="s">
        <v>7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1320</v>
      </c>
      <c r="AP3">
        <v>1320</v>
      </c>
      <c r="AQ3">
        <v>1300</v>
      </c>
      <c r="AR3">
        <v>1300</v>
      </c>
      <c r="AS3">
        <v>1360</v>
      </c>
      <c r="AT3">
        <v>1360</v>
      </c>
    </row>
    <row r="4" spans="1:93">
      <c r="A4" t="s">
        <v>4</v>
      </c>
      <c r="B4">
        <v>596</v>
      </c>
      <c r="C4">
        <v>599</v>
      </c>
      <c r="D4">
        <v>602</v>
      </c>
      <c r="E4">
        <v>612</v>
      </c>
      <c r="F4">
        <v>614</v>
      </c>
      <c r="G4">
        <v>619</v>
      </c>
      <c r="H4">
        <v>623</v>
      </c>
      <c r="I4">
        <v>628</v>
      </c>
      <c r="J4">
        <v>632</v>
      </c>
      <c r="K4">
        <v>635</v>
      </c>
      <c r="L4">
        <v>639</v>
      </c>
      <c r="M4">
        <v>641</v>
      </c>
      <c r="N4">
        <v>641</v>
      </c>
      <c r="O4">
        <v>642</v>
      </c>
      <c r="P4">
        <v>643</v>
      </c>
      <c r="Q4">
        <v>644</v>
      </c>
      <c r="R4">
        <v>647</v>
      </c>
      <c r="S4">
        <v>650</v>
      </c>
      <c r="T4">
        <v>650</v>
      </c>
      <c r="U4">
        <v>653</v>
      </c>
      <c r="V4">
        <v>663</v>
      </c>
      <c r="W4">
        <v>672</v>
      </c>
      <c r="X4">
        <v>678</v>
      </c>
      <c r="Y4">
        <v>686</v>
      </c>
      <c r="Z4">
        <v>689</v>
      </c>
      <c r="AA4">
        <v>700</v>
      </c>
      <c r="AB4">
        <v>708</v>
      </c>
      <c r="AC4">
        <v>722</v>
      </c>
      <c r="AD4">
        <v>728</v>
      </c>
      <c r="AE4">
        <v>735</v>
      </c>
      <c r="AF4">
        <v>742</v>
      </c>
      <c r="AG4">
        <v>742</v>
      </c>
      <c r="AH4">
        <v>746</v>
      </c>
      <c r="AI4">
        <v>749</v>
      </c>
      <c r="AJ4">
        <v>749</v>
      </c>
      <c r="AK4">
        <v>750</v>
      </c>
      <c r="AL4">
        <v>750</v>
      </c>
      <c r="AM4">
        <v>750</v>
      </c>
      <c r="AN4">
        <v>768</v>
      </c>
      <c r="AO4">
        <v>764</v>
      </c>
      <c r="AP4">
        <v>764</v>
      </c>
      <c r="AQ4">
        <v>760</v>
      </c>
      <c r="AR4">
        <v>759</v>
      </c>
      <c r="AS4">
        <v>751</v>
      </c>
      <c r="AT4">
        <v>750</v>
      </c>
    </row>
    <row r="5" spans="1:93">
      <c r="A5" t="s">
        <v>20</v>
      </c>
      <c r="B5">
        <v>448.7</v>
      </c>
      <c r="C5">
        <v>451.9</v>
      </c>
      <c r="D5">
        <v>459.4</v>
      </c>
      <c r="E5">
        <v>459.4</v>
      </c>
      <c r="F5">
        <v>455</v>
      </c>
      <c r="G5">
        <v>455</v>
      </c>
      <c r="H5">
        <v>457.3</v>
      </c>
      <c r="I5">
        <v>454</v>
      </c>
      <c r="J5">
        <v>459.4</v>
      </c>
      <c r="K5">
        <v>480.9</v>
      </c>
      <c r="L5">
        <v>480.9</v>
      </c>
      <c r="M5">
        <v>480.9</v>
      </c>
      <c r="N5">
        <v>486.3</v>
      </c>
      <c r="O5">
        <v>505.6</v>
      </c>
      <c r="P5">
        <v>508.3</v>
      </c>
      <c r="Q5">
        <v>508.3</v>
      </c>
      <c r="R5">
        <v>500.3</v>
      </c>
      <c r="S5">
        <v>500.3</v>
      </c>
      <c r="T5">
        <v>508.9</v>
      </c>
      <c r="U5">
        <v>530.4</v>
      </c>
      <c r="V5">
        <v>546.5</v>
      </c>
      <c r="W5">
        <v>546.5</v>
      </c>
      <c r="X5">
        <v>560.5</v>
      </c>
      <c r="Y5">
        <v>560.5</v>
      </c>
      <c r="Z5">
        <v>568</v>
      </c>
      <c r="AA5">
        <v>566</v>
      </c>
      <c r="AB5">
        <v>569.1</v>
      </c>
      <c r="AC5">
        <v>571.20000000000005</v>
      </c>
      <c r="AD5">
        <v>565.9</v>
      </c>
      <c r="AE5">
        <v>558.29999999999995</v>
      </c>
      <c r="AF5">
        <v>551.9</v>
      </c>
      <c r="AG5">
        <v>550.79999999999995</v>
      </c>
      <c r="AH5">
        <v>549.70000000000005</v>
      </c>
      <c r="AI5">
        <v>545.4</v>
      </c>
      <c r="AJ5">
        <v>544.4</v>
      </c>
      <c r="AK5">
        <v>545.4</v>
      </c>
      <c r="AL5">
        <v>545.4</v>
      </c>
      <c r="AM5">
        <v>546.5</v>
      </c>
      <c r="AN5">
        <v>540.1</v>
      </c>
      <c r="AO5">
        <v>536.79999999999995</v>
      </c>
      <c r="AP5">
        <v>534.70000000000005</v>
      </c>
      <c r="AQ5">
        <v>537.9</v>
      </c>
      <c r="AR5">
        <v>537.9</v>
      </c>
      <c r="AS5">
        <v>534.70000000000005</v>
      </c>
      <c r="AT5">
        <v>541.1</v>
      </c>
    </row>
    <row r="6" spans="1:93">
      <c r="A6" t="s">
        <v>12</v>
      </c>
      <c r="B6">
        <v>3783.5</v>
      </c>
      <c r="C6">
        <v>3804</v>
      </c>
      <c r="D6">
        <v>3845</v>
      </c>
      <c r="E6">
        <v>3845</v>
      </c>
      <c r="F6">
        <v>3721</v>
      </c>
      <c r="G6">
        <v>3670</v>
      </c>
      <c r="H6">
        <v>3670</v>
      </c>
      <c r="I6">
        <v>3670</v>
      </c>
      <c r="J6">
        <v>3660</v>
      </c>
      <c r="K6">
        <v>3711</v>
      </c>
      <c r="L6">
        <v>3866</v>
      </c>
      <c r="M6">
        <v>3886.6</v>
      </c>
      <c r="N6">
        <v>3886.6</v>
      </c>
      <c r="O6">
        <v>3948</v>
      </c>
      <c r="P6">
        <v>3980</v>
      </c>
      <c r="Q6">
        <v>3980</v>
      </c>
      <c r="R6">
        <v>3980</v>
      </c>
      <c r="S6">
        <v>4000</v>
      </c>
      <c r="T6">
        <v>4000</v>
      </c>
      <c r="U6">
        <v>3990</v>
      </c>
      <c r="V6">
        <v>4082</v>
      </c>
      <c r="W6">
        <v>4154</v>
      </c>
      <c r="X6">
        <v>4154</v>
      </c>
      <c r="Y6">
        <v>4206</v>
      </c>
      <c r="Z6">
        <v>4226</v>
      </c>
      <c r="AA6">
        <v>4226</v>
      </c>
      <c r="AB6">
        <v>4226</v>
      </c>
      <c r="AC6">
        <v>4226</v>
      </c>
      <c r="AD6">
        <v>4196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4020</v>
      </c>
      <c r="AS6">
        <v>4020</v>
      </c>
      <c r="AT6">
        <v>4020</v>
      </c>
    </row>
    <row r="7" spans="1:93">
      <c r="A7" t="s">
        <v>9</v>
      </c>
      <c r="B7">
        <v>3830</v>
      </c>
      <c r="C7">
        <v>3810</v>
      </c>
      <c r="D7">
        <v>3840</v>
      </c>
      <c r="E7">
        <v>3820</v>
      </c>
      <c r="F7">
        <v>3780</v>
      </c>
      <c r="G7">
        <v>3780</v>
      </c>
      <c r="H7">
        <v>3800</v>
      </c>
      <c r="I7">
        <v>3750</v>
      </c>
      <c r="J7">
        <v>3770</v>
      </c>
      <c r="K7">
        <v>3820</v>
      </c>
      <c r="L7">
        <v>3900</v>
      </c>
      <c r="M7">
        <v>3960</v>
      </c>
      <c r="N7">
        <v>3960</v>
      </c>
      <c r="O7">
        <v>3970</v>
      </c>
      <c r="P7">
        <v>3970</v>
      </c>
      <c r="Q7">
        <v>3950</v>
      </c>
      <c r="R7">
        <v>3920</v>
      </c>
      <c r="S7">
        <v>3920</v>
      </c>
      <c r="T7">
        <v>3920</v>
      </c>
      <c r="U7">
        <v>3970</v>
      </c>
      <c r="V7">
        <v>4040</v>
      </c>
      <c r="W7">
        <v>4090</v>
      </c>
      <c r="X7">
        <v>4100</v>
      </c>
      <c r="Y7">
        <v>4120</v>
      </c>
      <c r="Z7">
        <v>4150</v>
      </c>
      <c r="AA7">
        <v>4160</v>
      </c>
      <c r="AB7">
        <v>4170</v>
      </c>
      <c r="AC7">
        <v>4180</v>
      </c>
      <c r="AD7">
        <v>4180</v>
      </c>
      <c r="AE7">
        <v>4130</v>
      </c>
      <c r="AF7">
        <v>4070</v>
      </c>
      <c r="AG7">
        <v>4070</v>
      </c>
      <c r="AH7">
        <v>4070</v>
      </c>
      <c r="AI7">
        <v>4070</v>
      </c>
      <c r="AJ7">
        <v>4070</v>
      </c>
      <c r="AK7">
        <v>4070</v>
      </c>
      <c r="AL7">
        <v>4080</v>
      </c>
      <c r="AM7">
        <v>4080</v>
      </c>
      <c r="AN7">
        <v>4080</v>
      </c>
      <c r="AO7">
        <v>4080</v>
      </c>
      <c r="AP7">
        <v>4080</v>
      </c>
      <c r="AQ7">
        <v>4090</v>
      </c>
      <c r="AR7">
        <v>4090</v>
      </c>
      <c r="AS7">
        <v>4120</v>
      </c>
      <c r="AT7">
        <v>4120</v>
      </c>
    </row>
    <row r="8" spans="1:93">
      <c r="A8" t="s">
        <v>31</v>
      </c>
      <c r="B8">
        <v>10250</v>
      </c>
      <c r="C8">
        <v>10260</v>
      </c>
      <c r="D8">
        <v>10305</v>
      </c>
      <c r="E8">
        <v>10785</v>
      </c>
      <c r="F8">
        <v>10450</v>
      </c>
      <c r="G8">
        <v>10390</v>
      </c>
      <c r="H8">
        <v>10305</v>
      </c>
      <c r="I8">
        <v>10400</v>
      </c>
      <c r="J8">
        <v>10200</v>
      </c>
      <c r="K8">
        <v>10500</v>
      </c>
      <c r="L8">
        <v>11320</v>
      </c>
      <c r="M8">
        <v>11315</v>
      </c>
      <c r="N8">
        <v>11350</v>
      </c>
      <c r="O8">
        <v>11695</v>
      </c>
      <c r="P8">
        <v>11700</v>
      </c>
      <c r="Q8">
        <v>11940</v>
      </c>
      <c r="R8">
        <v>11775</v>
      </c>
      <c r="S8">
        <v>11795</v>
      </c>
      <c r="T8">
        <v>11875</v>
      </c>
      <c r="U8">
        <v>11835</v>
      </c>
      <c r="V8">
        <v>12170</v>
      </c>
      <c r="W8">
        <v>12105</v>
      </c>
      <c r="X8">
        <v>12150</v>
      </c>
      <c r="Y8">
        <v>12285</v>
      </c>
      <c r="Z8">
        <v>12160</v>
      </c>
      <c r="AA8">
        <v>12245</v>
      </c>
      <c r="AB8">
        <v>12110</v>
      </c>
      <c r="AC8">
        <v>11905</v>
      </c>
      <c r="AD8">
        <v>12025</v>
      </c>
      <c r="AE8">
        <v>11940</v>
      </c>
      <c r="AF8">
        <v>11435</v>
      </c>
      <c r="AG8">
        <v>11470</v>
      </c>
      <c r="AH8">
        <v>11540</v>
      </c>
      <c r="AI8">
        <v>11565</v>
      </c>
      <c r="AJ8">
        <v>11455</v>
      </c>
      <c r="AK8">
        <v>11145</v>
      </c>
      <c r="AL8">
        <v>11455</v>
      </c>
      <c r="AM8">
        <v>11365</v>
      </c>
      <c r="AN8">
        <v>11515</v>
      </c>
      <c r="AO8">
        <v>11520</v>
      </c>
      <c r="AP8">
        <v>11545</v>
      </c>
      <c r="AQ8">
        <v>11415</v>
      </c>
      <c r="AR8">
        <v>11960</v>
      </c>
      <c r="AS8">
        <v>12000</v>
      </c>
      <c r="AT8">
        <v>11920</v>
      </c>
    </row>
    <row r="9" spans="1:93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1520</v>
      </c>
      <c r="P9">
        <v>1520</v>
      </c>
      <c r="Q9">
        <v>1520</v>
      </c>
      <c r="R9">
        <v>1520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</row>
    <row r="10" spans="1:93">
      <c r="A10" t="s">
        <v>32</v>
      </c>
      <c r="B10">
        <v>6495</v>
      </c>
      <c r="C10">
        <v>6415</v>
      </c>
      <c r="D10">
        <v>6405</v>
      </c>
      <c r="E10">
        <v>6415</v>
      </c>
      <c r="F10">
        <v>6315</v>
      </c>
      <c r="G10">
        <v>6275</v>
      </c>
      <c r="H10">
        <v>6320</v>
      </c>
      <c r="I10">
        <v>6285</v>
      </c>
      <c r="J10">
        <v>6260</v>
      </c>
      <c r="K10">
        <v>6250</v>
      </c>
      <c r="L10">
        <v>6290</v>
      </c>
      <c r="M10">
        <v>6205</v>
      </c>
      <c r="N10">
        <v>6160</v>
      </c>
      <c r="O10">
        <v>6250</v>
      </c>
      <c r="P10">
        <v>6250</v>
      </c>
      <c r="Q10">
        <v>6250</v>
      </c>
      <c r="R10">
        <v>6275</v>
      </c>
      <c r="S10">
        <v>6250</v>
      </c>
      <c r="T10">
        <v>6300</v>
      </c>
      <c r="U10">
        <v>6370</v>
      </c>
      <c r="V10">
        <v>6540</v>
      </c>
      <c r="W10">
        <v>6580</v>
      </c>
      <c r="X10">
        <v>6580</v>
      </c>
      <c r="Y10">
        <v>6665</v>
      </c>
      <c r="Z10">
        <v>6690</v>
      </c>
      <c r="AA10">
        <v>6690</v>
      </c>
      <c r="AB10">
        <v>6600</v>
      </c>
      <c r="AC10">
        <v>6600</v>
      </c>
      <c r="AD10">
        <v>6600</v>
      </c>
      <c r="AE10">
        <v>6640</v>
      </c>
      <c r="AF10">
        <v>6650</v>
      </c>
      <c r="AG10">
        <v>6485</v>
      </c>
      <c r="AH10">
        <v>6580</v>
      </c>
      <c r="AI10">
        <v>6600</v>
      </c>
      <c r="AJ10">
        <v>6650</v>
      </c>
      <c r="AK10">
        <v>6650</v>
      </c>
      <c r="AL10">
        <v>6670</v>
      </c>
      <c r="AM10">
        <v>6640</v>
      </c>
      <c r="AN10">
        <v>6700</v>
      </c>
      <c r="AO10">
        <v>6620</v>
      </c>
      <c r="AP10">
        <v>6730</v>
      </c>
      <c r="AQ10">
        <v>6715</v>
      </c>
      <c r="AR10">
        <v>6735</v>
      </c>
      <c r="AS10">
        <v>6760</v>
      </c>
      <c r="AT10">
        <v>6665</v>
      </c>
    </row>
    <row r="11" spans="1:93">
      <c r="A11" t="s">
        <v>21</v>
      </c>
      <c r="B11">
        <v>9290</v>
      </c>
      <c r="C11">
        <v>9125</v>
      </c>
      <c r="D11">
        <v>9190</v>
      </c>
      <c r="E11">
        <v>9215</v>
      </c>
      <c r="F11">
        <v>9190</v>
      </c>
      <c r="G11">
        <v>9145</v>
      </c>
      <c r="H11">
        <v>9140</v>
      </c>
      <c r="I11">
        <v>9030</v>
      </c>
      <c r="J11">
        <v>9005</v>
      </c>
      <c r="K11">
        <v>9125</v>
      </c>
      <c r="L11">
        <v>9235</v>
      </c>
      <c r="M11">
        <v>9190</v>
      </c>
      <c r="N11">
        <v>9085</v>
      </c>
      <c r="O11">
        <v>9275</v>
      </c>
      <c r="P11">
        <v>9105</v>
      </c>
      <c r="Q11">
        <v>9185</v>
      </c>
      <c r="R11">
        <v>9230</v>
      </c>
      <c r="S11">
        <v>9110</v>
      </c>
      <c r="T11">
        <v>9085</v>
      </c>
      <c r="U11">
        <v>9230</v>
      </c>
      <c r="V11">
        <v>9275</v>
      </c>
      <c r="W11">
        <v>9375</v>
      </c>
      <c r="X11">
        <v>9355</v>
      </c>
      <c r="Y11">
        <v>9425</v>
      </c>
      <c r="Z11">
        <v>9455</v>
      </c>
      <c r="AA11">
        <v>9470</v>
      </c>
      <c r="AB11">
        <v>9335</v>
      </c>
      <c r="AC11">
        <v>9320</v>
      </c>
      <c r="AD11">
        <v>9425</v>
      </c>
      <c r="AE11">
        <v>9495</v>
      </c>
      <c r="AF11">
        <v>9470</v>
      </c>
      <c r="AG11">
        <v>9405</v>
      </c>
      <c r="AH11">
        <v>9365</v>
      </c>
      <c r="AI11">
        <v>9395</v>
      </c>
      <c r="AJ11">
        <v>9390</v>
      </c>
      <c r="AK11">
        <v>9420</v>
      </c>
      <c r="AL11">
        <v>9565</v>
      </c>
      <c r="AM11">
        <v>9550</v>
      </c>
      <c r="AN11">
        <v>9600</v>
      </c>
      <c r="AO11">
        <v>9640</v>
      </c>
      <c r="AP11">
        <v>9645</v>
      </c>
      <c r="AQ11">
        <v>9725</v>
      </c>
      <c r="AR11">
        <v>9850</v>
      </c>
      <c r="AS11">
        <v>9865</v>
      </c>
      <c r="AT11">
        <v>9830</v>
      </c>
    </row>
    <row r="12" spans="1:93">
      <c r="A12" t="s">
        <v>33</v>
      </c>
      <c r="B12">
        <v>8836</v>
      </c>
      <c r="C12">
        <v>8736</v>
      </c>
      <c r="D12">
        <v>8701</v>
      </c>
      <c r="E12">
        <v>8637</v>
      </c>
      <c r="F12">
        <v>8588</v>
      </c>
      <c r="G12">
        <v>8505</v>
      </c>
      <c r="H12">
        <v>8489</v>
      </c>
      <c r="I12">
        <v>8443</v>
      </c>
      <c r="J12">
        <v>8399</v>
      </c>
      <c r="K12">
        <v>8493</v>
      </c>
      <c r="L12">
        <v>8643</v>
      </c>
      <c r="M12">
        <v>8564</v>
      </c>
      <c r="N12">
        <v>8467</v>
      </c>
      <c r="O12">
        <v>8643</v>
      </c>
      <c r="P12">
        <v>8645</v>
      </c>
      <c r="Q12">
        <v>8783</v>
      </c>
      <c r="R12">
        <v>8811</v>
      </c>
      <c r="S12">
        <v>8768</v>
      </c>
      <c r="T12">
        <v>8744</v>
      </c>
      <c r="U12">
        <v>8869</v>
      </c>
      <c r="V12">
        <v>8865</v>
      </c>
      <c r="W12">
        <v>9032</v>
      </c>
      <c r="X12">
        <v>9012</v>
      </c>
      <c r="Y12">
        <v>9060</v>
      </c>
      <c r="Z12">
        <v>9117</v>
      </c>
      <c r="AA12">
        <v>9100</v>
      </c>
      <c r="AB12">
        <v>9060</v>
      </c>
      <c r="AC12">
        <v>9041</v>
      </c>
      <c r="AD12">
        <v>9087</v>
      </c>
      <c r="AE12">
        <v>9165</v>
      </c>
      <c r="AF12">
        <v>9174</v>
      </c>
      <c r="AG12">
        <v>9200</v>
      </c>
      <c r="AH12">
        <v>9108</v>
      </c>
      <c r="AI12">
        <v>9094</v>
      </c>
      <c r="AJ12">
        <v>9156</v>
      </c>
      <c r="AK12">
        <v>9127</v>
      </c>
      <c r="AL12">
        <v>9281</v>
      </c>
      <c r="AM12">
        <v>9370</v>
      </c>
      <c r="AN12">
        <v>9378</v>
      </c>
      <c r="AO12">
        <v>9343</v>
      </c>
      <c r="AP12">
        <v>9339</v>
      </c>
      <c r="AQ12">
        <v>9443</v>
      </c>
      <c r="AR12">
        <v>9477</v>
      </c>
      <c r="AS12">
        <v>9490</v>
      </c>
      <c r="AT12">
        <v>9501</v>
      </c>
    </row>
    <row r="13" spans="1:93">
      <c r="A13" t="s">
        <v>13</v>
      </c>
      <c r="B13">
        <v>5368</v>
      </c>
      <c r="C13">
        <v>5440</v>
      </c>
      <c r="D13">
        <v>5450</v>
      </c>
      <c r="E13">
        <v>5464</v>
      </c>
      <c r="F13">
        <v>5440</v>
      </c>
      <c r="G13">
        <v>5400</v>
      </c>
      <c r="H13">
        <v>5412</v>
      </c>
      <c r="I13">
        <v>5440</v>
      </c>
      <c r="J13">
        <v>5500</v>
      </c>
      <c r="K13">
        <v>5510</v>
      </c>
      <c r="L13">
        <v>5563</v>
      </c>
      <c r="M13">
        <v>5550</v>
      </c>
      <c r="N13">
        <v>5562</v>
      </c>
      <c r="O13">
        <v>5615</v>
      </c>
      <c r="P13">
        <v>5610</v>
      </c>
      <c r="Q13">
        <v>5682</v>
      </c>
      <c r="R13">
        <v>5680</v>
      </c>
      <c r="S13">
        <v>5638</v>
      </c>
      <c r="T13">
        <v>5670</v>
      </c>
      <c r="U13">
        <v>5720</v>
      </c>
      <c r="V13">
        <v>5835</v>
      </c>
      <c r="W13">
        <v>5900</v>
      </c>
      <c r="X13">
        <v>5965</v>
      </c>
      <c r="Y13">
        <v>5936</v>
      </c>
      <c r="Z13">
        <v>6000</v>
      </c>
      <c r="AA13">
        <v>5901</v>
      </c>
      <c r="AB13">
        <v>5947</v>
      </c>
      <c r="AC13">
        <v>5981</v>
      </c>
      <c r="AD13">
        <v>5984</v>
      </c>
      <c r="AE13">
        <v>5910</v>
      </c>
      <c r="AF13">
        <v>5890</v>
      </c>
      <c r="AG13">
        <v>5620</v>
      </c>
      <c r="AH13">
        <v>5632</v>
      </c>
      <c r="AI13">
        <v>5618</v>
      </c>
      <c r="AJ13">
        <v>5615</v>
      </c>
      <c r="AK13">
        <v>5610</v>
      </c>
      <c r="AL13">
        <v>5629</v>
      </c>
      <c r="AM13">
        <v>5616</v>
      </c>
      <c r="AN13">
        <v>5623</v>
      </c>
      <c r="AO13">
        <v>5643</v>
      </c>
      <c r="AP13">
        <v>5638</v>
      </c>
      <c r="AQ13">
        <v>5649</v>
      </c>
      <c r="AR13">
        <v>5621</v>
      </c>
      <c r="AS13">
        <v>5698</v>
      </c>
      <c r="AT13">
        <v>5685</v>
      </c>
    </row>
    <row r="14" spans="1:93">
      <c r="A14" t="s">
        <v>26</v>
      </c>
      <c r="B14">
        <v>2760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2650</v>
      </c>
      <c r="AL14">
        <v>2650</v>
      </c>
      <c r="AM14">
        <v>2650</v>
      </c>
      <c r="AN14">
        <v>2650</v>
      </c>
      <c r="AO14">
        <v>2600</v>
      </c>
      <c r="AP14">
        <v>2600</v>
      </c>
      <c r="AQ14">
        <v>2600</v>
      </c>
      <c r="AR14">
        <v>2600</v>
      </c>
      <c r="AS14">
        <v>2600</v>
      </c>
      <c r="AT14">
        <v>2400</v>
      </c>
    </row>
    <row r="15" spans="1:93">
      <c r="A15" t="s">
        <v>6</v>
      </c>
      <c r="B15">
        <v>2700</v>
      </c>
      <c r="C15">
        <v>2750</v>
      </c>
      <c r="D15">
        <v>2770</v>
      </c>
      <c r="E15">
        <v>2770</v>
      </c>
      <c r="F15">
        <v>2780</v>
      </c>
      <c r="G15">
        <v>2780</v>
      </c>
      <c r="H15">
        <v>2800</v>
      </c>
      <c r="I15">
        <v>2850</v>
      </c>
      <c r="J15">
        <v>2850</v>
      </c>
      <c r="K15">
        <v>2850</v>
      </c>
      <c r="L15">
        <v>2850</v>
      </c>
      <c r="M15">
        <v>2850</v>
      </c>
      <c r="N15">
        <v>2850</v>
      </c>
      <c r="O15">
        <v>2810</v>
      </c>
      <c r="P15">
        <v>2810</v>
      </c>
      <c r="Q15">
        <v>2760</v>
      </c>
      <c r="R15">
        <v>2710</v>
      </c>
      <c r="S15">
        <v>2660</v>
      </c>
      <c r="T15">
        <v>2500</v>
      </c>
      <c r="U15">
        <v>2450</v>
      </c>
      <c r="V15">
        <v>2450</v>
      </c>
      <c r="W15">
        <v>2550</v>
      </c>
      <c r="X15">
        <v>2550</v>
      </c>
      <c r="Y15">
        <v>2600</v>
      </c>
      <c r="Z15">
        <v>2630</v>
      </c>
      <c r="AA15">
        <v>2650</v>
      </c>
      <c r="AB15">
        <v>2700</v>
      </c>
      <c r="AC15">
        <v>2700</v>
      </c>
      <c r="AD15">
        <v>2700</v>
      </c>
      <c r="AE15">
        <v>2750</v>
      </c>
      <c r="AF15">
        <v>2750</v>
      </c>
      <c r="AG15">
        <v>2800</v>
      </c>
      <c r="AH15">
        <v>2800</v>
      </c>
      <c r="AI15">
        <v>2800</v>
      </c>
      <c r="AJ15">
        <v>2800</v>
      </c>
      <c r="AK15">
        <v>2800</v>
      </c>
      <c r="AL15">
        <v>2820</v>
      </c>
      <c r="AM15">
        <v>2850</v>
      </c>
      <c r="AN15">
        <v>2950</v>
      </c>
      <c r="AO15">
        <v>2990</v>
      </c>
      <c r="AP15">
        <v>2990</v>
      </c>
      <c r="AQ15">
        <v>3010</v>
      </c>
      <c r="AR15">
        <v>3050</v>
      </c>
      <c r="AS15">
        <v>3100</v>
      </c>
      <c r="AT15">
        <v>3100</v>
      </c>
    </row>
    <row r="16" spans="1:93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3650</v>
      </c>
      <c r="I16">
        <v>3690</v>
      </c>
      <c r="J16">
        <v>3690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</row>
    <row r="17" spans="1:46">
      <c r="A17" t="s">
        <v>11</v>
      </c>
      <c r="B17">
        <v>3420</v>
      </c>
      <c r="C17">
        <v>3250</v>
      </c>
      <c r="D17">
        <v>3230</v>
      </c>
      <c r="E17">
        <v>3230</v>
      </c>
      <c r="F17">
        <v>3210</v>
      </c>
      <c r="G17">
        <v>3150</v>
      </c>
      <c r="H17">
        <v>3160</v>
      </c>
      <c r="I17">
        <v>3180</v>
      </c>
      <c r="J17">
        <v>3190</v>
      </c>
      <c r="K17">
        <v>3150</v>
      </c>
      <c r="L17">
        <v>3120</v>
      </c>
      <c r="M17">
        <v>3100</v>
      </c>
      <c r="N17">
        <v>3100</v>
      </c>
      <c r="O17">
        <v>3160</v>
      </c>
      <c r="P17">
        <v>3160</v>
      </c>
      <c r="Q17">
        <v>3140</v>
      </c>
      <c r="R17">
        <v>3180</v>
      </c>
      <c r="S17">
        <v>3180</v>
      </c>
      <c r="T17">
        <v>3170</v>
      </c>
      <c r="U17">
        <v>3220</v>
      </c>
      <c r="V17">
        <v>3220</v>
      </c>
      <c r="W17">
        <v>3240</v>
      </c>
      <c r="X17">
        <v>3250</v>
      </c>
      <c r="Y17">
        <v>3270</v>
      </c>
      <c r="Z17">
        <v>3230</v>
      </c>
      <c r="AA17">
        <v>3090</v>
      </c>
      <c r="AB17">
        <v>3070</v>
      </c>
      <c r="AC17">
        <v>3060</v>
      </c>
      <c r="AD17">
        <v>3060</v>
      </c>
      <c r="AE17">
        <v>3010</v>
      </c>
      <c r="AF17">
        <v>3020</v>
      </c>
      <c r="AG17">
        <v>2920</v>
      </c>
      <c r="AH17">
        <v>2920</v>
      </c>
      <c r="AI17">
        <v>2890</v>
      </c>
      <c r="AJ17">
        <v>2860</v>
      </c>
      <c r="AK17">
        <v>2860</v>
      </c>
      <c r="AL17">
        <v>2860</v>
      </c>
      <c r="AM17">
        <v>2820</v>
      </c>
      <c r="AN17">
        <v>2830</v>
      </c>
      <c r="AO17">
        <v>2840</v>
      </c>
      <c r="AP17">
        <v>2850</v>
      </c>
      <c r="AQ17">
        <v>2850</v>
      </c>
      <c r="AR17">
        <v>2850</v>
      </c>
      <c r="AS17">
        <v>2830</v>
      </c>
      <c r="AT17">
        <v>2830</v>
      </c>
    </row>
    <row r="18" spans="1:46">
      <c r="A18" t="s">
        <v>23</v>
      </c>
      <c r="B18">
        <v>2730</v>
      </c>
      <c r="C18">
        <v>2570</v>
      </c>
      <c r="D18">
        <v>2550</v>
      </c>
      <c r="E18">
        <v>2580</v>
      </c>
      <c r="F18">
        <v>2560</v>
      </c>
      <c r="G18">
        <v>2500</v>
      </c>
      <c r="H18">
        <v>2500</v>
      </c>
      <c r="I18">
        <v>2500</v>
      </c>
      <c r="J18">
        <v>2500</v>
      </c>
      <c r="K18">
        <v>2500</v>
      </c>
      <c r="L18">
        <v>2480</v>
      </c>
      <c r="M18">
        <v>2450</v>
      </c>
      <c r="N18">
        <v>2470</v>
      </c>
      <c r="O18">
        <v>2470</v>
      </c>
      <c r="P18">
        <v>2507</v>
      </c>
      <c r="Q18">
        <v>2507</v>
      </c>
      <c r="R18">
        <v>2548</v>
      </c>
      <c r="S18">
        <v>2513</v>
      </c>
      <c r="T18">
        <v>2523</v>
      </c>
      <c r="U18">
        <v>2523</v>
      </c>
      <c r="V18">
        <v>2530</v>
      </c>
      <c r="W18">
        <v>2566</v>
      </c>
      <c r="X18">
        <v>2548</v>
      </c>
      <c r="Y18">
        <v>2564</v>
      </c>
      <c r="Z18">
        <v>2600</v>
      </c>
      <c r="AA18">
        <v>2466</v>
      </c>
      <c r="AB18">
        <v>2461</v>
      </c>
      <c r="AC18">
        <v>2431</v>
      </c>
      <c r="AD18">
        <v>2441</v>
      </c>
      <c r="AE18">
        <v>2430</v>
      </c>
      <c r="AF18">
        <v>2290</v>
      </c>
      <c r="AG18">
        <v>2290</v>
      </c>
      <c r="AH18">
        <v>2290</v>
      </c>
      <c r="AI18">
        <v>2290</v>
      </c>
      <c r="AJ18">
        <v>2290</v>
      </c>
      <c r="AK18">
        <v>2290</v>
      </c>
      <c r="AL18">
        <v>2270</v>
      </c>
      <c r="AM18">
        <v>2280</v>
      </c>
      <c r="AN18">
        <v>2280</v>
      </c>
      <c r="AO18">
        <v>2290</v>
      </c>
      <c r="AP18">
        <v>2300</v>
      </c>
      <c r="AQ18">
        <v>2300</v>
      </c>
      <c r="AR18">
        <v>2290</v>
      </c>
      <c r="AS18">
        <v>2270</v>
      </c>
      <c r="AT18">
        <v>2250</v>
      </c>
    </row>
    <row r="19" spans="1:46">
      <c r="A19" t="s">
        <v>14</v>
      </c>
      <c r="B19">
        <v>1830</v>
      </c>
      <c r="C19">
        <v>1840</v>
      </c>
      <c r="D19">
        <v>1840</v>
      </c>
      <c r="E19">
        <v>1840</v>
      </c>
      <c r="F19">
        <v>1890</v>
      </c>
      <c r="G19">
        <v>1890</v>
      </c>
      <c r="H19">
        <v>1890</v>
      </c>
      <c r="I19">
        <v>1890</v>
      </c>
      <c r="J19">
        <v>1900</v>
      </c>
      <c r="K19">
        <v>1930</v>
      </c>
      <c r="L19">
        <v>1940</v>
      </c>
      <c r="M19">
        <v>1940</v>
      </c>
      <c r="N19">
        <v>1940</v>
      </c>
      <c r="O19">
        <v>1930</v>
      </c>
      <c r="P19">
        <v>1930</v>
      </c>
      <c r="Q19">
        <v>1930</v>
      </c>
      <c r="R19">
        <v>1940</v>
      </c>
      <c r="S19">
        <v>1950</v>
      </c>
      <c r="T19">
        <v>1950</v>
      </c>
      <c r="U19">
        <v>1960</v>
      </c>
      <c r="V19">
        <v>1960</v>
      </c>
      <c r="W19">
        <v>1950</v>
      </c>
      <c r="X19">
        <v>1940</v>
      </c>
      <c r="Y19">
        <v>1940</v>
      </c>
      <c r="Z19">
        <v>1900</v>
      </c>
      <c r="AA19">
        <v>1900</v>
      </c>
      <c r="AB19">
        <v>1890</v>
      </c>
      <c r="AC19">
        <v>1890</v>
      </c>
      <c r="AD19">
        <v>1870</v>
      </c>
      <c r="AE19">
        <v>1870</v>
      </c>
      <c r="AF19">
        <v>1870</v>
      </c>
      <c r="AG19">
        <v>1870</v>
      </c>
      <c r="AH19">
        <v>1870</v>
      </c>
      <c r="AI19">
        <v>1870</v>
      </c>
      <c r="AJ19">
        <v>1870</v>
      </c>
      <c r="AK19">
        <v>1870</v>
      </c>
      <c r="AL19">
        <v>1870</v>
      </c>
      <c r="AM19">
        <v>1870</v>
      </c>
      <c r="AN19">
        <v>1870</v>
      </c>
      <c r="AO19">
        <v>1850</v>
      </c>
      <c r="AP19">
        <v>1850</v>
      </c>
      <c r="AQ19">
        <v>1850</v>
      </c>
      <c r="AR19">
        <v>1850</v>
      </c>
      <c r="AS19">
        <v>1850</v>
      </c>
      <c r="AT19">
        <v>1850</v>
      </c>
    </row>
    <row r="20" spans="1:46">
      <c r="A20" t="s">
        <v>8</v>
      </c>
      <c r="B20">
        <v>2200</v>
      </c>
      <c r="C20">
        <v>2200</v>
      </c>
      <c r="D20">
        <v>2250</v>
      </c>
      <c r="E20">
        <v>2250</v>
      </c>
      <c r="F20">
        <v>2250</v>
      </c>
      <c r="G20">
        <v>2250</v>
      </c>
      <c r="H20">
        <v>2250</v>
      </c>
      <c r="I20">
        <v>2250</v>
      </c>
      <c r="J20">
        <v>2250</v>
      </c>
      <c r="K20">
        <v>2250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2250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2250</v>
      </c>
    </row>
    <row r="21" spans="1:46">
      <c r="A21" t="s">
        <v>34</v>
      </c>
      <c r="B21">
        <v>6020</v>
      </c>
      <c r="C21">
        <v>5750</v>
      </c>
      <c r="D21">
        <v>5720</v>
      </c>
      <c r="E21">
        <v>5650</v>
      </c>
      <c r="F21">
        <v>5650</v>
      </c>
      <c r="G21">
        <v>5630</v>
      </c>
      <c r="H21">
        <v>5660</v>
      </c>
      <c r="I21">
        <v>5710</v>
      </c>
      <c r="J21">
        <v>5730</v>
      </c>
      <c r="K21">
        <v>5710</v>
      </c>
      <c r="L21">
        <v>5710</v>
      </c>
      <c r="M21">
        <v>5700</v>
      </c>
      <c r="N21">
        <v>5660</v>
      </c>
      <c r="O21">
        <v>5680</v>
      </c>
      <c r="P21">
        <v>5710</v>
      </c>
      <c r="Q21">
        <v>5690</v>
      </c>
      <c r="R21">
        <v>5730</v>
      </c>
      <c r="S21">
        <v>5700</v>
      </c>
      <c r="T21">
        <v>5680</v>
      </c>
      <c r="U21">
        <v>5710</v>
      </c>
      <c r="V21">
        <v>5730</v>
      </c>
      <c r="W21">
        <v>5820</v>
      </c>
      <c r="X21">
        <v>5820</v>
      </c>
      <c r="Y21">
        <v>5820</v>
      </c>
      <c r="Z21">
        <v>5800</v>
      </c>
      <c r="AA21">
        <v>5720</v>
      </c>
      <c r="AB21">
        <v>5720</v>
      </c>
      <c r="AC21">
        <v>5730</v>
      </c>
      <c r="AD21">
        <v>5740</v>
      </c>
      <c r="AE21">
        <v>5670</v>
      </c>
      <c r="AF21">
        <v>5630</v>
      </c>
      <c r="AG21">
        <v>5590</v>
      </c>
      <c r="AH21">
        <v>5590</v>
      </c>
      <c r="AI21">
        <v>5590</v>
      </c>
      <c r="AJ21">
        <v>5590</v>
      </c>
      <c r="AK21">
        <v>5550</v>
      </c>
      <c r="AL21">
        <v>5570</v>
      </c>
      <c r="AM21">
        <v>5490</v>
      </c>
      <c r="AN21">
        <v>5470</v>
      </c>
      <c r="AO21">
        <v>5530</v>
      </c>
      <c r="AP21">
        <v>5530</v>
      </c>
      <c r="AQ21">
        <v>5550</v>
      </c>
      <c r="AR21">
        <v>5560</v>
      </c>
      <c r="AS21">
        <v>5620</v>
      </c>
      <c r="AT21">
        <v>5600</v>
      </c>
    </row>
    <row r="22" spans="1:46">
      <c r="A22" t="s">
        <v>25</v>
      </c>
      <c r="B22">
        <v>5180</v>
      </c>
      <c r="C22">
        <v>5070</v>
      </c>
      <c r="D22">
        <v>5060</v>
      </c>
      <c r="E22">
        <v>5060</v>
      </c>
      <c r="F22">
        <v>5010</v>
      </c>
      <c r="G22">
        <v>4980</v>
      </c>
      <c r="H22">
        <v>5010</v>
      </c>
      <c r="I22">
        <v>5000</v>
      </c>
      <c r="J22">
        <v>5030</v>
      </c>
      <c r="K22">
        <v>5050</v>
      </c>
      <c r="L22">
        <v>5070</v>
      </c>
      <c r="M22">
        <v>5050</v>
      </c>
      <c r="N22">
        <v>5010</v>
      </c>
      <c r="O22">
        <v>5030</v>
      </c>
      <c r="P22">
        <v>5060</v>
      </c>
      <c r="Q22">
        <v>5030</v>
      </c>
      <c r="R22">
        <v>5060</v>
      </c>
      <c r="S22">
        <v>5030</v>
      </c>
      <c r="T22">
        <v>5030</v>
      </c>
      <c r="U22">
        <v>5070</v>
      </c>
      <c r="V22">
        <v>5090</v>
      </c>
      <c r="W22">
        <v>5170</v>
      </c>
      <c r="X22">
        <v>5190</v>
      </c>
      <c r="Y22">
        <v>5160</v>
      </c>
      <c r="Z22">
        <v>5220</v>
      </c>
      <c r="AA22">
        <v>5230</v>
      </c>
      <c r="AB22">
        <v>5220</v>
      </c>
      <c r="AC22">
        <v>5210</v>
      </c>
      <c r="AD22">
        <v>5220</v>
      </c>
      <c r="AE22">
        <v>5160</v>
      </c>
      <c r="AF22">
        <v>5090</v>
      </c>
      <c r="AG22">
        <v>5060</v>
      </c>
      <c r="AH22">
        <v>5060</v>
      </c>
      <c r="AI22">
        <v>5060</v>
      </c>
      <c r="AJ22">
        <v>5070</v>
      </c>
      <c r="AK22">
        <v>5030</v>
      </c>
      <c r="AL22">
        <v>5040</v>
      </c>
      <c r="AM22">
        <v>5040</v>
      </c>
      <c r="AN22">
        <v>5010</v>
      </c>
      <c r="AO22">
        <v>5030</v>
      </c>
      <c r="AP22">
        <v>5030</v>
      </c>
      <c r="AQ22">
        <v>5100</v>
      </c>
      <c r="AR22">
        <v>5090</v>
      </c>
      <c r="AS22">
        <v>5150</v>
      </c>
      <c r="AT22">
        <v>5140</v>
      </c>
    </row>
    <row r="23" spans="1:46">
      <c r="A23" t="s">
        <v>16</v>
      </c>
      <c r="B23">
        <v>6590</v>
      </c>
      <c r="C23">
        <v>6640</v>
      </c>
      <c r="D23">
        <v>6640</v>
      </c>
      <c r="E23">
        <v>6620</v>
      </c>
      <c r="F23">
        <v>6520</v>
      </c>
      <c r="G23">
        <v>6500</v>
      </c>
      <c r="H23">
        <v>6560</v>
      </c>
      <c r="I23">
        <v>6640</v>
      </c>
      <c r="J23">
        <v>6640</v>
      </c>
      <c r="K23">
        <v>6640</v>
      </c>
      <c r="L23">
        <v>6630</v>
      </c>
      <c r="M23">
        <v>6640</v>
      </c>
      <c r="N23">
        <v>6640</v>
      </c>
      <c r="O23">
        <v>6660</v>
      </c>
      <c r="P23">
        <v>6450</v>
      </c>
      <c r="Q23">
        <v>6450</v>
      </c>
      <c r="R23">
        <v>6450</v>
      </c>
      <c r="S23">
        <v>6450</v>
      </c>
      <c r="T23">
        <v>6450</v>
      </c>
      <c r="U23">
        <v>6440</v>
      </c>
      <c r="V23">
        <v>6510</v>
      </c>
      <c r="W23">
        <v>6510</v>
      </c>
      <c r="X23">
        <v>6568</v>
      </c>
      <c r="Y23">
        <v>6580</v>
      </c>
      <c r="Z23">
        <v>6580</v>
      </c>
      <c r="AA23">
        <v>6490</v>
      </c>
      <c r="AB23">
        <v>6510</v>
      </c>
      <c r="AC23">
        <v>6540</v>
      </c>
      <c r="AD23">
        <v>6540</v>
      </c>
      <c r="AE23">
        <v>6520</v>
      </c>
      <c r="AF23">
        <v>6420</v>
      </c>
      <c r="AG23">
        <v>6510</v>
      </c>
      <c r="AH23">
        <v>6510</v>
      </c>
      <c r="AI23">
        <v>6510</v>
      </c>
      <c r="AJ23">
        <v>6510</v>
      </c>
      <c r="AK23">
        <v>6510</v>
      </c>
      <c r="AL23">
        <v>6510</v>
      </c>
      <c r="AM23">
        <v>6510</v>
      </c>
      <c r="AN23">
        <v>6510</v>
      </c>
      <c r="AO23">
        <v>6510</v>
      </c>
      <c r="AP23">
        <v>6510</v>
      </c>
      <c r="AQ23">
        <v>6520</v>
      </c>
      <c r="AR23">
        <v>6540</v>
      </c>
      <c r="AS23">
        <v>6600</v>
      </c>
      <c r="AT23">
        <v>6618</v>
      </c>
    </row>
    <row r="24" spans="1:46">
      <c r="A24" t="s">
        <v>10</v>
      </c>
      <c r="B24">
        <v>5660</v>
      </c>
      <c r="C24">
        <v>5670</v>
      </c>
      <c r="D24">
        <v>5680</v>
      </c>
      <c r="E24">
        <v>5690</v>
      </c>
      <c r="F24">
        <v>5690</v>
      </c>
      <c r="G24">
        <v>5640</v>
      </c>
      <c r="H24">
        <v>5640</v>
      </c>
      <c r="I24">
        <v>5640</v>
      </c>
      <c r="J24">
        <v>5640</v>
      </c>
      <c r="K24">
        <v>5660</v>
      </c>
      <c r="L24">
        <v>5680</v>
      </c>
      <c r="M24">
        <v>5680</v>
      </c>
      <c r="N24">
        <v>5700</v>
      </c>
      <c r="O24">
        <v>5750</v>
      </c>
      <c r="P24">
        <v>5760</v>
      </c>
      <c r="Q24">
        <v>5760</v>
      </c>
      <c r="R24">
        <v>5760</v>
      </c>
      <c r="S24">
        <v>5760</v>
      </c>
      <c r="T24">
        <v>5910</v>
      </c>
      <c r="U24">
        <v>5760</v>
      </c>
      <c r="V24">
        <v>5780</v>
      </c>
      <c r="W24">
        <v>5780</v>
      </c>
      <c r="X24">
        <v>5810</v>
      </c>
      <c r="Y24">
        <v>5850</v>
      </c>
      <c r="Z24">
        <v>6010</v>
      </c>
      <c r="AA24">
        <v>6010</v>
      </c>
      <c r="AB24">
        <v>6010</v>
      </c>
      <c r="AC24">
        <v>5910</v>
      </c>
      <c r="AD24">
        <v>5910</v>
      </c>
      <c r="AE24">
        <v>5920</v>
      </c>
      <c r="AF24">
        <v>5920</v>
      </c>
      <c r="AG24">
        <v>5920</v>
      </c>
      <c r="AH24">
        <v>5920</v>
      </c>
      <c r="AI24">
        <v>5920</v>
      </c>
      <c r="AJ24">
        <v>5920</v>
      </c>
      <c r="AK24">
        <v>5920</v>
      </c>
      <c r="AL24">
        <v>5920</v>
      </c>
      <c r="AM24">
        <v>5920</v>
      </c>
      <c r="AN24">
        <v>5920</v>
      </c>
      <c r="AO24">
        <v>5790</v>
      </c>
      <c r="AP24">
        <v>5970</v>
      </c>
      <c r="AQ24">
        <v>5970</v>
      </c>
      <c r="AR24">
        <v>5970</v>
      </c>
      <c r="AS24">
        <v>5970</v>
      </c>
      <c r="AT24">
        <v>5970</v>
      </c>
    </row>
    <row r="25" spans="1:46">
      <c r="A25" t="s">
        <v>35</v>
      </c>
      <c r="B25">
        <v>15355</v>
      </c>
      <c r="C25">
        <v>15385</v>
      </c>
      <c r="D25">
        <v>15385</v>
      </c>
      <c r="E25">
        <v>15385</v>
      </c>
      <c r="F25">
        <v>15400</v>
      </c>
      <c r="G25">
        <v>15450</v>
      </c>
      <c r="H25">
        <v>15450</v>
      </c>
      <c r="I25">
        <v>15450</v>
      </c>
      <c r="J25">
        <v>15450</v>
      </c>
      <c r="K25">
        <v>15500</v>
      </c>
      <c r="L25">
        <v>15500</v>
      </c>
      <c r="M25">
        <v>15500</v>
      </c>
      <c r="N25">
        <v>15555</v>
      </c>
      <c r="O25">
        <v>15555</v>
      </c>
      <c r="P25">
        <v>15555</v>
      </c>
      <c r="Q25">
        <v>15555</v>
      </c>
      <c r="R25">
        <v>15555</v>
      </c>
      <c r="S25">
        <v>15555</v>
      </c>
      <c r="T25">
        <v>15555</v>
      </c>
      <c r="U25">
        <v>15555</v>
      </c>
      <c r="V25">
        <v>15525</v>
      </c>
      <c r="W25">
        <v>15525</v>
      </c>
      <c r="X25">
        <v>15505</v>
      </c>
      <c r="Y25">
        <v>15475</v>
      </c>
      <c r="Z25">
        <v>15475</v>
      </c>
      <c r="AA25">
        <v>15465</v>
      </c>
      <c r="AB25">
        <v>15465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</row>
    <row r="26" spans="1:46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23100</v>
      </c>
      <c r="J26">
        <v>23100</v>
      </c>
      <c r="K26">
        <v>23100</v>
      </c>
      <c r="L26">
        <v>23100</v>
      </c>
      <c r="M26">
        <v>23100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23000</v>
      </c>
      <c r="V26">
        <v>23000</v>
      </c>
      <c r="W26">
        <v>22950</v>
      </c>
      <c r="X26">
        <v>22950</v>
      </c>
      <c r="Y26">
        <v>22950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23100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</row>
    <row r="27" spans="1:46">
      <c r="A27" t="s">
        <v>36</v>
      </c>
      <c r="B27">
        <v>50360</v>
      </c>
      <c r="C27">
        <v>50620</v>
      </c>
      <c r="D27">
        <v>50350</v>
      </c>
      <c r="E27">
        <v>50100</v>
      </c>
      <c r="F27">
        <v>49770</v>
      </c>
      <c r="G27">
        <v>49520</v>
      </c>
      <c r="H27">
        <v>49200</v>
      </c>
      <c r="I27">
        <v>49300</v>
      </c>
      <c r="J27">
        <v>48970</v>
      </c>
      <c r="K27">
        <v>49830</v>
      </c>
      <c r="L27">
        <v>50900</v>
      </c>
      <c r="M27">
        <v>50530</v>
      </c>
      <c r="N27">
        <v>50910</v>
      </c>
      <c r="O27">
        <v>50900</v>
      </c>
      <c r="P27">
        <v>51430</v>
      </c>
      <c r="Q27">
        <v>51850</v>
      </c>
      <c r="R27">
        <v>51510</v>
      </c>
      <c r="S27">
        <v>51380</v>
      </c>
      <c r="T27">
        <v>51570</v>
      </c>
      <c r="U27">
        <v>51110</v>
      </c>
      <c r="V27">
        <v>51780</v>
      </c>
      <c r="W27">
        <v>51950</v>
      </c>
      <c r="X27">
        <v>51850</v>
      </c>
      <c r="Y27">
        <v>51760</v>
      </c>
      <c r="Z27">
        <v>51950</v>
      </c>
      <c r="AA27">
        <v>52040</v>
      </c>
      <c r="AB27">
        <v>52420</v>
      </c>
      <c r="AC27">
        <v>52910</v>
      </c>
      <c r="AD27">
        <v>52940</v>
      </c>
      <c r="AE27">
        <v>52930</v>
      </c>
      <c r="AF27">
        <v>52280</v>
      </c>
      <c r="AG27">
        <v>52240</v>
      </c>
      <c r="AH27">
        <v>51680</v>
      </c>
      <c r="AI27">
        <v>51310</v>
      </c>
      <c r="AJ27">
        <v>51300</v>
      </c>
      <c r="AK27">
        <v>51630</v>
      </c>
      <c r="AL27">
        <v>52870</v>
      </c>
      <c r="AM27">
        <v>52610</v>
      </c>
      <c r="AN27">
        <v>52720</v>
      </c>
      <c r="AO27">
        <v>52870</v>
      </c>
      <c r="AP27">
        <v>52840</v>
      </c>
      <c r="AQ27">
        <v>52680</v>
      </c>
      <c r="AR27">
        <v>53180</v>
      </c>
      <c r="AS27">
        <v>53400</v>
      </c>
      <c r="AT27">
        <v>53210</v>
      </c>
    </row>
    <row r="28" spans="1:46">
      <c r="A28" t="s">
        <v>22</v>
      </c>
      <c r="B28">
        <v>14040</v>
      </c>
      <c r="C28">
        <v>13960</v>
      </c>
      <c r="D28">
        <v>13960</v>
      </c>
      <c r="E28">
        <v>13710</v>
      </c>
      <c r="F28">
        <v>13620</v>
      </c>
      <c r="G28">
        <v>13700</v>
      </c>
      <c r="H28">
        <v>13620</v>
      </c>
      <c r="I28">
        <v>13650</v>
      </c>
      <c r="J28">
        <v>13530</v>
      </c>
      <c r="K28">
        <v>13530</v>
      </c>
      <c r="L28">
        <v>13720</v>
      </c>
      <c r="M28">
        <v>13690</v>
      </c>
      <c r="N28">
        <v>13780</v>
      </c>
      <c r="O28">
        <v>13720</v>
      </c>
      <c r="P28">
        <v>13730</v>
      </c>
      <c r="Q28">
        <v>13730</v>
      </c>
      <c r="R28">
        <v>13710</v>
      </c>
      <c r="S28">
        <v>13700</v>
      </c>
      <c r="T28">
        <v>13800</v>
      </c>
      <c r="U28">
        <v>13970</v>
      </c>
      <c r="V28">
        <v>13910</v>
      </c>
      <c r="W28">
        <v>14050</v>
      </c>
      <c r="X28">
        <v>14050</v>
      </c>
      <c r="Y28">
        <v>13930</v>
      </c>
      <c r="Z28">
        <v>14100</v>
      </c>
      <c r="AA28">
        <v>14130</v>
      </c>
      <c r="AB28">
        <v>14010</v>
      </c>
      <c r="AC28">
        <v>13930</v>
      </c>
      <c r="AD28">
        <v>13890</v>
      </c>
      <c r="AE28">
        <v>13920</v>
      </c>
      <c r="AF28">
        <v>13670</v>
      </c>
      <c r="AG28">
        <v>14010</v>
      </c>
      <c r="AH28">
        <v>14130</v>
      </c>
      <c r="AI28">
        <v>13840</v>
      </c>
      <c r="AJ28">
        <v>13930</v>
      </c>
      <c r="AK28">
        <v>14060</v>
      </c>
      <c r="AL28">
        <v>14060</v>
      </c>
      <c r="AM28">
        <v>14080</v>
      </c>
      <c r="AN28">
        <v>14110</v>
      </c>
      <c r="AO28">
        <v>14200</v>
      </c>
      <c r="AP28">
        <v>14150</v>
      </c>
      <c r="AQ28">
        <v>14230</v>
      </c>
      <c r="AR28">
        <v>14370</v>
      </c>
      <c r="AS28">
        <v>14490</v>
      </c>
      <c r="AT28">
        <v>14460</v>
      </c>
    </row>
    <row r="29" spans="1:46">
      <c r="A29" t="s">
        <v>37</v>
      </c>
      <c r="B29">
        <v>24420</v>
      </c>
      <c r="C29">
        <v>24700</v>
      </c>
      <c r="D29">
        <v>24850</v>
      </c>
      <c r="E29">
        <v>24960</v>
      </c>
      <c r="F29">
        <v>24790</v>
      </c>
      <c r="G29">
        <v>24810</v>
      </c>
      <c r="H29">
        <v>24980</v>
      </c>
      <c r="I29">
        <v>24980</v>
      </c>
      <c r="J29">
        <v>24620</v>
      </c>
      <c r="K29">
        <v>24750</v>
      </c>
      <c r="L29">
        <v>24850</v>
      </c>
      <c r="M29">
        <v>24500</v>
      </c>
      <c r="N29">
        <v>24710</v>
      </c>
      <c r="O29">
        <v>24860</v>
      </c>
      <c r="P29">
        <v>24830</v>
      </c>
      <c r="Q29">
        <v>24760</v>
      </c>
      <c r="R29">
        <v>25150</v>
      </c>
      <c r="S29">
        <v>25090</v>
      </c>
      <c r="T29">
        <v>25070</v>
      </c>
      <c r="U29">
        <v>24820</v>
      </c>
      <c r="V29">
        <v>25310</v>
      </c>
      <c r="W29">
        <v>25520</v>
      </c>
      <c r="X29">
        <v>25380</v>
      </c>
      <c r="Y29">
        <v>25930</v>
      </c>
      <c r="Z29">
        <v>26090</v>
      </c>
      <c r="AA29">
        <v>26330</v>
      </c>
      <c r="AB29">
        <v>26300</v>
      </c>
      <c r="AC29">
        <v>26600</v>
      </c>
      <c r="AD29">
        <v>26530</v>
      </c>
      <c r="AE29">
        <v>26460</v>
      </c>
      <c r="AF29">
        <v>26200</v>
      </c>
      <c r="AG29">
        <v>26430</v>
      </c>
      <c r="AH29">
        <v>26010</v>
      </c>
      <c r="AI29">
        <v>26040</v>
      </c>
      <c r="AJ29">
        <v>26120</v>
      </c>
      <c r="AK29">
        <v>26200</v>
      </c>
      <c r="AL29">
        <v>26580</v>
      </c>
      <c r="AM29">
        <v>26550</v>
      </c>
      <c r="AN29">
        <v>26680</v>
      </c>
      <c r="AO29">
        <v>26720</v>
      </c>
      <c r="AP29">
        <v>26690</v>
      </c>
      <c r="AQ29">
        <v>26620</v>
      </c>
      <c r="AR29">
        <v>26900</v>
      </c>
      <c r="AS29">
        <v>27090</v>
      </c>
      <c r="AT29">
        <v>26120</v>
      </c>
    </row>
    <row r="30" spans="1:46">
      <c r="A30" t="s">
        <v>38</v>
      </c>
      <c r="B30">
        <v>98400</v>
      </c>
      <c r="C30">
        <v>99900</v>
      </c>
      <c r="D30">
        <v>99300</v>
      </c>
      <c r="E30">
        <v>99800</v>
      </c>
      <c r="F30">
        <v>98350</v>
      </c>
      <c r="G30">
        <v>96400</v>
      </c>
      <c r="H30">
        <v>96850</v>
      </c>
      <c r="I30">
        <v>97050</v>
      </c>
      <c r="J30">
        <v>96800</v>
      </c>
      <c r="K30">
        <v>98250</v>
      </c>
      <c r="L30">
        <v>101500</v>
      </c>
      <c r="M30">
        <v>100900</v>
      </c>
      <c r="N30">
        <v>101300</v>
      </c>
      <c r="O30">
        <v>101300</v>
      </c>
      <c r="P30">
        <v>102100</v>
      </c>
      <c r="Q30">
        <v>103050</v>
      </c>
      <c r="R30">
        <v>103550</v>
      </c>
      <c r="S30">
        <v>103500</v>
      </c>
      <c r="T30">
        <v>103600</v>
      </c>
      <c r="U30">
        <v>99850</v>
      </c>
      <c r="V30">
        <v>101000</v>
      </c>
      <c r="W30">
        <v>102100</v>
      </c>
      <c r="X30">
        <v>101750</v>
      </c>
      <c r="Y30">
        <v>101650</v>
      </c>
      <c r="Z30">
        <v>101650</v>
      </c>
      <c r="AA30">
        <v>103400</v>
      </c>
      <c r="AB30">
        <v>104150</v>
      </c>
      <c r="AC30">
        <v>104400</v>
      </c>
      <c r="AD30">
        <v>103500</v>
      </c>
      <c r="AE30">
        <v>103600</v>
      </c>
      <c r="AF30">
        <v>102000</v>
      </c>
      <c r="AG30">
        <v>102000</v>
      </c>
      <c r="AH30">
        <v>100150</v>
      </c>
      <c r="AI30">
        <v>99200</v>
      </c>
      <c r="AJ30">
        <v>99150</v>
      </c>
      <c r="AK30">
        <v>100100</v>
      </c>
      <c r="AL30">
        <v>102050</v>
      </c>
      <c r="AM30">
        <v>100550</v>
      </c>
      <c r="AN30">
        <v>100450</v>
      </c>
      <c r="AO30">
        <v>104050</v>
      </c>
      <c r="AP30">
        <v>101500</v>
      </c>
      <c r="AQ30">
        <v>101250</v>
      </c>
      <c r="AR30">
        <v>104700</v>
      </c>
      <c r="AS30">
        <v>105250</v>
      </c>
      <c r="AT30">
        <v>102650</v>
      </c>
    </row>
    <row r="31" spans="1:46">
      <c r="A31" t="s">
        <v>18</v>
      </c>
      <c r="B31">
        <v>6042.67</v>
      </c>
      <c r="C31">
        <v>6091.56</v>
      </c>
      <c r="D31">
        <v>6028.07</v>
      </c>
      <c r="E31">
        <v>6162.12</v>
      </c>
      <c r="F31">
        <v>6102.58</v>
      </c>
      <c r="G31">
        <v>5990.39</v>
      </c>
      <c r="H31">
        <v>5984.7</v>
      </c>
      <c r="I31">
        <v>6026.7300000000005</v>
      </c>
      <c r="J31">
        <v>5788.97</v>
      </c>
      <c r="K31">
        <v>5842.56</v>
      </c>
      <c r="L31">
        <v>6111.89</v>
      </c>
      <c r="M31">
        <v>6213.01</v>
      </c>
      <c r="N31">
        <v>6130.8600000000006</v>
      </c>
      <c r="O31">
        <v>6180.1</v>
      </c>
      <c r="P31">
        <v>6171.9000000000005</v>
      </c>
      <c r="Q31">
        <v>6162.89</v>
      </c>
      <c r="R31">
        <v>6218.34</v>
      </c>
      <c r="S31">
        <v>6284.84</v>
      </c>
      <c r="T31">
        <v>6277.42</v>
      </c>
      <c r="U31" s="28">
        <v>6206.9800000000005</v>
      </c>
      <c r="V31">
        <v>6110.63</v>
      </c>
      <c r="W31">
        <v>6122.74</v>
      </c>
      <c r="X31">
        <v>6113.52</v>
      </c>
      <c r="Y31">
        <v>6053.72</v>
      </c>
      <c r="Z31">
        <v>6066.36</v>
      </c>
      <c r="AA31">
        <v>6074.76</v>
      </c>
      <c r="AB31">
        <v>6015.75</v>
      </c>
      <c r="AC31">
        <v>6019.58</v>
      </c>
      <c r="AD31">
        <v>5997.89</v>
      </c>
      <c r="AE31">
        <v>5866.1900000000005</v>
      </c>
      <c r="AF31">
        <v>5861.9800000000005</v>
      </c>
      <c r="AG31">
        <v>5725.01</v>
      </c>
      <c r="AH31">
        <v>5771.31</v>
      </c>
      <c r="AI31">
        <v>5678.88</v>
      </c>
      <c r="AJ31">
        <v>5578.25</v>
      </c>
      <c r="AK31">
        <v>5753.6900000000005</v>
      </c>
      <c r="AL31">
        <v>5761.72</v>
      </c>
      <c r="AM31">
        <v>5768.41</v>
      </c>
      <c r="AN31">
        <v>6006.29</v>
      </c>
      <c r="AO31">
        <v>5951.5</v>
      </c>
      <c r="AP31">
        <v>5993.61</v>
      </c>
      <c r="AQ31">
        <v>6221.07</v>
      </c>
      <c r="AR31">
        <v>6312.22</v>
      </c>
      <c r="AS31">
        <v>6317.81</v>
      </c>
      <c r="AT31">
        <v>6395.12</v>
      </c>
    </row>
    <row r="32" spans="1:46">
      <c r="A32" t="s">
        <v>19</v>
      </c>
      <c r="B32">
        <v>2717.98</v>
      </c>
      <c r="C32">
        <v>2727.79</v>
      </c>
      <c r="D32">
        <v>2694.16</v>
      </c>
      <c r="E32">
        <v>2727.25</v>
      </c>
      <c r="F32">
        <v>2729.37</v>
      </c>
      <c r="G32">
        <v>2707.94</v>
      </c>
      <c r="H32">
        <v>2695.48</v>
      </c>
      <c r="I32">
        <v>2745.04</v>
      </c>
      <c r="J32">
        <v>2719.67</v>
      </c>
      <c r="K32">
        <v>2775.14</v>
      </c>
      <c r="L32">
        <v>2856.28</v>
      </c>
      <c r="M32">
        <v>2922.5</v>
      </c>
      <c r="N32">
        <v>2887.46</v>
      </c>
      <c r="O32">
        <v>2878.12</v>
      </c>
      <c r="P32">
        <v>2894.92</v>
      </c>
      <c r="Q32">
        <v>2891.01</v>
      </c>
      <c r="R32">
        <v>2865.17</v>
      </c>
      <c r="S32">
        <v>2895.84</v>
      </c>
      <c r="T32">
        <v>2917.4900000000002</v>
      </c>
      <c r="U32" s="28">
        <v>2908.2000000000003</v>
      </c>
      <c r="V32">
        <v>2900.43</v>
      </c>
      <c r="W32">
        <v>2901.12</v>
      </c>
      <c r="X32">
        <v>2858.81</v>
      </c>
      <c r="Y32">
        <v>2860.08</v>
      </c>
      <c r="Z32">
        <v>2869.27</v>
      </c>
      <c r="AA32">
        <v>2888.11</v>
      </c>
      <c r="AB32">
        <v>2877.51</v>
      </c>
      <c r="AC32">
        <v>2933.13</v>
      </c>
      <c r="AD32">
        <v>2958.42</v>
      </c>
      <c r="AE32">
        <v>2939.9</v>
      </c>
      <c r="AF32">
        <v>2920.82</v>
      </c>
      <c r="AG32">
        <v>2844.05</v>
      </c>
      <c r="AH32">
        <v>2864.44</v>
      </c>
      <c r="AI32">
        <v>2799.9</v>
      </c>
      <c r="AJ32">
        <v>2776.68</v>
      </c>
      <c r="AK32">
        <v>2948.39</v>
      </c>
      <c r="AL32">
        <v>3079.78</v>
      </c>
      <c r="AM32">
        <v>3100.98</v>
      </c>
      <c r="AN32">
        <v>3158.59</v>
      </c>
      <c r="AO32">
        <v>3113.83</v>
      </c>
      <c r="AP32">
        <v>3108.82</v>
      </c>
      <c r="AQ32">
        <v>3107.4900000000002</v>
      </c>
      <c r="AR32">
        <v>3090.38</v>
      </c>
      <c r="AS32">
        <v>3155.62</v>
      </c>
      <c r="AT32">
        <v>3179.03</v>
      </c>
    </row>
    <row r="33" spans="1:46">
      <c r="A33" t="s">
        <v>39</v>
      </c>
      <c r="B33">
        <v>3865.5</v>
      </c>
      <c r="C33">
        <v>3896.12</v>
      </c>
      <c r="D33">
        <v>3854.7200000000003</v>
      </c>
      <c r="E33">
        <v>3909.7000000000003</v>
      </c>
      <c r="F33">
        <v>3904.63</v>
      </c>
      <c r="G33">
        <v>3854.4700000000003</v>
      </c>
      <c r="H33">
        <v>3846.87</v>
      </c>
      <c r="I33">
        <v>3912.52</v>
      </c>
      <c r="J33">
        <v>3835.73</v>
      </c>
      <c r="K33">
        <v>3877.23</v>
      </c>
      <c r="L33">
        <v>4014.35</v>
      </c>
      <c r="M33">
        <v>4105.1499999999996</v>
      </c>
      <c r="N33">
        <v>4053.36</v>
      </c>
      <c r="O33">
        <v>4065.67</v>
      </c>
      <c r="P33">
        <v>4087.55</v>
      </c>
      <c r="Q33">
        <v>4088.71</v>
      </c>
      <c r="R33">
        <v>4074.4700000000003</v>
      </c>
      <c r="S33">
        <v>4110.2</v>
      </c>
      <c r="T33">
        <v>4131.9800000000005</v>
      </c>
      <c r="U33" s="28">
        <v>4108.87</v>
      </c>
      <c r="V33">
        <v>4069.64</v>
      </c>
      <c r="W33">
        <v>4066.42</v>
      </c>
      <c r="X33">
        <v>4027.4</v>
      </c>
      <c r="Y33">
        <v>4010.76</v>
      </c>
      <c r="Z33">
        <v>4023.7000000000003</v>
      </c>
      <c r="AA33">
        <v>4043.6800000000003</v>
      </c>
      <c r="AB33">
        <v>4015.94</v>
      </c>
      <c r="AC33">
        <v>4066.29</v>
      </c>
      <c r="AD33">
        <v>4099.1099999999997</v>
      </c>
      <c r="AE33">
        <v>4054.59</v>
      </c>
      <c r="AF33">
        <v>4041.96</v>
      </c>
      <c r="AG33">
        <v>3933.26</v>
      </c>
      <c r="AH33">
        <v>3960.62</v>
      </c>
      <c r="AI33">
        <v>3876.21</v>
      </c>
      <c r="AJ33">
        <v>3820.05</v>
      </c>
      <c r="AK33">
        <v>4007.36</v>
      </c>
      <c r="AL33">
        <v>4121.72</v>
      </c>
      <c r="AM33">
        <v>4141.7700000000004</v>
      </c>
      <c r="AN33">
        <v>4262.5600000000004</v>
      </c>
      <c r="AO33">
        <v>4229.25</v>
      </c>
      <c r="AP33">
        <v>4215.93</v>
      </c>
      <c r="AQ33">
        <v>4274.78</v>
      </c>
      <c r="AR33">
        <v>4270.07</v>
      </c>
      <c r="AS33">
        <v>4332.51</v>
      </c>
      <c r="AT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E33"/>
  <sheetViews>
    <sheetView workbookViewId="0">
      <selection activeCell="C17" sqref="C17"/>
    </sheetView>
  </sheetViews>
  <sheetFormatPr defaultRowHeight="13.5"/>
  <cols>
    <col min="11" max="11" width="11.875" customWidth="1"/>
    <col min="12" max="12" width="11.5" customWidth="1"/>
    <col min="29" max="29" width="10.25" customWidth="1"/>
    <col min="30" max="30" width="10.375" customWidth="1"/>
    <col min="44" max="44" width="11" customWidth="1"/>
    <col min="45" max="45" width="9.875" customWidth="1"/>
    <col min="46" max="46" width="11" customWidth="1"/>
    <col min="47" max="47" width="9.75" customWidth="1"/>
    <col min="48" max="48" width="12.375" customWidth="1"/>
    <col min="49" max="57" width="10.5" bestFit="1" customWidth="1"/>
  </cols>
  <sheetData>
    <row r="1" spans="1:57">
      <c r="A1" t="s">
        <v>0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43140</v>
      </c>
      <c r="AK1" s="11">
        <v>43139</v>
      </c>
      <c r="AL1" s="11">
        <v>43138</v>
      </c>
      <c r="AM1" s="11">
        <v>43137</v>
      </c>
      <c r="AN1" s="11">
        <v>43136</v>
      </c>
      <c r="AO1" s="11">
        <v>43133</v>
      </c>
      <c r="AP1" s="11">
        <v>43132</v>
      </c>
      <c r="AQ1" s="11">
        <v>43131</v>
      </c>
      <c r="AR1" s="11">
        <v>43130</v>
      </c>
      <c r="AS1" s="11">
        <v>43129</v>
      </c>
      <c r="AT1" s="11">
        <v>43126</v>
      </c>
      <c r="AU1" s="11">
        <v>43125</v>
      </c>
      <c r="AV1" s="11"/>
      <c r="AW1" s="11"/>
      <c r="AX1" s="11"/>
      <c r="AY1" s="11"/>
      <c r="AZ1" s="11"/>
      <c r="BA1" s="11"/>
      <c r="BB1" s="11"/>
      <c r="BC1" s="11"/>
      <c r="BD1" s="11"/>
      <c r="BE1" s="11"/>
    </row>
    <row r="2" spans="1:57">
      <c r="A2" t="s">
        <v>5</v>
      </c>
      <c r="B2">
        <v>1880</v>
      </c>
      <c r="C2">
        <v>1880</v>
      </c>
      <c r="D2">
        <v>1880</v>
      </c>
      <c r="E2">
        <v>1880</v>
      </c>
      <c r="F2">
        <v>1880</v>
      </c>
      <c r="G2">
        <v>1900</v>
      </c>
      <c r="H2">
        <v>1950</v>
      </c>
      <c r="I2">
        <v>1950</v>
      </c>
      <c r="J2">
        <v>1950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2100</v>
      </c>
      <c r="R2">
        <v>2100</v>
      </c>
      <c r="S2">
        <v>2100</v>
      </c>
      <c r="T2">
        <v>2100</v>
      </c>
      <c r="U2">
        <v>2100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2050</v>
      </c>
      <c r="AR2">
        <v>2050</v>
      </c>
      <c r="AS2">
        <v>2050</v>
      </c>
      <c r="AT2">
        <v>2050</v>
      </c>
      <c r="AU2">
        <v>2050</v>
      </c>
      <c r="AV2" s="28"/>
    </row>
    <row r="3" spans="1:57">
      <c r="A3" t="s">
        <v>7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1320</v>
      </c>
      <c r="AP3">
        <v>1320</v>
      </c>
      <c r="AQ3">
        <v>1300</v>
      </c>
      <c r="AR3">
        <v>1300</v>
      </c>
      <c r="AS3">
        <v>1360</v>
      </c>
      <c r="AT3">
        <v>1360</v>
      </c>
      <c r="AU3">
        <v>1360</v>
      </c>
      <c r="AV3" s="28"/>
    </row>
    <row r="4" spans="1:57">
      <c r="A4" t="s">
        <v>4</v>
      </c>
      <c r="B4">
        <v>596</v>
      </c>
      <c r="C4">
        <v>599</v>
      </c>
      <c r="D4">
        <v>602</v>
      </c>
      <c r="E4">
        <v>612</v>
      </c>
      <c r="F4">
        <v>614</v>
      </c>
      <c r="G4">
        <v>619</v>
      </c>
      <c r="H4">
        <v>623</v>
      </c>
      <c r="I4">
        <v>628</v>
      </c>
      <c r="J4">
        <v>632</v>
      </c>
      <c r="K4">
        <v>635</v>
      </c>
      <c r="L4">
        <v>639</v>
      </c>
      <c r="M4">
        <v>641</v>
      </c>
      <c r="N4">
        <v>641</v>
      </c>
      <c r="O4">
        <v>642</v>
      </c>
      <c r="P4">
        <v>643</v>
      </c>
      <c r="Q4">
        <v>644</v>
      </c>
      <c r="R4">
        <v>647</v>
      </c>
      <c r="S4">
        <v>650</v>
      </c>
      <c r="T4">
        <v>650</v>
      </c>
      <c r="U4">
        <v>653</v>
      </c>
      <c r="V4">
        <v>663</v>
      </c>
      <c r="W4">
        <v>672</v>
      </c>
      <c r="X4">
        <v>678</v>
      </c>
      <c r="Y4">
        <v>686</v>
      </c>
      <c r="Z4">
        <v>689</v>
      </c>
      <c r="AA4">
        <v>700</v>
      </c>
      <c r="AB4">
        <v>708</v>
      </c>
      <c r="AC4">
        <v>722</v>
      </c>
      <c r="AD4">
        <v>728</v>
      </c>
      <c r="AE4">
        <v>735</v>
      </c>
      <c r="AF4">
        <v>746</v>
      </c>
      <c r="AG4">
        <v>746</v>
      </c>
      <c r="AH4">
        <v>746</v>
      </c>
      <c r="AI4">
        <v>750</v>
      </c>
      <c r="AJ4">
        <v>750</v>
      </c>
      <c r="AK4">
        <v>750</v>
      </c>
      <c r="AL4">
        <v>750</v>
      </c>
      <c r="AM4">
        <v>768</v>
      </c>
      <c r="AN4">
        <v>768</v>
      </c>
      <c r="AO4">
        <v>764</v>
      </c>
      <c r="AP4">
        <v>764</v>
      </c>
      <c r="AQ4">
        <v>760</v>
      </c>
      <c r="AR4">
        <v>759</v>
      </c>
      <c r="AS4">
        <v>751</v>
      </c>
      <c r="AT4">
        <v>750</v>
      </c>
      <c r="AU4">
        <v>745</v>
      </c>
      <c r="AV4" s="28"/>
    </row>
    <row r="5" spans="1:57">
      <c r="A5" t="s">
        <v>20</v>
      </c>
      <c r="B5">
        <v>448.7</v>
      </c>
      <c r="C5">
        <v>451.9</v>
      </c>
      <c r="D5">
        <v>459.4</v>
      </c>
      <c r="E5">
        <v>459.4</v>
      </c>
      <c r="F5">
        <v>455</v>
      </c>
      <c r="G5">
        <v>455</v>
      </c>
      <c r="H5">
        <v>457.3</v>
      </c>
      <c r="I5">
        <v>454</v>
      </c>
      <c r="J5">
        <v>459.4</v>
      </c>
      <c r="K5">
        <v>480.9</v>
      </c>
      <c r="L5">
        <v>480.9</v>
      </c>
      <c r="M5">
        <v>480.9</v>
      </c>
      <c r="N5">
        <v>486.3</v>
      </c>
      <c r="O5">
        <v>505.6</v>
      </c>
      <c r="P5">
        <v>508.3</v>
      </c>
      <c r="Q5">
        <v>508.3</v>
      </c>
      <c r="R5">
        <v>500.3</v>
      </c>
      <c r="S5">
        <v>500.3</v>
      </c>
      <c r="T5">
        <v>508.9</v>
      </c>
      <c r="U5">
        <v>530.5</v>
      </c>
      <c r="V5">
        <v>546.5</v>
      </c>
      <c r="W5">
        <v>546.5</v>
      </c>
      <c r="X5">
        <v>560.5</v>
      </c>
      <c r="Y5">
        <v>560.5</v>
      </c>
      <c r="Z5">
        <v>568</v>
      </c>
      <c r="AA5">
        <v>566</v>
      </c>
      <c r="AB5">
        <v>569.1</v>
      </c>
      <c r="AC5">
        <v>571.20000000000005</v>
      </c>
      <c r="AD5">
        <v>565.9</v>
      </c>
      <c r="AE5">
        <v>558.29999999999995</v>
      </c>
      <c r="AF5">
        <v>549.70000000000005</v>
      </c>
      <c r="AG5">
        <v>549.70000000000005</v>
      </c>
      <c r="AH5">
        <v>549.70000000000005</v>
      </c>
      <c r="AI5">
        <v>545.4</v>
      </c>
      <c r="AJ5">
        <v>545.4</v>
      </c>
      <c r="AK5">
        <v>545.4</v>
      </c>
      <c r="AL5">
        <v>545.4</v>
      </c>
      <c r="AM5">
        <v>540.1</v>
      </c>
      <c r="AN5">
        <v>540.1</v>
      </c>
      <c r="AO5">
        <v>536.79999999999995</v>
      </c>
      <c r="AP5">
        <v>534.70000000000005</v>
      </c>
      <c r="AQ5">
        <v>537.9</v>
      </c>
      <c r="AR5">
        <v>537.9</v>
      </c>
      <c r="AS5">
        <v>534.70000000000005</v>
      </c>
      <c r="AT5">
        <v>541.1</v>
      </c>
      <c r="AU5">
        <v>535.79999999999995</v>
      </c>
      <c r="AV5" s="28"/>
    </row>
    <row r="6" spans="1:57">
      <c r="A6" t="s">
        <v>12</v>
      </c>
      <c r="B6">
        <v>3783.5</v>
      </c>
      <c r="C6">
        <v>3804</v>
      </c>
      <c r="D6">
        <v>3845</v>
      </c>
      <c r="E6">
        <v>3845</v>
      </c>
      <c r="F6">
        <v>3721</v>
      </c>
      <c r="G6">
        <v>3670</v>
      </c>
      <c r="H6">
        <v>3670</v>
      </c>
      <c r="I6">
        <v>3670</v>
      </c>
      <c r="J6">
        <v>3618.5</v>
      </c>
      <c r="K6">
        <v>3660</v>
      </c>
      <c r="L6">
        <v>3866</v>
      </c>
      <c r="M6">
        <v>3886.6</v>
      </c>
      <c r="N6">
        <v>3886.6</v>
      </c>
      <c r="O6">
        <v>3948</v>
      </c>
      <c r="P6">
        <v>3980</v>
      </c>
      <c r="Q6">
        <v>3980</v>
      </c>
      <c r="R6">
        <v>3980</v>
      </c>
      <c r="S6">
        <v>4000</v>
      </c>
      <c r="T6">
        <v>4000</v>
      </c>
      <c r="U6">
        <v>3980</v>
      </c>
      <c r="V6">
        <v>4082</v>
      </c>
      <c r="W6">
        <v>4124</v>
      </c>
      <c r="X6">
        <v>4154</v>
      </c>
      <c r="Y6">
        <v>4206</v>
      </c>
      <c r="Z6">
        <v>4226</v>
      </c>
      <c r="AA6">
        <v>4226</v>
      </c>
      <c r="AB6">
        <v>4226</v>
      </c>
      <c r="AC6">
        <v>4226</v>
      </c>
      <c r="AD6">
        <v>4216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4020</v>
      </c>
      <c r="AS6">
        <v>4020</v>
      </c>
      <c r="AT6">
        <v>4020</v>
      </c>
      <c r="AU6">
        <v>4020</v>
      </c>
      <c r="AV6" s="28"/>
    </row>
    <row r="7" spans="1:57">
      <c r="A7" t="s">
        <v>9</v>
      </c>
      <c r="B7">
        <v>3830</v>
      </c>
      <c r="C7">
        <v>3810</v>
      </c>
      <c r="D7">
        <v>3840</v>
      </c>
      <c r="E7">
        <v>3840</v>
      </c>
      <c r="F7">
        <v>3780</v>
      </c>
      <c r="G7">
        <v>3780</v>
      </c>
      <c r="H7">
        <v>3800</v>
      </c>
      <c r="I7">
        <v>3750</v>
      </c>
      <c r="J7">
        <v>3770</v>
      </c>
      <c r="K7">
        <v>3770</v>
      </c>
      <c r="L7">
        <v>3900</v>
      </c>
      <c r="M7">
        <v>3900</v>
      </c>
      <c r="N7">
        <v>3960</v>
      </c>
      <c r="O7">
        <v>3970</v>
      </c>
      <c r="P7">
        <v>3970</v>
      </c>
      <c r="Q7">
        <v>3950</v>
      </c>
      <c r="R7">
        <v>3950</v>
      </c>
      <c r="S7">
        <v>3920</v>
      </c>
      <c r="T7">
        <v>3920</v>
      </c>
      <c r="U7">
        <v>3920</v>
      </c>
      <c r="V7">
        <v>3970</v>
      </c>
      <c r="W7">
        <v>4090</v>
      </c>
      <c r="X7">
        <v>4100</v>
      </c>
      <c r="Y7">
        <v>4120</v>
      </c>
      <c r="Z7">
        <v>4140</v>
      </c>
      <c r="AA7">
        <v>4160</v>
      </c>
      <c r="AB7">
        <v>4170</v>
      </c>
      <c r="AC7">
        <v>4180</v>
      </c>
      <c r="AD7">
        <v>4180</v>
      </c>
      <c r="AE7">
        <v>4130</v>
      </c>
      <c r="AF7">
        <v>4070</v>
      </c>
      <c r="AG7">
        <v>4070</v>
      </c>
      <c r="AH7">
        <v>4070</v>
      </c>
      <c r="AI7">
        <v>4070</v>
      </c>
      <c r="AJ7">
        <v>4070</v>
      </c>
      <c r="AK7">
        <v>4070</v>
      </c>
      <c r="AL7">
        <v>4080</v>
      </c>
      <c r="AM7">
        <v>4080</v>
      </c>
      <c r="AN7">
        <v>4080</v>
      </c>
      <c r="AO7">
        <v>4080</v>
      </c>
      <c r="AP7">
        <v>4080</v>
      </c>
      <c r="AQ7">
        <v>4090</v>
      </c>
      <c r="AR7">
        <v>4090</v>
      </c>
      <c r="AS7">
        <v>4120</v>
      </c>
      <c r="AT7">
        <v>4120</v>
      </c>
      <c r="AU7">
        <v>4120</v>
      </c>
      <c r="AV7" s="28"/>
    </row>
    <row r="8" spans="1:57">
      <c r="A8" t="s">
        <v>31</v>
      </c>
      <c r="B8">
        <v>10270</v>
      </c>
      <c r="C8">
        <v>10160</v>
      </c>
      <c r="D8">
        <v>10270</v>
      </c>
      <c r="E8">
        <v>10440</v>
      </c>
      <c r="F8">
        <v>10490</v>
      </c>
      <c r="G8">
        <v>10400</v>
      </c>
      <c r="H8">
        <v>10305</v>
      </c>
      <c r="I8">
        <v>10400</v>
      </c>
      <c r="J8">
        <v>10220</v>
      </c>
      <c r="K8">
        <v>10500</v>
      </c>
      <c r="L8">
        <v>11280</v>
      </c>
      <c r="M8">
        <v>11315</v>
      </c>
      <c r="N8">
        <v>11390</v>
      </c>
      <c r="O8">
        <v>11660</v>
      </c>
      <c r="P8">
        <v>11720</v>
      </c>
      <c r="Q8">
        <v>11940</v>
      </c>
      <c r="R8">
        <v>11925</v>
      </c>
      <c r="S8">
        <v>11845</v>
      </c>
      <c r="T8">
        <v>11845</v>
      </c>
      <c r="U8">
        <v>11770</v>
      </c>
      <c r="V8">
        <v>12110</v>
      </c>
      <c r="W8">
        <v>12065</v>
      </c>
      <c r="X8">
        <v>12130</v>
      </c>
      <c r="Y8">
        <v>12255</v>
      </c>
      <c r="Z8">
        <v>12160</v>
      </c>
      <c r="AA8">
        <v>12210</v>
      </c>
      <c r="AB8">
        <v>12230</v>
      </c>
      <c r="AC8">
        <v>11985</v>
      </c>
      <c r="AD8">
        <v>12025</v>
      </c>
      <c r="AE8">
        <v>11950</v>
      </c>
      <c r="AF8">
        <v>11500</v>
      </c>
      <c r="AG8">
        <v>11540</v>
      </c>
      <c r="AH8">
        <v>11540</v>
      </c>
      <c r="AI8">
        <v>11520</v>
      </c>
      <c r="AJ8">
        <v>11450</v>
      </c>
      <c r="AK8">
        <v>11390</v>
      </c>
      <c r="AL8">
        <v>11455</v>
      </c>
      <c r="AM8">
        <v>11385</v>
      </c>
      <c r="AN8">
        <v>11755</v>
      </c>
      <c r="AO8">
        <v>11520</v>
      </c>
      <c r="AP8">
        <v>11545</v>
      </c>
      <c r="AQ8">
        <v>11620</v>
      </c>
      <c r="AR8">
        <v>11695</v>
      </c>
      <c r="AS8">
        <v>11970</v>
      </c>
      <c r="AT8">
        <v>11970</v>
      </c>
      <c r="AU8">
        <v>11855</v>
      </c>
      <c r="AV8" s="28"/>
    </row>
    <row r="9" spans="1:57">
      <c r="A9" t="s">
        <v>17</v>
      </c>
      <c r="B9">
        <v>1460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1520</v>
      </c>
      <c r="P9">
        <v>1520</v>
      </c>
      <c r="Q9">
        <v>1520</v>
      </c>
      <c r="R9">
        <v>1520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 s="28"/>
    </row>
    <row r="10" spans="1:57">
      <c r="A10" t="s">
        <v>32</v>
      </c>
      <c r="B10">
        <v>6495</v>
      </c>
      <c r="C10">
        <v>6415</v>
      </c>
      <c r="D10">
        <v>6405</v>
      </c>
      <c r="E10">
        <v>6415</v>
      </c>
      <c r="F10">
        <v>6315</v>
      </c>
      <c r="G10">
        <v>6275</v>
      </c>
      <c r="H10">
        <v>6320</v>
      </c>
      <c r="I10">
        <v>6285</v>
      </c>
      <c r="J10">
        <v>6260</v>
      </c>
      <c r="K10">
        <v>6250</v>
      </c>
      <c r="L10">
        <v>6290</v>
      </c>
      <c r="M10">
        <v>6205</v>
      </c>
      <c r="N10">
        <v>6160</v>
      </c>
      <c r="O10">
        <v>6250</v>
      </c>
      <c r="P10">
        <v>6250</v>
      </c>
      <c r="Q10">
        <v>6250</v>
      </c>
      <c r="R10">
        <v>6275</v>
      </c>
      <c r="S10">
        <v>6250</v>
      </c>
      <c r="T10">
        <v>6300</v>
      </c>
      <c r="U10">
        <v>6370</v>
      </c>
      <c r="V10">
        <v>6540</v>
      </c>
      <c r="W10">
        <v>6580</v>
      </c>
      <c r="X10">
        <v>6580</v>
      </c>
      <c r="Y10">
        <v>6665</v>
      </c>
      <c r="Z10">
        <v>6690</v>
      </c>
      <c r="AA10">
        <v>6690</v>
      </c>
      <c r="AB10">
        <v>6600</v>
      </c>
      <c r="AC10">
        <v>6600</v>
      </c>
      <c r="AD10">
        <v>6600</v>
      </c>
      <c r="AE10">
        <v>6640</v>
      </c>
      <c r="AF10">
        <v>6470</v>
      </c>
      <c r="AG10">
        <v>6470</v>
      </c>
      <c r="AH10">
        <v>6555</v>
      </c>
      <c r="AI10">
        <v>6650</v>
      </c>
      <c r="AJ10">
        <v>6650</v>
      </c>
      <c r="AK10">
        <v>6650</v>
      </c>
      <c r="AL10">
        <v>6670</v>
      </c>
      <c r="AM10">
        <v>6700</v>
      </c>
      <c r="AN10">
        <v>6700</v>
      </c>
      <c r="AO10">
        <v>6620</v>
      </c>
      <c r="AP10">
        <v>6730</v>
      </c>
      <c r="AQ10">
        <v>6715</v>
      </c>
      <c r="AR10">
        <v>6735</v>
      </c>
      <c r="AS10">
        <v>6760</v>
      </c>
      <c r="AT10">
        <v>6665</v>
      </c>
      <c r="AU10">
        <v>6715</v>
      </c>
      <c r="AV10" s="28"/>
    </row>
    <row r="11" spans="1:57">
      <c r="A11" t="s">
        <v>21</v>
      </c>
      <c r="B11">
        <v>9265</v>
      </c>
      <c r="C11">
        <v>9115</v>
      </c>
      <c r="D11">
        <v>9185</v>
      </c>
      <c r="E11">
        <v>9255</v>
      </c>
      <c r="F11">
        <v>9185</v>
      </c>
      <c r="G11">
        <v>9180</v>
      </c>
      <c r="H11">
        <v>9090</v>
      </c>
      <c r="I11">
        <v>9100</v>
      </c>
      <c r="J11">
        <v>8935</v>
      </c>
      <c r="K11">
        <v>9085</v>
      </c>
      <c r="L11">
        <v>9170</v>
      </c>
      <c r="M11">
        <v>9175</v>
      </c>
      <c r="N11">
        <v>9215</v>
      </c>
      <c r="O11">
        <v>9245</v>
      </c>
      <c r="P11">
        <v>9135</v>
      </c>
      <c r="Q11">
        <v>9185</v>
      </c>
      <c r="R11">
        <v>9250</v>
      </c>
      <c r="S11">
        <v>9110</v>
      </c>
      <c r="T11">
        <v>9045</v>
      </c>
      <c r="U11">
        <v>9205</v>
      </c>
      <c r="V11">
        <v>9205</v>
      </c>
      <c r="W11">
        <v>9375</v>
      </c>
      <c r="X11">
        <v>9400</v>
      </c>
      <c r="Y11">
        <v>9390</v>
      </c>
      <c r="Z11">
        <v>9455</v>
      </c>
      <c r="AA11">
        <v>9480</v>
      </c>
      <c r="AB11">
        <v>9335</v>
      </c>
      <c r="AC11">
        <v>9320</v>
      </c>
      <c r="AD11">
        <v>9425</v>
      </c>
      <c r="AE11">
        <v>9520</v>
      </c>
      <c r="AF11">
        <v>9420</v>
      </c>
      <c r="AG11">
        <v>9465</v>
      </c>
      <c r="AH11">
        <v>9350</v>
      </c>
      <c r="AI11">
        <v>9370</v>
      </c>
      <c r="AJ11">
        <v>9425</v>
      </c>
      <c r="AK11">
        <v>9470</v>
      </c>
      <c r="AL11">
        <v>9545</v>
      </c>
      <c r="AM11">
        <v>9540</v>
      </c>
      <c r="AN11">
        <v>9600</v>
      </c>
      <c r="AO11">
        <v>9577</v>
      </c>
      <c r="AP11">
        <v>9645</v>
      </c>
      <c r="AQ11">
        <v>9715</v>
      </c>
      <c r="AR11">
        <v>9850</v>
      </c>
      <c r="AS11">
        <v>9865</v>
      </c>
      <c r="AT11">
        <v>9830</v>
      </c>
      <c r="AU11">
        <v>9830</v>
      </c>
      <c r="AV11" s="28"/>
    </row>
    <row r="12" spans="1:57">
      <c r="A12" t="s">
        <v>33</v>
      </c>
      <c r="B12">
        <v>8848</v>
      </c>
      <c r="C12">
        <v>8716</v>
      </c>
      <c r="D12">
        <v>8719</v>
      </c>
      <c r="E12">
        <v>8733</v>
      </c>
      <c r="F12">
        <v>8604</v>
      </c>
      <c r="G12">
        <v>8578</v>
      </c>
      <c r="H12">
        <v>8423</v>
      </c>
      <c r="I12">
        <v>8444</v>
      </c>
      <c r="J12">
        <v>8387</v>
      </c>
      <c r="K12">
        <v>8425</v>
      </c>
      <c r="L12">
        <v>8622</v>
      </c>
      <c r="M12">
        <v>8567</v>
      </c>
      <c r="N12">
        <v>8556</v>
      </c>
      <c r="O12">
        <v>8607</v>
      </c>
      <c r="P12">
        <v>8633</v>
      </c>
      <c r="Q12">
        <v>8783</v>
      </c>
      <c r="R12">
        <v>8791</v>
      </c>
      <c r="S12">
        <v>8768</v>
      </c>
      <c r="T12">
        <v>8739</v>
      </c>
      <c r="U12">
        <v>8862</v>
      </c>
      <c r="V12">
        <v>8840</v>
      </c>
      <c r="W12">
        <v>9032</v>
      </c>
      <c r="X12">
        <v>9067</v>
      </c>
      <c r="Y12">
        <v>9042</v>
      </c>
      <c r="Z12">
        <v>9117</v>
      </c>
      <c r="AA12">
        <v>9100</v>
      </c>
      <c r="AB12">
        <v>9049</v>
      </c>
      <c r="AC12">
        <v>9041</v>
      </c>
      <c r="AD12">
        <v>9081</v>
      </c>
      <c r="AE12">
        <v>9172</v>
      </c>
      <c r="AF12">
        <v>9157</v>
      </c>
      <c r="AG12">
        <v>9251</v>
      </c>
      <c r="AH12">
        <v>9129</v>
      </c>
      <c r="AI12">
        <v>9128</v>
      </c>
      <c r="AJ12">
        <v>9164</v>
      </c>
      <c r="AK12">
        <v>9164</v>
      </c>
      <c r="AL12">
        <v>9231</v>
      </c>
      <c r="AM12">
        <v>9351</v>
      </c>
      <c r="AN12">
        <v>9378</v>
      </c>
      <c r="AO12">
        <v>9300</v>
      </c>
      <c r="AP12">
        <v>9339</v>
      </c>
      <c r="AQ12">
        <v>9452</v>
      </c>
      <c r="AR12">
        <v>9477</v>
      </c>
      <c r="AS12">
        <v>9499</v>
      </c>
      <c r="AT12">
        <v>9446</v>
      </c>
      <c r="AU12">
        <v>9460</v>
      </c>
      <c r="AV12" s="28"/>
    </row>
    <row r="13" spans="1:57">
      <c r="A13" t="s">
        <v>13</v>
      </c>
      <c r="B13">
        <v>5368</v>
      </c>
      <c r="C13">
        <v>5440</v>
      </c>
      <c r="D13">
        <v>5450</v>
      </c>
      <c r="E13">
        <v>5480</v>
      </c>
      <c r="F13">
        <v>5460</v>
      </c>
      <c r="G13">
        <v>5400</v>
      </c>
      <c r="H13">
        <v>5412</v>
      </c>
      <c r="I13">
        <v>5440</v>
      </c>
      <c r="J13">
        <v>5500</v>
      </c>
      <c r="K13">
        <v>5500</v>
      </c>
      <c r="L13">
        <v>5563</v>
      </c>
      <c r="M13">
        <v>5550</v>
      </c>
      <c r="N13">
        <v>5562</v>
      </c>
      <c r="O13">
        <v>5615</v>
      </c>
      <c r="P13">
        <v>5620</v>
      </c>
      <c r="Q13">
        <v>5682</v>
      </c>
      <c r="R13">
        <v>5680</v>
      </c>
      <c r="S13">
        <v>5638</v>
      </c>
      <c r="T13">
        <v>5670</v>
      </c>
      <c r="U13">
        <v>5670</v>
      </c>
      <c r="V13">
        <v>5835</v>
      </c>
      <c r="W13">
        <v>5900</v>
      </c>
      <c r="X13">
        <v>5965</v>
      </c>
      <c r="Y13">
        <v>5936</v>
      </c>
      <c r="Z13">
        <v>6000</v>
      </c>
      <c r="AA13">
        <v>5901</v>
      </c>
      <c r="AB13">
        <v>5947</v>
      </c>
      <c r="AC13">
        <v>5981</v>
      </c>
      <c r="AD13">
        <v>5984</v>
      </c>
      <c r="AE13">
        <v>5904</v>
      </c>
      <c r="AF13">
        <v>5879</v>
      </c>
      <c r="AG13">
        <v>5632</v>
      </c>
      <c r="AH13">
        <v>5632</v>
      </c>
      <c r="AI13">
        <v>5606</v>
      </c>
      <c r="AJ13">
        <v>5612</v>
      </c>
      <c r="AK13">
        <v>5620</v>
      </c>
      <c r="AL13">
        <v>5650</v>
      </c>
      <c r="AM13">
        <v>5622</v>
      </c>
      <c r="AN13">
        <v>5623</v>
      </c>
      <c r="AO13">
        <v>5630</v>
      </c>
      <c r="AP13">
        <v>5638</v>
      </c>
      <c r="AQ13">
        <v>5665</v>
      </c>
      <c r="AR13">
        <v>5621</v>
      </c>
      <c r="AS13">
        <v>5700</v>
      </c>
      <c r="AT13">
        <v>5701</v>
      </c>
      <c r="AU13">
        <v>5725</v>
      </c>
      <c r="AV13" s="28"/>
    </row>
    <row r="14" spans="1:57">
      <c r="A14" t="s">
        <v>26</v>
      </c>
      <c r="B14">
        <v>2760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2650</v>
      </c>
      <c r="AM14">
        <v>2650</v>
      </c>
      <c r="AN14">
        <v>2650</v>
      </c>
      <c r="AO14">
        <v>2600</v>
      </c>
      <c r="AP14">
        <v>2600</v>
      </c>
      <c r="AQ14">
        <v>2600</v>
      </c>
      <c r="AR14">
        <v>2600</v>
      </c>
      <c r="AS14">
        <v>2600</v>
      </c>
      <c r="AT14">
        <v>2450</v>
      </c>
      <c r="AU14">
        <v>2400</v>
      </c>
      <c r="AV14" s="28"/>
    </row>
    <row r="15" spans="1:57">
      <c r="A15" t="s">
        <v>6</v>
      </c>
      <c r="B15">
        <v>2700</v>
      </c>
      <c r="C15">
        <v>2750</v>
      </c>
      <c r="D15">
        <v>2770</v>
      </c>
      <c r="E15">
        <v>2770</v>
      </c>
      <c r="F15">
        <v>2800</v>
      </c>
      <c r="G15">
        <v>2780</v>
      </c>
      <c r="H15">
        <v>2800</v>
      </c>
      <c r="I15">
        <v>2850</v>
      </c>
      <c r="J15">
        <v>2850</v>
      </c>
      <c r="K15">
        <v>2850</v>
      </c>
      <c r="L15">
        <v>2850</v>
      </c>
      <c r="M15">
        <v>2850</v>
      </c>
      <c r="N15">
        <v>2850</v>
      </c>
      <c r="O15">
        <v>2810</v>
      </c>
      <c r="P15">
        <v>2810</v>
      </c>
      <c r="Q15">
        <v>2760</v>
      </c>
      <c r="R15">
        <v>2710</v>
      </c>
      <c r="S15">
        <v>2660</v>
      </c>
      <c r="T15">
        <v>2660</v>
      </c>
      <c r="U15">
        <v>2450</v>
      </c>
      <c r="V15">
        <v>2450</v>
      </c>
      <c r="W15">
        <v>2550</v>
      </c>
      <c r="X15">
        <v>2550</v>
      </c>
      <c r="Y15">
        <v>2600</v>
      </c>
      <c r="Z15">
        <v>2630</v>
      </c>
      <c r="AA15">
        <v>2650</v>
      </c>
      <c r="AB15">
        <v>2700</v>
      </c>
      <c r="AC15">
        <v>2700</v>
      </c>
      <c r="AD15">
        <v>2750</v>
      </c>
      <c r="AE15">
        <v>2750</v>
      </c>
      <c r="AF15">
        <v>2800</v>
      </c>
      <c r="AG15">
        <v>2800</v>
      </c>
      <c r="AH15">
        <v>2800</v>
      </c>
      <c r="AI15">
        <v>2800</v>
      </c>
      <c r="AJ15">
        <v>2800</v>
      </c>
      <c r="AK15">
        <v>2800</v>
      </c>
      <c r="AL15">
        <v>2820</v>
      </c>
      <c r="AM15">
        <v>2830</v>
      </c>
      <c r="AN15">
        <v>2950</v>
      </c>
      <c r="AO15">
        <v>2950</v>
      </c>
      <c r="AP15">
        <v>2990</v>
      </c>
      <c r="AQ15">
        <v>2990</v>
      </c>
      <c r="AR15">
        <v>3000</v>
      </c>
      <c r="AS15">
        <v>3100</v>
      </c>
      <c r="AT15">
        <v>3100</v>
      </c>
      <c r="AU15">
        <v>3100</v>
      </c>
      <c r="AV15" s="28"/>
    </row>
    <row r="16" spans="1:57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 s="28"/>
    </row>
    <row r="17" spans="1:48">
      <c r="A17" t="s">
        <v>11</v>
      </c>
      <c r="B17">
        <v>3360</v>
      </c>
      <c r="C17">
        <v>3250</v>
      </c>
      <c r="D17">
        <v>3230</v>
      </c>
      <c r="E17">
        <v>3230</v>
      </c>
      <c r="F17">
        <v>3200</v>
      </c>
      <c r="G17">
        <v>3110</v>
      </c>
      <c r="H17">
        <v>3120</v>
      </c>
      <c r="I17">
        <v>3127</v>
      </c>
      <c r="J17">
        <v>3168</v>
      </c>
      <c r="K17">
        <v>3150</v>
      </c>
      <c r="L17">
        <v>3120</v>
      </c>
      <c r="M17">
        <v>3100</v>
      </c>
      <c r="N17">
        <v>3100</v>
      </c>
      <c r="O17">
        <v>3160</v>
      </c>
      <c r="P17">
        <v>3160</v>
      </c>
      <c r="Q17">
        <v>3140</v>
      </c>
      <c r="R17">
        <v>3180</v>
      </c>
      <c r="S17">
        <v>3180</v>
      </c>
      <c r="T17">
        <v>3170</v>
      </c>
      <c r="U17">
        <v>3220</v>
      </c>
      <c r="V17">
        <v>3220</v>
      </c>
      <c r="W17">
        <v>3227</v>
      </c>
      <c r="X17">
        <v>3233</v>
      </c>
      <c r="Y17">
        <v>3260</v>
      </c>
      <c r="Z17">
        <v>3230</v>
      </c>
      <c r="AA17">
        <v>3120</v>
      </c>
      <c r="AB17">
        <v>3070</v>
      </c>
      <c r="AC17">
        <v>3060</v>
      </c>
      <c r="AD17">
        <v>3060</v>
      </c>
      <c r="AE17">
        <v>3010</v>
      </c>
      <c r="AF17">
        <v>2920</v>
      </c>
      <c r="AG17">
        <v>2920</v>
      </c>
      <c r="AH17">
        <v>2920</v>
      </c>
      <c r="AI17">
        <v>2870</v>
      </c>
      <c r="AJ17">
        <v>2870</v>
      </c>
      <c r="AK17">
        <v>2860</v>
      </c>
      <c r="AL17">
        <v>2860</v>
      </c>
      <c r="AM17">
        <v>2820</v>
      </c>
      <c r="AN17">
        <v>2830</v>
      </c>
      <c r="AO17">
        <v>2840</v>
      </c>
      <c r="AP17">
        <v>2860</v>
      </c>
      <c r="AQ17">
        <v>2850</v>
      </c>
      <c r="AR17">
        <v>2850</v>
      </c>
      <c r="AS17">
        <v>2830</v>
      </c>
      <c r="AT17">
        <v>2830</v>
      </c>
      <c r="AU17">
        <v>2840</v>
      </c>
      <c r="AV17" s="28"/>
    </row>
    <row r="18" spans="1:48">
      <c r="A18" t="s">
        <v>23</v>
      </c>
      <c r="B18">
        <v>2730</v>
      </c>
      <c r="C18">
        <v>2570</v>
      </c>
      <c r="D18">
        <v>2550</v>
      </c>
      <c r="E18">
        <v>2580</v>
      </c>
      <c r="F18">
        <v>2560</v>
      </c>
      <c r="G18">
        <v>2500</v>
      </c>
      <c r="H18">
        <v>2500</v>
      </c>
      <c r="I18">
        <v>2500</v>
      </c>
      <c r="J18">
        <v>2500</v>
      </c>
      <c r="K18">
        <v>2500</v>
      </c>
      <c r="L18">
        <v>2480</v>
      </c>
      <c r="M18">
        <v>2450</v>
      </c>
      <c r="N18">
        <v>2470</v>
      </c>
      <c r="O18">
        <v>2470</v>
      </c>
      <c r="P18">
        <v>2514</v>
      </c>
      <c r="Q18">
        <v>2514</v>
      </c>
      <c r="R18">
        <v>2545</v>
      </c>
      <c r="S18">
        <v>2507</v>
      </c>
      <c r="T18">
        <v>2507</v>
      </c>
      <c r="U18">
        <v>2527</v>
      </c>
      <c r="V18">
        <v>2538</v>
      </c>
      <c r="W18">
        <v>2543</v>
      </c>
      <c r="X18">
        <v>2555</v>
      </c>
      <c r="Y18">
        <v>2570</v>
      </c>
      <c r="Z18">
        <v>2578</v>
      </c>
      <c r="AA18">
        <v>2476</v>
      </c>
      <c r="AB18">
        <v>2461</v>
      </c>
      <c r="AC18">
        <v>2433</v>
      </c>
      <c r="AD18">
        <v>2440</v>
      </c>
      <c r="AE18">
        <v>2430</v>
      </c>
      <c r="AF18">
        <v>2290</v>
      </c>
      <c r="AG18">
        <v>2290</v>
      </c>
      <c r="AH18">
        <v>2290</v>
      </c>
      <c r="AI18">
        <v>2290</v>
      </c>
      <c r="AJ18">
        <v>2290</v>
      </c>
      <c r="AK18">
        <v>2290</v>
      </c>
      <c r="AL18">
        <v>2290</v>
      </c>
      <c r="AM18">
        <v>2270</v>
      </c>
      <c r="AN18">
        <v>2280</v>
      </c>
      <c r="AO18">
        <v>2270</v>
      </c>
      <c r="AP18">
        <v>2290</v>
      </c>
      <c r="AQ18">
        <v>2300</v>
      </c>
      <c r="AR18">
        <v>2290</v>
      </c>
      <c r="AS18">
        <v>2300</v>
      </c>
      <c r="AT18">
        <v>2250</v>
      </c>
      <c r="AU18">
        <v>2250</v>
      </c>
      <c r="AV18" s="28"/>
    </row>
    <row r="19" spans="1:48">
      <c r="A19" t="s">
        <v>14</v>
      </c>
      <c r="B19">
        <v>1830</v>
      </c>
      <c r="C19">
        <v>1840</v>
      </c>
      <c r="D19">
        <v>1840</v>
      </c>
      <c r="E19">
        <v>1840</v>
      </c>
      <c r="F19">
        <v>1890</v>
      </c>
      <c r="G19">
        <v>1890</v>
      </c>
      <c r="H19">
        <v>1890</v>
      </c>
      <c r="I19">
        <v>1890</v>
      </c>
      <c r="J19">
        <v>1900</v>
      </c>
      <c r="K19">
        <v>1930</v>
      </c>
      <c r="L19">
        <v>1940</v>
      </c>
      <c r="M19">
        <v>1940</v>
      </c>
      <c r="N19">
        <v>1940</v>
      </c>
      <c r="O19">
        <v>1930</v>
      </c>
      <c r="P19">
        <v>1930</v>
      </c>
      <c r="Q19">
        <v>1930</v>
      </c>
      <c r="R19">
        <v>1940</v>
      </c>
      <c r="S19">
        <v>1950</v>
      </c>
      <c r="T19">
        <v>1950</v>
      </c>
      <c r="U19">
        <v>1960</v>
      </c>
      <c r="V19">
        <v>1960</v>
      </c>
      <c r="W19">
        <v>1950</v>
      </c>
      <c r="X19">
        <v>1940</v>
      </c>
      <c r="Y19">
        <v>1940</v>
      </c>
      <c r="Z19">
        <v>1900</v>
      </c>
      <c r="AA19">
        <v>1900</v>
      </c>
      <c r="AB19">
        <v>1890</v>
      </c>
      <c r="AC19">
        <v>1890</v>
      </c>
      <c r="AD19">
        <v>1890</v>
      </c>
      <c r="AE19">
        <v>1870</v>
      </c>
      <c r="AF19">
        <v>1870</v>
      </c>
      <c r="AG19">
        <v>1870</v>
      </c>
      <c r="AH19">
        <v>1870</v>
      </c>
      <c r="AI19">
        <v>1870</v>
      </c>
      <c r="AJ19">
        <v>1870</v>
      </c>
      <c r="AK19">
        <v>1870</v>
      </c>
      <c r="AL19">
        <v>1870</v>
      </c>
      <c r="AM19">
        <v>1870</v>
      </c>
      <c r="AN19">
        <v>1870</v>
      </c>
      <c r="AO19">
        <v>1850</v>
      </c>
      <c r="AP19">
        <v>1850</v>
      </c>
      <c r="AQ19">
        <v>1850</v>
      </c>
      <c r="AR19">
        <v>1850</v>
      </c>
      <c r="AS19">
        <v>1850</v>
      </c>
      <c r="AT19">
        <v>1850</v>
      </c>
      <c r="AU19">
        <v>1840</v>
      </c>
      <c r="AV19" s="28"/>
    </row>
    <row r="20" spans="1:48">
      <c r="A20" t="s">
        <v>8</v>
      </c>
      <c r="B20">
        <v>2200</v>
      </c>
      <c r="C20">
        <v>2200</v>
      </c>
      <c r="D20">
        <v>2250</v>
      </c>
      <c r="E20">
        <v>2250</v>
      </c>
      <c r="F20">
        <v>2250</v>
      </c>
      <c r="G20">
        <v>2250</v>
      </c>
      <c r="H20">
        <v>2250</v>
      </c>
      <c r="I20">
        <v>2250</v>
      </c>
      <c r="J20">
        <v>2250</v>
      </c>
      <c r="K20">
        <v>2250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2250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2250</v>
      </c>
      <c r="AU20">
        <v>2250</v>
      </c>
      <c r="AV20" s="28"/>
    </row>
    <row r="21" spans="1:48">
      <c r="A21" t="s">
        <v>34</v>
      </c>
      <c r="B21">
        <v>6020</v>
      </c>
      <c r="C21">
        <v>5750</v>
      </c>
      <c r="D21">
        <v>5720</v>
      </c>
      <c r="E21">
        <v>5650</v>
      </c>
      <c r="F21">
        <v>5650</v>
      </c>
      <c r="G21">
        <v>5630</v>
      </c>
      <c r="H21">
        <v>5660</v>
      </c>
      <c r="I21">
        <v>5710</v>
      </c>
      <c r="J21">
        <v>5730</v>
      </c>
      <c r="K21">
        <v>5710</v>
      </c>
      <c r="L21">
        <v>5710</v>
      </c>
      <c r="M21">
        <v>5700</v>
      </c>
      <c r="N21">
        <v>5660</v>
      </c>
      <c r="O21">
        <v>5680</v>
      </c>
      <c r="P21">
        <v>5710</v>
      </c>
      <c r="Q21">
        <v>5690</v>
      </c>
      <c r="R21">
        <v>5730</v>
      </c>
      <c r="S21">
        <v>5700</v>
      </c>
      <c r="T21">
        <v>5680</v>
      </c>
      <c r="U21">
        <v>5710</v>
      </c>
      <c r="V21">
        <v>5730</v>
      </c>
      <c r="W21">
        <v>5820</v>
      </c>
      <c r="X21">
        <v>5820</v>
      </c>
      <c r="Y21">
        <v>5820</v>
      </c>
      <c r="Z21">
        <v>5800</v>
      </c>
      <c r="AA21">
        <v>5720</v>
      </c>
      <c r="AB21">
        <v>5720</v>
      </c>
      <c r="AC21">
        <v>5730</v>
      </c>
      <c r="AD21">
        <v>5740</v>
      </c>
      <c r="AE21">
        <v>5670</v>
      </c>
      <c r="AF21">
        <v>5590</v>
      </c>
      <c r="AG21">
        <v>5590</v>
      </c>
      <c r="AH21">
        <v>5590</v>
      </c>
      <c r="AI21">
        <v>5590</v>
      </c>
      <c r="AJ21">
        <v>5590</v>
      </c>
      <c r="AK21">
        <v>5550</v>
      </c>
      <c r="AL21">
        <v>5570</v>
      </c>
      <c r="AM21">
        <v>5470</v>
      </c>
      <c r="AN21">
        <v>5470</v>
      </c>
      <c r="AO21">
        <v>5530</v>
      </c>
      <c r="AP21">
        <v>5530</v>
      </c>
      <c r="AQ21">
        <v>5550</v>
      </c>
      <c r="AR21">
        <v>5560</v>
      </c>
      <c r="AS21">
        <v>5600</v>
      </c>
      <c r="AT21">
        <v>5600</v>
      </c>
      <c r="AU21">
        <v>5600</v>
      </c>
      <c r="AV21" s="28"/>
    </row>
    <row r="22" spans="1:48">
      <c r="A22" t="s">
        <v>25</v>
      </c>
      <c r="B22">
        <v>5180</v>
      </c>
      <c r="C22">
        <v>5070</v>
      </c>
      <c r="D22">
        <v>5060</v>
      </c>
      <c r="E22">
        <v>5060</v>
      </c>
      <c r="F22">
        <v>5010</v>
      </c>
      <c r="G22">
        <v>4980</v>
      </c>
      <c r="H22">
        <v>5010</v>
      </c>
      <c r="I22">
        <v>5000</v>
      </c>
      <c r="J22">
        <v>5030</v>
      </c>
      <c r="K22">
        <v>5050</v>
      </c>
      <c r="L22">
        <v>5070</v>
      </c>
      <c r="M22">
        <v>5050</v>
      </c>
      <c r="N22">
        <v>5010</v>
      </c>
      <c r="O22">
        <v>5030</v>
      </c>
      <c r="P22">
        <v>5060</v>
      </c>
      <c r="Q22">
        <v>5040</v>
      </c>
      <c r="R22">
        <v>5040</v>
      </c>
      <c r="S22">
        <v>5030</v>
      </c>
      <c r="T22">
        <v>5030</v>
      </c>
      <c r="U22">
        <v>5070</v>
      </c>
      <c r="V22">
        <v>5090</v>
      </c>
      <c r="W22">
        <v>5170</v>
      </c>
      <c r="X22">
        <v>5190</v>
      </c>
      <c r="Y22">
        <v>5160</v>
      </c>
      <c r="Z22">
        <v>5220</v>
      </c>
      <c r="AA22">
        <v>5230</v>
      </c>
      <c r="AB22">
        <v>5220</v>
      </c>
      <c r="AC22">
        <v>5210</v>
      </c>
      <c r="AD22">
        <v>5220</v>
      </c>
      <c r="AE22">
        <v>5160</v>
      </c>
      <c r="AF22">
        <v>5090</v>
      </c>
      <c r="AG22">
        <v>5060</v>
      </c>
      <c r="AH22">
        <v>5060</v>
      </c>
      <c r="AI22">
        <v>5060</v>
      </c>
      <c r="AJ22">
        <v>5060</v>
      </c>
      <c r="AK22">
        <v>5030</v>
      </c>
      <c r="AL22">
        <v>5040</v>
      </c>
      <c r="AM22">
        <v>5020</v>
      </c>
      <c r="AN22">
        <v>5020</v>
      </c>
      <c r="AO22">
        <v>5010</v>
      </c>
      <c r="AP22">
        <v>5030</v>
      </c>
      <c r="AQ22">
        <v>5100</v>
      </c>
      <c r="AR22">
        <v>5090</v>
      </c>
      <c r="AS22">
        <v>5160</v>
      </c>
      <c r="AT22">
        <v>5140</v>
      </c>
      <c r="AU22">
        <v>5120</v>
      </c>
      <c r="AV22" s="28"/>
    </row>
    <row r="23" spans="1:48">
      <c r="A23" t="s">
        <v>16</v>
      </c>
      <c r="B23">
        <v>6740</v>
      </c>
      <c r="C23">
        <v>6640</v>
      </c>
      <c r="D23">
        <v>6640</v>
      </c>
      <c r="E23">
        <v>6620</v>
      </c>
      <c r="F23">
        <v>6520</v>
      </c>
      <c r="G23">
        <v>6500</v>
      </c>
      <c r="H23">
        <v>6560</v>
      </c>
      <c r="I23">
        <v>6640</v>
      </c>
      <c r="J23">
        <v>6640</v>
      </c>
      <c r="K23">
        <v>6640</v>
      </c>
      <c r="L23">
        <v>6630</v>
      </c>
      <c r="M23">
        <v>6640</v>
      </c>
      <c r="N23">
        <v>6640</v>
      </c>
      <c r="O23">
        <v>6660</v>
      </c>
      <c r="P23">
        <v>6450</v>
      </c>
      <c r="Q23">
        <v>6450</v>
      </c>
      <c r="R23">
        <v>6450</v>
      </c>
      <c r="S23">
        <v>6450</v>
      </c>
      <c r="T23">
        <v>6450</v>
      </c>
      <c r="U23">
        <v>6440</v>
      </c>
      <c r="V23">
        <v>6510</v>
      </c>
      <c r="W23">
        <v>6510</v>
      </c>
      <c r="X23">
        <v>6568</v>
      </c>
      <c r="Y23">
        <v>6580</v>
      </c>
      <c r="Z23">
        <v>6580</v>
      </c>
      <c r="AA23">
        <v>6490</v>
      </c>
      <c r="AB23">
        <v>6510</v>
      </c>
      <c r="AC23">
        <v>6540</v>
      </c>
      <c r="AD23">
        <v>6540</v>
      </c>
      <c r="AE23">
        <v>6520</v>
      </c>
      <c r="AF23">
        <v>6510</v>
      </c>
      <c r="AG23">
        <v>6510</v>
      </c>
      <c r="AH23">
        <v>6510</v>
      </c>
      <c r="AI23">
        <v>6510</v>
      </c>
      <c r="AJ23">
        <v>6510</v>
      </c>
      <c r="AK23">
        <v>6510</v>
      </c>
      <c r="AL23">
        <v>6510</v>
      </c>
      <c r="AM23">
        <v>6510</v>
      </c>
      <c r="AN23">
        <v>6510</v>
      </c>
      <c r="AO23">
        <v>6510</v>
      </c>
      <c r="AP23">
        <v>6510</v>
      </c>
      <c r="AQ23">
        <v>6520</v>
      </c>
      <c r="AR23">
        <v>6540</v>
      </c>
      <c r="AS23">
        <v>6600</v>
      </c>
      <c r="AT23">
        <v>6608</v>
      </c>
      <c r="AU23">
        <v>6580</v>
      </c>
      <c r="AV23" s="28"/>
    </row>
    <row r="24" spans="1:48">
      <c r="A24" t="s">
        <v>10</v>
      </c>
      <c r="B24">
        <v>5660</v>
      </c>
      <c r="C24">
        <v>5670</v>
      </c>
      <c r="D24">
        <v>5680</v>
      </c>
      <c r="E24">
        <v>5690</v>
      </c>
      <c r="F24">
        <v>5690</v>
      </c>
      <c r="G24">
        <v>5640</v>
      </c>
      <c r="H24">
        <v>5640</v>
      </c>
      <c r="I24">
        <v>5640</v>
      </c>
      <c r="J24">
        <v>5640</v>
      </c>
      <c r="K24">
        <v>5660</v>
      </c>
      <c r="L24">
        <v>5680</v>
      </c>
      <c r="M24">
        <v>5680</v>
      </c>
      <c r="N24">
        <v>5700</v>
      </c>
      <c r="O24">
        <v>5750</v>
      </c>
      <c r="P24">
        <v>5760</v>
      </c>
      <c r="Q24">
        <v>5760</v>
      </c>
      <c r="R24">
        <v>5760</v>
      </c>
      <c r="S24">
        <v>5760</v>
      </c>
      <c r="T24">
        <v>5910</v>
      </c>
      <c r="U24">
        <v>5760</v>
      </c>
      <c r="V24">
        <v>5780</v>
      </c>
      <c r="W24">
        <v>5780</v>
      </c>
      <c r="X24">
        <v>5810</v>
      </c>
      <c r="Y24">
        <v>5850</v>
      </c>
      <c r="Z24">
        <v>6010</v>
      </c>
      <c r="AA24">
        <v>6010</v>
      </c>
      <c r="AB24">
        <v>6010</v>
      </c>
      <c r="AC24">
        <v>5910</v>
      </c>
      <c r="AD24">
        <v>5910</v>
      </c>
      <c r="AE24">
        <v>5920</v>
      </c>
      <c r="AF24">
        <v>5920</v>
      </c>
      <c r="AG24">
        <v>5920</v>
      </c>
      <c r="AH24">
        <v>5920</v>
      </c>
      <c r="AI24">
        <v>5920</v>
      </c>
      <c r="AJ24">
        <v>5920</v>
      </c>
      <c r="AK24">
        <v>5920</v>
      </c>
      <c r="AL24">
        <v>5920</v>
      </c>
      <c r="AM24">
        <v>5920</v>
      </c>
      <c r="AN24">
        <v>5920</v>
      </c>
      <c r="AO24">
        <v>5970</v>
      </c>
      <c r="AP24">
        <v>5970</v>
      </c>
      <c r="AQ24">
        <v>5970</v>
      </c>
      <c r="AR24">
        <v>5970</v>
      </c>
      <c r="AS24">
        <v>5970</v>
      </c>
      <c r="AT24">
        <v>5970</v>
      </c>
      <c r="AU24">
        <v>5970</v>
      </c>
      <c r="AV24" s="28"/>
    </row>
    <row r="25" spans="1:48">
      <c r="A25" t="s">
        <v>35</v>
      </c>
      <c r="B25">
        <v>15355</v>
      </c>
      <c r="C25">
        <v>15385</v>
      </c>
      <c r="D25">
        <v>15385</v>
      </c>
      <c r="E25">
        <v>15385</v>
      </c>
      <c r="F25">
        <v>15400</v>
      </c>
      <c r="G25">
        <v>15450</v>
      </c>
      <c r="H25">
        <v>15450</v>
      </c>
      <c r="I25">
        <v>15450</v>
      </c>
      <c r="J25">
        <v>15450</v>
      </c>
      <c r="K25">
        <v>15500</v>
      </c>
      <c r="L25">
        <v>15500</v>
      </c>
      <c r="M25">
        <v>15500</v>
      </c>
      <c r="N25">
        <v>15555</v>
      </c>
      <c r="O25">
        <v>15555</v>
      </c>
      <c r="P25">
        <v>15555</v>
      </c>
      <c r="Q25">
        <v>15555</v>
      </c>
      <c r="R25">
        <v>15555</v>
      </c>
      <c r="S25">
        <v>15555</v>
      </c>
      <c r="T25">
        <v>15555</v>
      </c>
      <c r="U25">
        <v>15555</v>
      </c>
      <c r="V25">
        <v>15525</v>
      </c>
      <c r="W25">
        <v>15525</v>
      </c>
      <c r="X25">
        <v>15505</v>
      </c>
      <c r="Y25">
        <v>15475</v>
      </c>
      <c r="Z25">
        <v>15475</v>
      </c>
      <c r="AA25">
        <v>15465</v>
      </c>
      <c r="AB25">
        <v>15465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 s="28"/>
    </row>
    <row r="26" spans="1:48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23100</v>
      </c>
      <c r="J26">
        <v>23100</v>
      </c>
      <c r="K26">
        <v>23100</v>
      </c>
      <c r="L26">
        <v>23100</v>
      </c>
      <c r="M26">
        <v>23100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23000</v>
      </c>
      <c r="V26">
        <v>23000</v>
      </c>
      <c r="W26">
        <v>22950</v>
      </c>
      <c r="X26">
        <v>22950</v>
      </c>
      <c r="Y26">
        <v>22950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23100</v>
      </c>
      <c r="AN26">
        <v>23100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 s="28"/>
    </row>
    <row r="27" spans="1:48">
      <c r="A27" t="s">
        <v>36</v>
      </c>
      <c r="B27">
        <v>50330</v>
      </c>
      <c r="C27">
        <v>50400</v>
      </c>
      <c r="D27">
        <v>50500</v>
      </c>
      <c r="E27">
        <v>50070</v>
      </c>
      <c r="F27">
        <v>49710</v>
      </c>
      <c r="G27">
        <v>49500</v>
      </c>
      <c r="H27">
        <v>49200</v>
      </c>
      <c r="I27">
        <v>49180</v>
      </c>
      <c r="J27">
        <v>48660</v>
      </c>
      <c r="K27">
        <v>49370</v>
      </c>
      <c r="L27">
        <v>50680</v>
      </c>
      <c r="M27">
        <v>50530</v>
      </c>
      <c r="N27">
        <v>50710</v>
      </c>
      <c r="O27">
        <v>50760</v>
      </c>
      <c r="P27">
        <v>51430</v>
      </c>
      <c r="Q27">
        <v>51450</v>
      </c>
      <c r="R27">
        <v>51490</v>
      </c>
      <c r="S27">
        <v>51170</v>
      </c>
      <c r="T27">
        <v>51360</v>
      </c>
      <c r="U27">
        <v>50560</v>
      </c>
      <c r="V27">
        <v>51400</v>
      </c>
      <c r="W27">
        <v>51840</v>
      </c>
      <c r="X27">
        <v>51790</v>
      </c>
      <c r="Y27">
        <v>51490</v>
      </c>
      <c r="Z27">
        <v>51880</v>
      </c>
      <c r="AA27">
        <v>52040</v>
      </c>
      <c r="AB27">
        <v>52420</v>
      </c>
      <c r="AC27">
        <v>52910</v>
      </c>
      <c r="AD27">
        <v>52870</v>
      </c>
      <c r="AE27">
        <v>52930</v>
      </c>
      <c r="AF27">
        <v>51680</v>
      </c>
      <c r="AG27">
        <v>51680</v>
      </c>
      <c r="AH27">
        <v>51680</v>
      </c>
      <c r="AI27">
        <v>51040</v>
      </c>
      <c r="AJ27">
        <v>51040</v>
      </c>
      <c r="AK27">
        <v>51560</v>
      </c>
      <c r="AL27">
        <v>52250</v>
      </c>
      <c r="AM27">
        <v>52340</v>
      </c>
      <c r="AN27">
        <v>52610</v>
      </c>
      <c r="AO27">
        <v>52810</v>
      </c>
      <c r="AP27">
        <v>52840</v>
      </c>
      <c r="AQ27">
        <v>52680</v>
      </c>
      <c r="AR27">
        <v>52490</v>
      </c>
      <c r="AS27">
        <v>53400</v>
      </c>
      <c r="AT27">
        <v>53190</v>
      </c>
      <c r="AU27">
        <v>53560</v>
      </c>
      <c r="AV27" s="28"/>
    </row>
    <row r="28" spans="1:48">
      <c r="A28" t="s">
        <v>22</v>
      </c>
      <c r="B28">
        <v>14040</v>
      </c>
      <c r="C28">
        <v>13960</v>
      </c>
      <c r="D28">
        <v>13980</v>
      </c>
      <c r="E28">
        <v>13710</v>
      </c>
      <c r="F28">
        <v>13620</v>
      </c>
      <c r="G28">
        <v>13690</v>
      </c>
      <c r="H28">
        <v>13620</v>
      </c>
      <c r="I28">
        <v>13650</v>
      </c>
      <c r="J28">
        <v>13530</v>
      </c>
      <c r="K28">
        <v>13520</v>
      </c>
      <c r="L28">
        <v>13710</v>
      </c>
      <c r="M28">
        <v>13690</v>
      </c>
      <c r="N28">
        <v>13760</v>
      </c>
      <c r="O28">
        <v>13710</v>
      </c>
      <c r="P28">
        <v>13730</v>
      </c>
      <c r="Q28">
        <v>13730</v>
      </c>
      <c r="R28">
        <v>13710</v>
      </c>
      <c r="S28">
        <v>13620</v>
      </c>
      <c r="T28">
        <v>13800</v>
      </c>
      <c r="U28">
        <v>13810</v>
      </c>
      <c r="V28">
        <v>13900</v>
      </c>
      <c r="W28">
        <v>13940</v>
      </c>
      <c r="X28">
        <v>14050</v>
      </c>
      <c r="Y28">
        <v>13930</v>
      </c>
      <c r="Z28">
        <v>14080</v>
      </c>
      <c r="AA28">
        <v>14130</v>
      </c>
      <c r="AB28">
        <v>14010</v>
      </c>
      <c r="AC28">
        <v>13930</v>
      </c>
      <c r="AD28">
        <v>13870</v>
      </c>
      <c r="AE28">
        <v>13920</v>
      </c>
      <c r="AF28">
        <v>14130</v>
      </c>
      <c r="AG28">
        <v>14130</v>
      </c>
      <c r="AH28">
        <v>14130</v>
      </c>
      <c r="AI28">
        <v>13930</v>
      </c>
      <c r="AJ28">
        <v>13930</v>
      </c>
      <c r="AK28">
        <v>14000</v>
      </c>
      <c r="AL28">
        <v>14040</v>
      </c>
      <c r="AM28">
        <v>14010</v>
      </c>
      <c r="AN28">
        <v>14090</v>
      </c>
      <c r="AO28">
        <v>14200</v>
      </c>
      <c r="AP28">
        <v>14150</v>
      </c>
      <c r="AQ28">
        <v>14230</v>
      </c>
      <c r="AR28">
        <v>14290</v>
      </c>
      <c r="AS28">
        <v>14490</v>
      </c>
      <c r="AT28">
        <v>14450</v>
      </c>
      <c r="AU28">
        <v>14550</v>
      </c>
      <c r="AV28" s="28"/>
    </row>
    <row r="29" spans="1:48">
      <c r="A29" t="s">
        <v>37</v>
      </c>
      <c r="B29">
        <v>24390</v>
      </c>
      <c r="C29">
        <v>24640</v>
      </c>
      <c r="D29">
        <v>24740</v>
      </c>
      <c r="E29">
        <v>24930</v>
      </c>
      <c r="F29">
        <v>24760</v>
      </c>
      <c r="G29">
        <v>24780</v>
      </c>
      <c r="H29">
        <v>24980</v>
      </c>
      <c r="I29">
        <v>24910</v>
      </c>
      <c r="J29">
        <v>24550</v>
      </c>
      <c r="K29">
        <v>24510</v>
      </c>
      <c r="L29">
        <v>24730</v>
      </c>
      <c r="M29">
        <v>24500</v>
      </c>
      <c r="N29">
        <v>24590</v>
      </c>
      <c r="O29">
        <v>24750</v>
      </c>
      <c r="P29">
        <v>24830</v>
      </c>
      <c r="Q29">
        <v>24700</v>
      </c>
      <c r="R29">
        <v>25100</v>
      </c>
      <c r="S29">
        <v>25020</v>
      </c>
      <c r="T29">
        <v>25000</v>
      </c>
      <c r="U29">
        <v>24590</v>
      </c>
      <c r="V29">
        <v>25170</v>
      </c>
      <c r="W29">
        <v>25370</v>
      </c>
      <c r="X29">
        <v>25380</v>
      </c>
      <c r="Y29">
        <v>25660</v>
      </c>
      <c r="Z29">
        <v>26030</v>
      </c>
      <c r="AA29">
        <v>26330</v>
      </c>
      <c r="AB29">
        <v>26300</v>
      </c>
      <c r="AC29">
        <v>26600</v>
      </c>
      <c r="AD29">
        <v>26500</v>
      </c>
      <c r="AE29">
        <v>26460</v>
      </c>
      <c r="AF29">
        <v>26010</v>
      </c>
      <c r="AG29">
        <v>26010</v>
      </c>
      <c r="AH29">
        <v>26010</v>
      </c>
      <c r="AI29">
        <v>25850</v>
      </c>
      <c r="AJ29">
        <v>25850</v>
      </c>
      <c r="AK29">
        <v>26120</v>
      </c>
      <c r="AL29">
        <v>26350</v>
      </c>
      <c r="AM29">
        <v>26350</v>
      </c>
      <c r="AN29">
        <v>26620</v>
      </c>
      <c r="AO29">
        <v>26650</v>
      </c>
      <c r="AP29">
        <v>26690</v>
      </c>
      <c r="AQ29">
        <v>26620</v>
      </c>
      <c r="AR29">
        <v>26650</v>
      </c>
      <c r="AS29">
        <v>27090</v>
      </c>
      <c r="AT29">
        <v>26100</v>
      </c>
      <c r="AU29">
        <v>26240</v>
      </c>
      <c r="AV29" s="28"/>
    </row>
    <row r="30" spans="1:48">
      <c r="A30" t="s">
        <v>38</v>
      </c>
      <c r="B30">
        <v>98250</v>
      </c>
      <c r="C30">
        <v>99550</v>
      </c>
      <c r="D30">
        <v>99550</v>
      </c>
      <c r="E30">
        <v>99450</v>
      </c>
      <c r="F30">
        <v>98000</v>
      </c>
      <c r="G30">
        <v>96150</v>
      </c>
      <c r="H30">
        <v>96850</v>
      </c>
      <c r="I30">
        <v>96750</v>
      </c>
      <c r="J30">
        <v>95700</v>
      </c>
      <c r="K30">
        <v>97000</v>
      </c>
      <c r="L30">
        <v>100700</v>
      </c>
      <c r="M30">
        <v>100900</v>
      </c>
      <c r="N30">
        <v>100250</v>
      </c>
      <c r="O30">
        <v>100950</v>
      </c>
      <c r="P30">
        <v>102100</v>
      </c>
      <c r="Q30">
        <v>101950</v>
      </c>
      <c r="R30">
        <v>103300</v>
      </c>
      <c r="S30">
        <v>102700</v>
      </c>
      <c r="T30">
        <v>103200</v>
      </c>
      <c r="U30">
        <v>99300</v>
      </c>
      <c r="V30">
        <v>100150</v>
      </c>
      <c r="W30">
        <v>101400</v>
      </c>
      <c r="X30">
        <v>101150</v>
      </c>
      <c r="Y30">
        <v>100850</v>
      </c>
      <c r="Z30">
        <v>100800</v>
      </c>
      <c r="AA30">
        <v>103400</v>
      </c>
      <c r="AB30">
        <v>104150</v>
      </c>
      <c r="AC30">
        <v>104400</v>
      </c>
      <c r="AD30">
        <v>103450</v>
      </c>
      <c r="AE30">
        <v>103600</v>
      </c>
      <c r="AF30">
        <v>100150</v>
      </c>
      <c r="AG30">
        <v>100150</v>
      </c>
      <c r="AH30">
        <v>100150</v>
      </c>
      <c r="AI30">
        <v>97850</v>
      </c>
      <c r="AJ30">
        <v>97850</v>
      </c>
      <c r="AK30">
        <v>99500</v>
      </c>
      <c r="AL30">
        <v>100750</v>
      </c>
      <c r="AM30">
        <v>99900</v>
      </c>
      <c r="AN30">
        <v>99850</v>
      </c>
      <c r="AO30">
        <v>103700</v>
      </c>
      <c r="AP30">
        <v>101500</v>
      </c>
      <c r="AQ30">
        <v>101250</v>
      </c>
      <c r="AR30">
        <v>102300</v>
      </c>
      <c r="AS30">
        <v>105250</v>
      </c>
      <c r="AT30">
        <v>102150</v>
      </c>
      <c r="AU30">
        <v>102750</v>
      </c>
      <c r="AV30" s="28"/>
    </row>
    <row r="31" spans="1:48">
      <c r="A31" t="s">
        <v>18</v>
      </c>
      <c r="B31">
        <v>6025.6500000000005</v>
      </c>
      <c r="C31">
        <v>6017.6900000000005</v>
      </c>
      <c r="D31">
        <v>6059.71</v>
      </c>
      <c r="E31">
        <v>6121.96</v>
      </c>
      <c r="F31">
        <v>6114.74</v>
      </c>
      <c r="G31">
        <v>6034.86</v>
      </c>
      <c r="H31">
        <v>5973.34</v>
      </c>
      <c r="I31">
        <v>6034.78</v>
      </c>
      <c r="J31">
        <v>5902.96</v>
      </c>
      <c r="K31">
        <v>5787.1500000000005</v>
      </c>
      <c r="L31">
        <v>6101.2300000000005</v>
      </c>
      <c r="M31">
        <v>6129.2</v>
      </c>
      <c r="N31">
        <v>6173.7</v>
      </c>
      <c r="O31">
        <v>6153.83</v>
      </c>
      <c r="P31">
        <v>6146.31</v>
      </c>
      <c r="Q31">
        <v>6180.1100000000006</v>
      </c>
      <c r="R31">
        <v>6189.32</v>
      </c>
      <c r="S31">
        <v>6254.1500000000005</v>
      </c>
      <c r="T31">
        <v>6295.78</v>
      </c>
      <c r="U31">
        <v>6206.9800000000005</v>
      </c>
      <c r="V31">
        <v>6131.51</v>
      </c>
      <c r="W31">
        <v>6086.49</v>
      </c>
      <c r="X31">
        <v>6145.58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6394.3</v>
      </c>
      <c r="AU31">
        <v>6382.72</v>
      </c>
      <c r="AV31" s="28"/>
    </row>
    <row r="32" spans="1:48">
      <c r="A32" t="s">
        <v>19</v>
      </c>
      <c r="B32">
        <v>2715.73</v>
      </c>
      <c r="C32">
        <v>2702.37</v>
      </c>
      <c r="D32">
        <v>2697.27</v>
      </c>
      <c r="E32">
        <v>2711.37</v>
      </c>
      <c r="F32">
        <v>2722.15</v>
      </c>
      <c r="G32">
        <v>2738.79</v>
      </c>
      <c r="H32">
        <v>2694.83</v>
      </c>
      <c r="I32">
        <v>2747.59</v>
      </c>
      <c r="J32">
        <v>2738.87</v>
      </c>
      <c r="K32">
        <v>2791.4700000000003</v>
      </c>
      <c r="L32">
        <v>2866.67</v>
      </c>
      <c r="M32">
        <v>2894.18</v>
      </c>
      <c r="N32">
        <v>2904.4</v>
      </c>
      <c r="O32">
        <v>2897.26</v>
      </c>
      <c r="P32">
        <v>2870.73</v>
      </c>
      <c r="Q32">
        <v>2894.98</v>
      </c>
      <c r="R32">
        <v>2871.33</v>
      </c>
      <c r="S32">
        <v>2883.38</v>
      </c>
      <c r="T32">
        <v>2909.58</v>
      </c>
      <c r="U32">
        <v>2908.2000000000003</v>
      </c>
      <c r="V32">
        <v>2898.25</v>
      </c>
      <c r="W32">
        <v>2878.15</v>
      </c>
      <c r="X32">
        <v>2892.48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3180.33</v>
      </c>
      <c r="AU32">
        <v>3157.46</v>
      </c>
      <c r="AV32" s="28"/>
    </row>
    <row r="33" spans="1:48">
      <c r="A33" t="s">
        <v>39</v>
      </c>
      <c r="B33">
        <v>3852.9300000000003</v>
      </c>
      <c r="C33">
        <v>3854.86</v>
      </c>
      <c r="D33">
        <v>3862.48</v>
      </c>
      <c r="E33">
        <v>3886.92</v>
      </c>
      <c r="F33">
        <v>3898.5</v>
      </c>
      <c r="G33">
        <v>3894.05</v>
      </c>
      <c r="H33">
        <v>3842.7200000000003</v>
      </c>
      <c r="I33">
        <v>3913.27</v>
      </c>
      <c r="J33">
        <v>3879.89</v>
      </c>
      <c r="K33">
        <v>3904.94</v>
      </c>
      <c r="L33">
        <v>4020.35</v>
      </c>
      <c r="M33">
        <v>4061.05</v>
      </c>
      <c r="N33">
        <v>4077.7000000000003</v>
      </c>
      <c r="O33">
        <v>4074.25</v>
      </c>
      <c r="P33">
        <v>4056.42</v>
      </c>
      <c r="Q33">
        <v>4096.16</v>
      </c>
      <c r="R33">
        <v>4073.34</v>
      </c>
      <c r="S33">
        <v>4091.25</v>
      </c>
      <c r="T33">
        <v>4127.67</v>
      </c>
      <c r="U33">
        <v>4108.87</v>
      </c>
      <c r="V33">
        <v>4077.6</v>
      </c>
      <c r="W33">
        <v>4036.65</v>
      </c>
      <c r="X33">
        <v>4066.56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4389.8900000000003</v>
      </c>
      <c r="AU33">
        <v>4365.08</v>
      </c>
      <c r="AV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C2" sqref="C2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菜油</v>
      </c>
      <c r="B2" s="28"/>
      <c r="C2" s="1">
        <f>VLOOKUP($A2,期货数据!$A$8:$AA$99,14,0)</f>
        <v>6740</v>
      </c>
      <c r="D2" s="1">
        <f>VLOOKUP($A2,期货数据!$A$8:$AA$99,26,0)</f>
        <v>100</v>
      </c>
      <c r="E2" s="1" t="str">
        <f>IFERROR(VLOOKUP(A2,手动输入表!$F$2:$J$99,4,0),"无")</f>
        <v>广东东莞</v>
      </c>
      <c r="F2" s="1">
        <f>IFERROR(VLOOKUP(A2,手动输入表!$F$2:$J$99,5,0),0)</f>
        <v>-240</v>
      </c>
      <c r="G2" s="1">
        <f>VLOOKUP($A2,期货数据!$A$8:$AA$99,15,0)</f>
        <v>402</v>
      </c>
      <c r="H2">
        <f>VLOOKUP($A2,期货数据!$A$8:$AA$99,27,0)</f>
        <v>98</v>
      </c>
      <c r="I2" s="31">
        <f>VLOOKUP($A2,期货数据!$A$8:$AA$99,20,0)</f>
        <v>6.3426948564215838E-2</v>
      </c>
      <c r="J2" s="31"/>
      <c r="K2" s="31"/>
      <c r="L2" s="31"/>
      <c r="M2" s="30">
        <f>VLOOKUP($A2,期货数据!$A$8:$AA$99,14,0)</f>
        <v>6740</v>
      </c>
      <c r="N2" s="30">
        <f>VLOOKUP($A2,期货数据!$A$8:$AA$99,10,0)</f>
        <v>6338</v>
      </c>
      <c r="O2" s="30">
        <f>VLOOKUP($A2,期货数据!$A$8:$AA$99,11,0)</f>
        <v>6604</v>
      </c>
      <c r="P2" s="30">
        <f>VLOOKUP($A2,期货数据!$A$8:$AA$99,12,0)</f>
        <v>6754</v>
      </c>
    </row>
    <row r="3" spans="1:16">
      <c r="A3" t="str">
        <f>INDEX(期货数据!$A$8:$A$99,MATCH(ROW()-1,期货数据!$W$8:$W$99,0))</f>
        <v>动力煤</v>
      </c>
      <c r="B3" s="28"/>
      <c r="C3" s="1">
        <f>VLOOKUP($A3,期货数据!$A$8:$AA$99,14,0)</f>
        <v>596</v>
      </c>
      <c r="D3" s="1">
        <f>VLOOKUP($A3,期货数据!$A$8:$AA$99,26,0)</f>
        <v>-3</v>
      </c>
      <c r="E3" s="1" t="str">
        <f>IFERROR(VLOOKUP(A3,手动输入表!$F$2:$J$99,4,0),"无")</f>
        <v>秦皇岛港</v>
      </c>
      <c r="F3" s="1">
        <f>IFERROR(VLOOKUP(A3,手动输入表!$F$2:$J$99,5,0),0)</f>
        <v>0</v>
      </c>
      <c r="G3" s="1">
        <f>VLOOKUP($A3,期货数据!$A$8:$AA$99,15,0)</f>
        <v>34.199999999999932</v>
      </c>
      <c r="H3">
        <f>VLOOKUP($A3,期货数据!$A$8:$AA$99,27,0)</f>
        <v>-1.2000000000000455</v>
      </c>
      <c r="I3" s="31">
        <f>VLOOKUP($A3,期货数据!$A$8:$AA$99,20,0)</f>
        <v>6.0875756496973882E-2</v>
      </c>
      <c r="M3" s="30">
        <f>VLOOKUP($A3,期货数据!$A$8:$AA$99,14,0)</f>
        <v>596</v>
      </c>
      <c r="N3" s="30">
        <f>VLOOKUP($A3,期货数据!$A$8:$AA$99,10,0)</f>
        <v>561.80000000000007</v>
      </c>
      <c r="O3" s="30">
        <f>VLOOKUP($A3,期货数据!$A$8:$AA$99,11,0)</f>
        <v>560.6</v>
      </c>
      <c r="P3" s="30">
        <f>VLOOKUP($A3,期货数据!$A$8:$AA$99,12,0)</f>
        <v>574.80000000000007</v>
      </c>
    </row>
    <row r="4" spans="1:16">
      <c r="A4" t="str">
        <f>INDEX(期货数据!$A$8:$A$99,MATCH(ROW()-1,期货数据!$W$8:$W$99,0))</f>
        <v>玻璃</v>
      </c>
      <c r="B4" s="28"/>
      <c r="C4" s="1">
        <f>VLOOKUP($A4,期货数据!$A$8:$AA$99,14,0)</f>
        <v>1460</v>
      </c>
      <c r="D4" s="1">
        <f>VLOOKUP($A4,期货数据!$A$8:$AA$99,26,0)</f>
        <v>-80</v>
      </c>
      <c r="E4" s="1" t="str">
        <f>IFERROR(VLOOKUP(A4,手动输入表!$F$2:$J$99,4,0),"无")</f>
        <v>沙河</v>
      </c>
      <c r="F4" s="1">
        <f>IFERROR(VLOOKUP(A4,手动输入表!$F$2:$J$99,5,0),0)</f>
        <v>0</v>
      </c>
      <c r="G4" s="1">
        <f>VLOOKUP($A4,期货数据!$A$8:$AA$99,15,0)</f>
        <v>75</v>
      </c>
      <c r="H4">
        <f>VLOOKUP($A4,期货数据!$A$8:$AA$99,27,0)</f>
        <v>-80</v>
      </c>
      <c r="I4" s="31">
        <f>VLOOKUP($A4,期货数据!$A$8:$AA$99,20,0)</f>
        <v>5.4151624548736461E-2</v>
      </c>
      <c r="M4" s="30">
        <f>VLOOKUP($A4,期货数据!$A$8:$AA$99,14,0)</f>
        <v>1460</v>
      </c>
      <c r="N4" s="30">
        <f>VLOOKUP($A4,期货数据!$A$8:$AA$99,10,0)</f>
        <v>1385</v>
      </c>
      <c r="O4" s="30">
        <f>VLOOKUP($A4,期货数据!$A$8:$AA$99,11,0)</f>
        <v>1337</v>
      </c>
      <c r="P4" s="30">
        <f>VLOOKUP($A4,期货数据!$A$8:$AA$99,12,0)</f>
        <v>1286</v>
      </c>
    </row>
    <row r="5" spans="1:16">
      <c r="A5" t="str">
        <f>INDEX(期货数据!$A$8:$A$99,MATCH(ROW()-1,期货数据!$W$8:$W$99,0))</f>
        <v>焦煤</v>
      </c>
      <c r="B5" s="28"/>
      <c r="C5" s="1">
        <f>VLOOKUP($A5,期货数据!$A$8:$AA$99,14,0)</f>
        <v>1350</v>
      </c>
      <c r="D5" s="1">
        <f>VLOOKUP($A5,期货数据!$A$8:$AA$99,26,0)</f>
        <v>0</v>
      </c>
      <c r="E5" s="1" t="str">
        <f>IFERROR(VLOOKUP(A5,手动输入表!$F$2:$J$99,4,0),"无")</f>
        <v>日照港</v>
      </c>
      <c r="F5" s="1">
        <f>IFERROR(VLOOKUP(A5,手动输入表!$F$2:$J$99,5,0),0)</f>
        <v>0</v>
      </c>
      <c r="G5" s="1">
        <f>VLOOKUP($A5,期货数据!$A$8:$AA$99,15,0)</f>
        <v>59</v>
      </c>
      <c r="H5">
        <f>VLOOKUP($A5,期货数据!$A$8:$AA$99,27,0)</f>
        <v>9.5</v>
      </c>
      <c r="I5" s="31">
        <f>VLOOKUP($A5,期货数据!$A$8:$AA$99,20,0)</f>
        <v>4.5701006971340045E-2</v>
      </c>
      <c r="M5" s="30">
        <f>VLOOKUP($A5,期货数据!$A$8:$AA$99,14,0)</f>
        <v>1350</v>
      </c>
      <c r="N5" s="30">
        <f>VLOOKUP($A5,期货数据!$A$8:$AA$99,10,0)</f>
        <v>1291</v>
      </c>
      <c r="O5" s="30">
        <f>VLOOKUP($A5,期货数据!$A$8:$AA$99,11,0)</f>
        <v>1160</v>
      </c>
      <c r="P5" s="30">
        <f>VLOOKUP($A5,期货数据!$A$8:$AA$99,12,0)</f>
        <v>1124</v>
      </c>
    </row>
    <row r="6" spans="1:16">
      <c r="A6" t="str">
        <f>INDEX(期货数据!$A$8:$A$99,MATCH(ROW()-1,期货数据!$W$8:$W$99,0))</f>
        <v>棉花</v>
      </c>
      <c r="B6" s="28"/>
      <c r="C6" s="1">
        <f>VLOOKUP($A6,期货数据!$A$8:$AA$99,14,0)</f>
        <v>15355</v>
      </c>
      <c r="D6" s="1">
        <f>VLOOKUP($A6,期货数据!$A$8:$AA$99,26,0)</f>
        <v>-30</v>
      </c>
      <c r="E6" s="1" t="str">
        <f>IFERROR(VLOOKUP(A6,手动输入表!$F$2:$J$99,4,0),"无")</f>
        <v>新疆</v>
      </c>
      <c r="F6" s="1">
        <f>IFERROR(VLOOKUP(A6,手动输入表!$F$2:$J$99,5,0),0)</f>
        <v>0</v>
      </c>
      <c r="G6" s="1">
        <f>VLOOKUP($A6,期货数据!$A$8:$AA$99,15,0)</f>
        <v>560</v>
      </c>
      <c r="H6">
        <f>VLOOKUP($A6,期货数据!$A$8:$AA$99,27,0)</f>
        <v>-70</v>
      </c>
      <c r="I6" s="31">
        <f>VLOOKUP($A6,期货数据!$A$8:$AA$99,20,0)</f>
        <v>3.7850625211220006E-2</v>
      </c>
      <c r="M6" s="30">
        <f>VLOOKUP($A6,期货数据!$A$8:$AA$99,14,0)</f>
        <v>15355</v>
      </c>
      <c r="N6" s="30">
        <f>VLOOKUP($A6,期货数据!$A$8:$AA$99,10,0)</f>
        <v>14795</v>
      </c>
      <c r="O6" s="30">
        <f>VLOOKUP($A6,期货数据!$A$8:$AA$99,11,0)</f>
        <v>15275</v>
      </c>
      <c r="P6" s="30">
        <f>VLOOKUP($A6,期货数据!$A$8:$AA$99,12,0)</f>
        <v>15765</v>
      </c>
    </row>
    <row r="7" spans="1:16">
      <c r="A7" t="str">
        <f>INDEX(期货数据!$A$8:$A$99,MATCH(ROW()-1,期货数据!$W$8:$W$99,0))</f>
        <v>豆油</v>
      </c>
      <c r="B7" s="28"/>
      <c r="C7" s="1">
        <f>VLOOKUP($A7,期货数据!$A$8:$AA$99,14,0)</f>
        <v>6020</v>
      </c>
      <c r="D7" s="1">
        <f>VLOOKUP($A7,期货数据!$A$8:$AA$99,26,0)</f>
        <v>270</v>
      </c>
      <c r="E7" s="1" t="str">
        <f>IFERROR(VLOOKUP(A7,手动输入表!$F$2:$J$99,4,0),"无")</f>
        <v>日照</v>
      </c>
      <c r="F7" s="1">
        <f>IFERROR(VLOOKUP(A7,手动输入表!$F$2:$J$99,5,0),0)</f>
        <v>-50</v>
      </c>
      <c r="G7" s="1">
        <f>VLOOKUP($A7,期货数据!$A$8:$AA$99,15,0)</f>
        <v>218</v>
      </c>
      <c r="H7">
        <f>VLOOKUP($A7,期货数据!$A$8:$AA$99,27,0)</f>
        <v>242</v>
      </c>
      <c r="I7" s="31">
        <f>VLOOKUP($A7,期货数据!$A$8:$AA$99,20,0)</f>
        <v>3.7573250603240259E-2</v>
      </c>
      <c r="M7" s="30">
        <f>VLOOKUP($A7,期货数据!$A$8:$AA$99,14,0)</f>
        <v>6020</v>
      </c>
      <c r="N7" s="30">
        <f>VLOOKUP($A7,期货数据!$A$8:$AA$99,10,0)</f>
        <v>5802</v>
      </c>
      <c r="O7" s="30">
        <f>VLOOKUP($A7,期货数据!$A$8:$AA$99,11,0)</f>
        <v>5976</v>
      </c>
      <c r="P7" s="30">
        <f>VLOOKUP($A7,期货数据!$A$8:$AA$99,12,0)</f>
        <v>6126</v>
      </c>
    </row>
    <row r="8" spans="1:16">
      <c r="A8" t="str">
        <f>INDEX(期货数据!$A$8:$A$99,MATCH(ROW()-1,期货数据!$W$8:$W$99,0))</f>
        <v>淀粉</v>
      </c>
      <c r="B8" s="28"/>
      <c r="C8" s="1">
        <f>VLOOKUP($A8,期货数据!$A$8:$AA$99,14,0)</f>
        <v>2200</v>
      </c>
      <c r="D8" s="1">
        <f>VLOOKUP($A8,期货数据!$A$8:$AA$99,26,0)</f>
        <v>0</v>
      </c>
      <c r="E8" s="1" t="str">
        <f>IFERROR(VLOOKUP(A8,手动输入表!$F$2:$J$99,4,0),"无")</f>
        <v>东北</v>
      </c>
      <c r="F8" s="1">
        <f>IFERROR(VLOOKUP(A8,手动输入表!$F$2:$J$99,5,0),0)</f>
        <v>0</v>
      </c>
      <c r="G8" s="1">
        <f>VLOOKUP($A8,期货数据!$A$8:$AA$99,15,0)</f>
        <v>79</v>
      </c>
      <c r="H8">
        <f>VLOOKUP($A8,期货数据!$A$8:$AA$99,27,0)</f>
        <v>44</v>
      </c>
      <c r="I8" s="31">
        <f>VLOOKUP($A8,期货数据!$A$8:$AA$99,20,0)</f>
        <v>3.7246581801037244E-2</v>
      </c>
      <c r="M8" s="30">
        <f>VLOOKUP($A8,期货数据!$A$8:$AA$99,14,0)</f>
        <v>2200</v>
      </c>
      <c r="N8" s="30">
        <f>VLOOKUP($A8,期货数据!$A$8:$AA$99,10,0)</f>
        <v>2121</v>
      </c>
      <c r="O8" s="30">
        <f>VLOOKUP($A8,期货数据!$A$8:$AA$99,11,0)</f>
        <v>2132</v>
      </c>
      <c r="P8" s="30">
        <f>VLOOKUP($A8,期货数据!$A$8:$AA$99,12,0)</f>
        <v>2139</v>
      </c>
    </row>
    <row r="9" spans="1:16">
      <c r="A9" t="str">
        <f>INDEX(期货数据!$A$8:$A$99,MATCH(ROW()-1,期货数据!$W$8:$W$99,0))</f>
        <v>螺纹钢</v>
      </c>
      <c r="B9" s="28"/>
      <c r="C9" s="1">
        <f>VLOOKUP($A9,期货数据!$A$8:$AA$99,14,0)</f>
        <v>3783.5</v>
      </c>
      <c r="D9" s="1">
        <f>VLOOKUP($A9,期货数据!$A$8:$AA$99,26,0)</f>
        <v>-20.5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134.5</v>
      </c>
      <c r="H9">
        <f>VLOOKUP($A9,期货数据!$A$8:$AA$99,27,0)</f>
        <v>-79.5</v>
      </c>
      <c r="I9" s="31">
        <f>VLOOKUP($A9,期货数据!$A$8:$AA$99,20,0)</f>
        <v>3.6859413537955604E-2</v>
      </c>
      <c r="M9" s="30">
        <f>VLOOKUP($A9,期货数据!$A$8:$AA$99,14,0)</f>
        <v>3783.5</v>
      </c>
      <c r="N9" s="30">
        <f>VLOOKUP($A9,期货数据!$A$8:$AA$99,10,0)</f>
        <v>3649</v>
      </c>
      <c r="O9" s="30">
        <f>VLOOKUP($A9,期货数据!$A$8:$AA$99,11,0)</f>
        <v>3408</v>
      </c>
      <c r="P9" s="30">
        <f>VLOOKUP($A9,期货数据!$A$8:$AA$99,12,0)</f>
        <v>3287</v>
      </c>
    </row>
    <row r="10" spans="1:16">
      <c r="A10" t="str">
        <f>INDEX(期货数据!$A$8:$A$99,MATCH(ROW()-1,期货数据!$W$8:$W$99,0))</f>
        <v>铁矿石</v>
      </c>
      <c r="B10" s="28"/>
      <c r="C10" s="1">
        <f>VLOOKUP($A10,期货数据!$A$8:$AA$99,14,0)</f>
        <v>448.7</v>
      </c>
      <c r="D10" s="1">
        <f>VLOOKUP($A10,期货数据!$A$8:$AA$99,26,0)</f>
        <v>-3.1999999999999886</v>
      </c>
      <c r="E10" s="1" t="str">
        <f>IFERROR(VLOOKUP(A10,手动输入表!$F$2:$J$99,4,0),"无")</f>
        <v>青岛港</v>
      </c>
      <c r="F10" s="1">
        <f>IFERROR(VLOOKUP(A10,手动输入表!$F$2:$J$99,5,0),0)</f>
        <v>0</v>
      </c>
      <c r="G10" s="1">
        <f>VLOOKUP($A10,期货数据!$A$8:$AA$99,15,0)</f>
        <v>13.199999999999989</v>
      </c>
      <c r="H10">
        <f>VLOOKUP($A10,期货数据!$A$8:$AA$99,27,0)</f>
        <v>-7.6999999999999886</v>
      </c>
      <c r="I10" s="31">
        <f>VLOOKUP($A10,期货数据!$A$8:$AA$99,20,0)</f>
        <v>3.0309988518943717E-2</v>
      </c>
      <c r="M10" s="30">
        <f>VLOOKUP($A10,期货数据!$A$8:$AA$99,14,0)</f>
        <v>448.7</v>
      </c>
      <c r="N10" s="30">
        <f>VLOOKUP($A10,期货数据!$A$8:$AA$99,10,0)</f>
        <v>435.5</v>
      </c>
      <c r="O10" s="30">
        <f>VLOOKUP($A10,期货数据!$A$8:$AA$99,11,0)</f>
        <v>444</v>
      </c>
      <c r="P10" s="30">
        <f>VLOOKUP($A10,期货数据!$A$8:$AA$99,12,0)</f>
        <v>439.5</v>
      </c>
    </row>
    <row r="11" spans="1:16">
      <c r="A11" t="str">
        <f>INDEX(期货数据!$A$8:$A$99,MATCH(ROW()-1,期货数据!$W$8:$W$99,0))</f>
        <v>玉米</v>
      </c>
      <c r="B11" s="28"/>
      <c r="C11" s="1">
        <f>VLOOKUP($A11,期货数据!$A$8:$AA$99,14,0)</f>
        <v>1830</v>
      </c>
      <c r="D11" s="1">
        <f>VLOOKUP($A11,期货数据!$A$8:$AA$99,26,0)</f>
        <v>-10</v>
      </c>
      <c r="E11" s="1" t="str">
        <f>IFERROR(VLOOKUP(A11,手动输入表!$F$2:$J$99,4,0),"无")</f>
        <v>鲅鱼圈平舱价</v>
      </c>
      <c r="F11" s="1">
        <f>IFERROR(VLOOKUP(A11,手动输入表!$F$2:$J$99,5,0),0)</f>
        <v>0</v>
      </c>
      <c r="G11" s="1">
        <f>VLOOKUP($A11,期货数据!$A$8:$AA$99,15,0)</f>
        <v>53</v>
      </c>
      <c r="H11">
        <f>VLOOKUP($A11,期货数据!$A$8:$AA$99,27,0)</f>
        <v>2</v>
      </c>
      <c r="I11" s="31">
        <f>VLOOKUP($A11,期货数据!$A$8:$AA$99,20,0)</f>
        <v>2.9825548677546426E-2</v>
      </c>
      <c r="M11" s="30">
        <f>VLOOKUP($A11,期货数据!$A$8:$AA$99,14,0)</f>
        <v>1830</v>
      </c>
      <c r="N11" s="30">
        <f>VLOOKUP($A11,期货数据!$A$8:$AA$99,10,0)</f>
        <v>1777</v>
      </c>
      <c r="O11" s="30">
        <f>VLOOKUP($A11,期货数据!$A$8:$AA$99,11,0)</f>
        <v>1758</v>
      </c>
      <c r="P11" s="30">
        <f>VLOOKUP($A11,期货数据!$A$8:$AA$99,12,0)</f>
        <v>1789</v>
      </c>
    </row>
    <row r="12" spans="1:16">
      <c r="A12" t="str">
        <f>INDEX(期货数据!$A$8:$A$99,MATCH(ROW()-1,期货数据!$W$8:$W$99,0))</f>
        <v>豆粕</v>
      </c>
      <c r="B12" s="28"/>
      <c r="C12" s="1">
        <f>VLOOKUP($A12,期货数据!$A$8:$AA$99,14,0)</f>
        <v>3360</v>
      </c>
      <c r="D12" s="1">
        <f>VLOOKUP($A12,期货数据!$A$8:$AA$99,26,0)</f>
        <v>110</v>
      </c>
      <c r="E12" s="1" t="str">
        <f>IFERROR(VLOOKUP(A12,手动输入表!$F$2:$J$99,4,0),"无")</f>
        <v>广东</v>
      </c>
      <c r="F12" s="1">
        <f>IFERROR(VLOOKUP(A12,手动输入表!$F$2:$J$99,5,0),0)</f>
        <v>0</v>
      </c>
      <c r="G12" s="1">
        <f>VLOOKUP($A12,期货数据!$A$8:$AA$99,15,0)</f>
        <v>67</v>
      </c>
      <c r="H12">
        <f>VLOOKUP($A12,期货数据!$A$8:$AA$99,27,0)</f>
        <v>-8</v>
      </c>
      <c r="I12" s="31">
        <f>VLOOKUP($A12,期货数据!$A$8:$AA$99,20,0)</f>
        <v>2.0346188885514729E-2</v>
      </c>
      <c r="M12" s="30">
        <f>VLOOKUP($A12,期货数据!$A$8:$AA$99,14,0)</f>
        <v>3360</v>
      </c>
      <c r="N12" s="30">
        <f>VLOOKUP($A12,期货数据!$A$8:$AA$99,10,0)</f>
        <v>3293</v>
      </c>
      <c r="O12" s="30">
        <f>VLOOKUP($A12,期货数据!$A$8:$AA$99,11,0)</f>
        <v>3327</v>
      </c>
      <c r="P12" s="30">
        <f>VLOOKUP($A12,期货数据!$A$8:$AA$99,12,0)</f>
        <v>3348</v>
      </c>
    </row>
    <row r="13" spans="1:16">
      <c r="A13" t="str">
        <f>INDEX(期货数据!$A$8:$A$99,MATCH(ROW()-1,期货数据!$W$8:$W$99,0))</f>
        <v>热卷</v>
      </c>
      <c r="B13" s="28"/>
      <c r="C13" s="1">
        <f>VLOOKUP($A13,期货数据!$A$8:$AA$99,14,0)</f>
        <v>3830</v>
      </c>
      <c r="D13" s="1">
        <f>VLOOKUP($A13,期货数据!$A$8:$AA$99,26,0)</f>
        <v>20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48</v>
      </c>
      <c r="H13">
        <f>VLOOKUP($A13,期货数据!$A$8:$AA$99,27,0)</f>
        <v>-49</v>
      </c>
      <c r="I13" s="31">
        <f>VLOOKUP($A13,期货数据!$A$8:$AA$99,20,0)</f>
        <v>1.269169751454257E-2</v>
      </c>
      <c r="M13" s="30">
        <f>VLOOKUP($A13,期货数据!$A$8:$AA$99,14,0)</f>
        <v>3830</v>
      </c>
      <c r="N13" s="30">
        <f>VLOOKUP($A13,期货数据!$A$8:$AA$99,10,0)</f>
        <v>3782</v>
      </c>
      <c r="O13" s="30">
        <f>VLOOKUP($A13,期货数据!$A$8:$AA$99,11,0)</f>
        <v>3635</v>
      </c>
      <c r="P13" s="30">
        <f>VLOOKUP($A13,期货数据!$A$8:$AA$99,12,0)</f>
        <v>3400</v>
      </c>
    </row>
    <row r="14" spans="1:16">
      <c r="A14" t="str">
        <f>INDEX(期货数据!$A$8:$A$99,MATCH(ROW()-1,期货数据!$W$8:$W$99,0))</f>
        <v>白糖</v>
      </c>
      <c r="B14" s="28"/>
      <c r="C14" s="1">
        <f>VLOOKUP($A14,期货数据!$A$8:$AA$99,14,0)</f>
        <v>5660</v>
      </c>
      <c r="D14" s="1">
        <f>VLOOKUP($A14,期货数据!$A$8:$AA$99,26,0)</f>
        <v>-10</v>
      </c>
      <c r="E14" s="1" t="str">
        <f>IFERROR(VLOOKUP(A14,手动输入表!$F$2:$J$99,4,0),"无")</f>
        <v>南宁</v>
      </c>
      <c r="F14" s="1">
        <f>IFERROR(VLOOKUP(A14,手动输入表!$F$2:$J$99,5,0),0)</f>
        <v>0</v>
      </c>
      <c r="G14" s="1">
        <f>VLOOKUP($A14,期货数据!$A$8:$AA$99,15,0)</f>
        <v>69</v>
      </c>
      <c r="H14">
        <f>VLOOKUP($A14,期货数据!$A$8:$AA$99,27,0)</f>
        <v>1</v>
      </c>
      <c r="I14" s="31">
        <f>VLOOKUP($A14,期货数据!$A$8:$AA$99,20,0)</f>
        <v>1.2341262743695224E-2</v>
      </c>
      <c r="M14" s="30">
        <f>VLOOKUP($A14,期货数据!$A$8:$AA$99,14,0)</f>
        <v>5660</v>
      </c>
      <c r="N14" s="30">
        <f>VLOOKUP($A14,期货数据!$A$8:$AA$99,10,0)</f>
        <v>5591</v>
      </c>
      <c r="O14" s="30">
        <f>VLOOKUP($A14,期货数据!$A$8:$AA$99,11,0)</f>
        <v>5551</v>
      </c>
      <c r="P14" s="30">
        <f>VLOOKUP($A14,期货数据!$A$8:$AA$99,12,0)</f>
        <v>5505</v>
      </c>
    </row>
    <row r="15" spans="1:16">
      <c r="A15" t="str">
        <f>INDEX(期货数据!$A$8:$A$99,MATCH(ROW()-1,期货数据!$W$8:$W$99,0))</f>
        <v>棕榈油</v>
      </c>
      <c r="B15" s="28"/>
      <c r="C15" s="1">
        <f>VLOOKUP($A15,期货数据!$A$8:$AA$99,14,0)</f>
        <v>5180</v>
      </c>
      <c r="D15" s="1">
        <f>VLOOKUP($A15,期货数据!$A$8:$AA$99,26,0)</f>
        <v>110</v>
      </c>
      <c r="E15" s="1" t="str">
        <f>IFERROR(VLOOKUP(A15,手动输入表!$F$2:$J$99,4,0),"无")</f>
        <v>天津港</v>
      </c>
      <c r="F15" s="1">
        <f>IFERROR(VLOOKUP(A15,手动输入表!$F$2:$J$99,5,0),0)</f>
        <v>100</v>
      </c>
      <c r="G15" s="1">
        <f>VLOOKUP($A15,期货数据!$A$8:$AA$99,15,0)</f>
        <v>56</v>
      </c>
      <c r="H15">
        <f>VLOOKUP($A15,期货数据!$A$8:$AA$99,27,0)</f>
        <v>100</v>
      </c>
      <c r="I15" s="31">
        <f>VLOOKUP($A15,期货数据!$A$8:$AA$99,20,0)</f>
        <v>1.092896174863388E-2</v>
      </c>
      <c r="M15" s="30">
        <f>VLOOKUP($A15,期货数据!$A$8:$AA$99,14,0)</f>
        <v>5180</v>
      </c>
      <c r="N15" s="30">
        <f>VLOOKUP($A15,期货数据!$A$8:$AA$99,10,0)</f>
        <v>5124</v>
      </c>
      <c r="O15" s="30">
        <f>VLOOKUP($A15,期货数据!$A$8:$AA$99,11,0)</f>
        <v>5170</v>
      </c>
      <c r="P15" s="30">
        <f>VLOOKUP($A15,期货数据!$A$8:$AA$99,12,0)</f>
        <v>5178</v>
      </c>
    </row>
    <row r="16" spans="1:16">
      <c r="A16" t="str">
        <f>INDEX(期货数据!$A$8:$A$99,MATCH(ROW()-1,期货数据!$W$8:$W$99,0))</f>
        <v>菜粕</v>
      </c>
      <c r="B16" s="28"/>
      <c r="C16" s="1">
        <f>VLOOKUP($A16,期货数据!$A$8:$AA$99,14,0)</f>
        <v>2730</v>
      </c>
      <c r="D16" s="1">
        <f>VLOOKUP($A16,期货数据!$A$8:$AA$99,26,0)</f>
        <v>160</v>
      </c>
      <c r="E16" s="1" t="str">
        <f>IFERROR(VLOOKUP(A16,手动输入表!$F$2:$J$99,4,0),"无")</f>
        <v>福建</v>
      </c>
      <c r="F16" s="1">
        <f>IFERROR(VLOOKUP(A16,手动输入表!$F$2:$J$99,5,0),0)</f>
        <v>0</v>
      </c>
      <c r="G16" s="1">
        <f>VLOOKUP($A16,期货数据!$A$8:$AA$99,15,0)</f>
        <v>29</v>
      </c>
      <c r="H16">
        <f>VLOOKUP($A16,期货数据!$A$8:$AA$99,27,0)</f>
        <v>69</v>
      </c>
      <c r="I16" s="31">
        <f>VLOOKUP($A16,期货数据!$A$8:$AA$99,20,0)</f>
        <v>1.0736764161421697E-2</v>
      </c>
      <c r="M16" s="30">
        <f>VLOOKUP($A16,期货数据!$A$8:$AA$99,14,0)</f>
        <v>2730</v>
      </c>
      <c r="N16" s="30">
        <f>VLOOKUP($A16,期货数据!$A$8:$AA$99,10,0)</f>
        <v>2701</v>
      </c>
      <c r="O16" s="30">
        <f>VLOOKUP($A16,期货数据!$A$8:$AA$99,11,0)</f>
        <v>2712</v>
      </c>
      <c r="P16" s="30">
        <f>VLOOKUP($A16,期货数据!$A$8:$AA$99,12,0)</f>
        <v>2582</v>
      </c>
    </row>
    <row r="17" spans="1:16">
      <c r="A17" t="str">
        <f>INDEX(期货数据!$A$8:$A$99,MATCH(ROW()-1,期货数据!$W$8:$W$99,0))</f>
        <v>中证500</v>
      </c>
      <c r="B17" s="28"/>
      <c r="C17" s="1">
        <f>VLOOKUP($A17,期货数据!$A$8:$AA$99,14,0)</f>
        <v>6025.6500000000005</v>
      </c>
      <c r="D17" s="1">
        <f>VLOOKUP($A17,期货数据!$A$8:$AA$99,26,0)</f>
        <v>7.9600000000000364</v>
      </c>
      <c r="E17" s="1" t="str">
        <f>IFERROR(VLOOKUP(A17,手动输入表!$F$2:$J$99,4,0),"无")</f>
        <v>无</v>
      </c>
      <c r="F17" s="1">
        <f>IFERROR(VLOOKUP(A17,手动输入表!$F$2:$J$99,5,0),0)</f>
        <v>0</v>
      </c>
      <c r="G17" s="1">
        <f>VLOOKUP($A17,期货数据!$A$8:$AA$99,15,0)</f>
        <v>43.850000000000364</v>
      </c>
      <c r="H17">
        <f>VLOOKUP($A17,期货数据!$A$8:$AA$99,27,0)</f>
        <v>2.1599999999998545</v>
      </c>
      <c r="I17" s="31">
        <f>VLOOKUP($A17,期货数据!$A$8:$AA$99,20,0)</f>
        <v>7.3305693938280053E-3</v>
      </c>
      <c r="M17" s="30">
        <f>VLOOKUP($A17,期货数据!$A$8:$AA$99,14,0)</f>
        <v>6025.6500000000005</v>
      </c>
      <c r="N17" s="30">
        <f>VLOOKUP($A17,期货数据!$A$8:$AA$99,10,0)</f>
        <v>5981.8</v>
      </c>
      <c r="O17" s="30">
        <f>VLOOKUP($A17,期货数据!$A$8:$AA$99,11,0)</f>
        <v>5937</v>
      </c>
      <c r="P17" s="30">
        <f>VLOOKUP($A17,期货数据!$A$8:$AA$99,12,0)</f>
        <v>5891.8</v>
      </c>
    </row>
    <row r="18" spans="1:16">
      <c r="A18" t="str">
        <f>INDEX(期货数据!$A$8:$A$99,MATCH(ROW()-1,期货数据!$W$8:$W$99,0))</f>
        <v>沥青</v>
      </c>
      <c r="B18" s="28"/>
      <c r="C18" s="1">
        <f>VLOOKUP($A18,期货数据!$A$8:$AA$99,14,0)</f>
        <v>2760</v>
      </c>
      <c r="D18" s="1">
        <f>VLOOKUP($A18,期货数据!$A$8:$AA$99,26,0)</f>
        <v>35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14</v>
      </c>
      <c r="H18">
        <f>VLOOKUP($A18,期货数据!$A$8:$AA$99,27,0)</f>
        <v>73</v>
      </c>
      <c r="I18" s="31">
        <f>VLOOKUP($A18,期货数据!$A$8:$AA$99,20,0)</f>
        <v>5.0983248361252727E-3</v>
      </c>
      <c r="M18" s="30">
        <f>VLOOKUP($A18,期货数据!$A$8:$AA$99,14,0)</f>
        <v>2760</v>
      </c>
      <c r="N18" s="30">
        <f>VLOOKUP($A18,期货数据!$A$8:$AA$99,10,0)</f>
        <v>2746</v>
      </c>
      <c r="O18" s="30">
        <f>VLOOKUP($A18,期货数据!$A$8:$AA$99,11,0)</f>
        <v>2800</v>
      </c>
      <c r="P18" s="30">
        <f>VLOOKUP($A18,期货数据!$A$8:$AA$99,12,0)</f>
        <v>2848</v>
      </c>
    </row>
    <row r="19" spans="1:16">
      <c r="A19" t="str">
        <f>INDEX(期货数据!$A$8:$A$99,MATCH(ROW()-1,期货数据!$W$8:$W$99,0))</f>
        <v>沪深300</v>
      </c>
      <c r="B19" s="28"/>
      <c r="C19" s="1">
        <f>VLOOKUP($A19,期货数据!$A$8:$AA$99,14,0)</f>
        <v>3852.9300000000003</v>
      </c>
      <c r="D19" s="1">
        <f>VLOOKUP($A19,期货数据!$A$8:$AA$99,26,0)</f>
        <v>-1.9299999999998363</v>
      </c>
      <c r="E19" s="1" t="str">
        <f>IFERROR(VLOOKUP(A19,手动输入表!$F$2:$J$99,4,0),"无")</f>
        <v>无</v>
      </c>
      <c r="F19" s="1">
        <f>IFERROR(VLOOKUP(A19,手动输入表!$F$2:$J$99,5,0),0)</f>
        <v>0</v>
      </c>
      <c r="G19" s="1">
        <f>VLOOKUP($A19,期货数据!$A$8:$AA$99,15,0)</f>
        <v>7.1300000000001091</v>
      </c>
      <c r="H19">
        <f>VLOOKUP($A19,期货数据!$A$8:$AA$99,27,0)</f>
        <v>-6.1300000000001091</v>
      </c>
      <c r="I19" s="31">
        <f>VLOOKUP($A19,期货数据!$A$8:$AA$99,20,0)</f>
        <v>1.8539705652920351E-3</v>
      </c>
      <c r="M19" s="30">
        <f>VLOOKUP($A19,期货数据!$A$8:$AA$99,14,0)</f>
        <v>3852.9300000000003</v>
      </c>
      <c r="N19" s="30">
        <f>VLOOKUP($A19,期货数据!$A$8:$AA$99,10,0)</f>
        <v>3845.8</v>
      </c>
      <c r="O19" s="30">
        <f>VLOOKUP($A19,期货数据!$A$8:$AA$99,11,0)</f>
        <v>3833.2000000000003</v>
      </c>
      <c r="P19" s="30">
        <f>VLOOKUP($A19,期货数据!$A$8:$AA$99,12,0)</f>
        <v>3814.2000000000003</v>
      </c>
    </row>
    <row r="20" spans="1:16">
      <c r="A20" t="str">
        <f>INDEX(期货数据!$A$8:$A$99,MATCH(ROW()-1,期货数据!$W$8:$W$99,0))</f>
        <v>焦炭</v>
      </c>
      <c r="B20" s="28"/>
      <c r="C20" s="1">
        <f>VLOOKUP($A20,期货数据!$A$8:$AA$99,14,0)</f>
        <v>1880</v>
      </c>
      <c r="D20" s="1">
        <f>VLOOKUP($A20,期货数据!$A$8:$AA$99,26,0)</f>
        <v>0</v>
      </c>
      <c r="E20" s="1" t="str">
        <f>IFERROR(VLOOKUP(A20,手动输入表!$F$2:$J$99,4,0),"无")</f>
        <v>日照</v>
      </c>
      <c r="F20" s="1">
        <f>IFERROR(VLOOKUP(A20,手动输入表!$F$2:$J$99,5,0),0)</f>
        <v>0</v>
      </c>
      <c r="G20" s="1">
        <f>VLOOKUP($A20,期货数据!$A$8:$AA$99,15,0)</f>
        <v>3</v>
      </c>
      <c r="H20">
        <f>VLOOKUP($A20,期货数据!$A$8:$AA$99,27,0)</f>
        <v>12</v>
      </c>
      <c r="I20" s="31">
        <f>VLOOKUP($A20,期货数据!$A$8:$AA$99,20,0)</f>
        <v>1.5982951518380393E-3</v>
      </c>
      <c r="M20" s="30">
        <f>VLOOKUP($A20,期货数据!$A$8:$AA$99,14,0)</f>
        <v>1880</v>
      </c>
      <c r="N20" s="30">
        <f>VLOOKUP($A20,期货数据!$A$8:$AA$99,10,0)</f>
        <v>1877</v>
      </c>
      <c r="O20" s="30">
        <f>VLOOKUP($A20,期货数据!$A$8:$AA$99,11,0)</f>
        <v>1773.5</v>
      </c>
      <c r="P20" s="30">
        <f>VLOOKUP($A20,期货数据!$A$8:$AA$99,12,0)</f>
        <v>1730</v>
      </c>
    </row>
    <row r="21" spans="1:16">
      <c r="A21" t="str">
        <f>INDEX(期货数据!$A$8:$A$99,MATCH(ROW()-1,期货数据!$W$8:$W$99,0))</f>
        <v>上证50</v>
      </c>
      <c r="B21" s="28"/>
      <c r="C21" s="1">
        <f>VLOOKUP($A21,期货数据!$A$8:$AA$99,14,0)</f>
        <v>2715.73</v>
      </c>
      <c r="D21" s="1">
        <f>VLOOKUP($A21,期货数据!$A$8:$AA$99,26,0)</f>
        <v>13.360000000000127</v>
      </c>
      <c r="E21" s="1" t="str">
        <f>IFERROR(VLOOKUP(A21,手动输入表!$F$2:$J$99,4,0),"无")</f>
        <v>无</v>
      </c>
      <c r="F21" s="1">
        <f>IFERROR(VLOOKUP(A21,手动输入表!$F$2:$J$99,5,0),0)</f>
        <v>0</v>
      </c>
      <c r="G21" s="1">
        <f>VLOOKUP($A21,期货数据!$A$8:$AA$99,15,0)</f>
        <v>-2.0700000000001637</v>
      </c>
      <c r="H21">
        <f>VLOOKUP($A21,期货数据!$A$8:$AA$99,27,0)</f>
        <v>-6.4400000000000546</v>
      </c>
      <c r="I21" s="31">
        <f>VLOOKUP($A21,期货数据!$A$8:$AA$99,20,0)</f>
        <v>-7.6164544852460215E-4</v>
      </c>
      <c r="M21" s="30">
        <f>VLOOKUP($A21,期货数据!$A$8:$AA$99,14,0)</f>
        <v>2715.73</v>
      </c>
      <c r="N21" s="30">
        <f>VLOOKUP($A21,期货数据!$A$8:$AA$99,10,0)</f>
        <v>2717.8</v>
      </c>
      <c r="O21" s="30">
        <f>VLOOKUP($A21,期货数据!$A$8:$AA$99,11,0)</f>
        <v>2716.2000000000003</v>
      </c>
      <c r="P21" s="30">
        <f>VLOOKUP($A21,期货数据!$A$8:$AA$99,12,0)</f>
        <v>2704</v>
      </c>
    </row>
    <row r="22" spans="1:16">
      <c r="A22" t="str">
        <f>INDEX(期货数据!$A$8:$A$99,MATCH(ROW()-1,期货数据!$W$8:$W$99,0))</f>
        <v>LLDPE</v>
      </c>
      <c r="B22" s="28"/>
      <c r="C22" s="1">
        <f>VLOOKUP($A22,期货数据!$A$8:$AA$99,14,0)</f>
        <v>9265</v>
      </c>
      <c r="D22" s="1">
        <f>VLOOKUP($A22,期货数据!$A$8:$AA$99,26,0)</f>
        <v>150</v>
      </c>
      <c r="E22" s="1" t="str">
        <f>IFERROR(VLOOKUP(A22,手动输入表!$F$2:$J$99,4,0),"无")</f>
        <v>华北</v>
      </c>
      <c r="F22" s="1">
        <f>IFERROR(VLOOKUP(A22,手动输入表!$F$2:$J$99,5,0),0)</f>
        <v>0</v>
      </c>
      <c r="G22" s="1">
        <f>VLOOKUP($A22,期货数据!$A$8:$AA$99,15,0)</f>
        <v>-30</v>
      </c>
      <c r="H22">
        <f>VLOOKUP($A22,期货数据!$A$8:$AA$99,27,0)</f>
        <v>50</v>
      </c>
      <c r="I22" s="31">
        <f>VLOOKUP($A22,期货数据!$A$8:$AA$99,20,0)</f>
        <v>-3.2275416890801506E-3</v>
      </c>
      <c r="M22" s="30">
        <f>VLOOKUP($A22,期货数据!$A$8:$AA$99,14,0)</f>
        <v>9265</v>
      </c>
      <c r="N22" s="30">
        <f>VLOOKUP($A22,期货数据!$A$8:$AA$99,10,0)</f>
        <v>9295</v>
      </c>
      <c r="O22" s="30">
        <f>VLOOKUP($A22,期货数据!$A$8:$AA$99,11,0)</f>
        <v>9260</v>
      </c>
      <c r="P22" s="30">
        <f>VLOOKUP($A22,期货数据!$A$8:$AA$99,12,0)</f>
        <v>9170</v>
      </c>
    </row>
    <row r="23" spans="1:16">
      <c r="A23" t="str">
        <f>INDEX(期货数据!$A$8:$A$99,MATCH(ROW()-1,期货数据!$W$8:$W$99,0))</f>
        <v>PTA</v>
      </c>
      <c r="B23" s="28"/>
      <c r="C23" s="1">
        <f>VLOOKUP($A23,期货数据!$A$8:$AA$99,14,0)</f>
        <v>5368</v>
      </c>
      <c r="D23" s="1">
        <f>VLOOKUP($A23,期货数据!$A$8:$AA$99,26,0)</f>
        <v>-72</v>
      </c>
      <c r="E23" s="1" t="str">
        <f>IFERROR(VLOOKUP(A23,手动输入表!$F$2:$J$99,4,0),"无")</f>
        <v>华东</v>
      </c>
      <c r="F23" s="1">
        <f>IFERROR(VLOOKUP(A23,手动输入表!$F$2:$J$99,5,0),0)</f>
        <v>0</v>
      </c>
      <c r="G23" s="1">
        <f>VLOOKUP($A23,期货数据!$A$8:$AA$99,15,0)</f>
        <v>-20</v>
      </c>
      <c r="H23">
        <f>VLOOKUP($A23,期货数据!$A$8:$AA$99,27,0)</f>
        <v>-36</v>
      </c>
      <c r="I23" s="31">
        <f>VLOOKUP($A23,期货数据!$A$8:$AA$99,20,0)</f>
        <v>-3.7119524870081661E-3</v>
      </c>
      <c r="M23" s="30">
        <f>VLOOKUP($A23,期货数据!$A$8:$AA$99,14,0)</f>
        <v>5368</v>
      </c>
      <c r="N23" s="30">
        <f>VLOOKUP($A23,期货数据!$A$8:$AA$99,10,0)</f>
        <v>5388</v>
      </c>
      <c r="O23" s="30">
        <f>VLOOKUP($A23,期货数据!$A$8:$AA$99,11,0)</f>
        <v>5376</v>
      </c>
      <c r="P23" s="30">
        <f>VLOOKUP($A23,期货数据!$A$8:$AA$99,12,0)</f>
        <v>5396</v>
      </c>
    </row>
    <row r="24" spans="1:16">
      <c r="A24" t="str">
        <f>INDEX(期货数据!$A$8:$A$99,MATCH(ROW()-1,期货数据!$W$8:$W$99,0))</f>
        <v>棉纱</v>
      </c>
      <c r="B24" s="28"/>
      <c r="C24" s="1">
        <f>VLOOKUP($A24,期货数据!$A$8:$AA$99,14,0)</f>
        <v>23150</v>
      </c>
      <c r="D24" s="1">
        <f>VLOOKUP($A24,期货数据!$A$8:$AA$99,26,0)</f>
        <v>0</v>
      </c>
      <c r="E24" s="1" t="str">
        <f>IFERROR(VLOOKUP(A24,手动输入表!$F$2:$J$99,4,0),"无")</f>
        <v>江苏</v>
      </c>
      <c r="F24" s="1">
        <f>IFERROR(VLOOKUP(A24,手动输入表!$F$2:$J$99,5,0),0)</f>
        <v>0</v>
      </c>
      <c r="G24" s="1">
        <f>VLOOKUP($A24,期货数据!$A$8:$AA$99,15,0)</f>
        <v>-150</v>
      </c>
      <c r="H24">
        <f>VLOOKUP($A24,期货数据!$A$8:$AA$99,27,0)</f>
        <v>0</v>
      </c>
      <c r="I24" s="31">
        <f>VLOOKUP($A24,期货数据!$A$8:$AA$99,20,0)</f>
        <v>-6.4377682403433476E-3</v>
      </c>
      <c r="M24" s="30">
        <f>VLOOKUP($A24,期货数据!$A$8:$AA$99,14,0)</f>
        <v>23150</v>
      </c>
      <c r="N24" s="30">
        <f>VLOOKUP($A24,期货数据!$A$8:$AA$99,10,0)</f>
        <v>23300</v>
      </c>
      <c r="O24" s="30">
        <f>VLOOKUP($A24,期货数据!$A$8:$AA$99,11,0)</f>
        <v>23495</v>
      </c>
      <c r="P24" s="30">
        <f>VLOOKUP($A24,期货数据!$A$8:$AA$99,12,0)</f>
        <v>22985</v>
      </c>
    </row>
    <row r="25" spans="1:16">
      <c r="A25" t="str">
        <f>INDEX(期货数据!$A$8:$A$99,MATCH(ROW()-1,期货数据!$W$8:$W$99,0))</f>
        <v>铜</v>
      </c>
      <c r="B25" s="28"/>
      <c r="C25" s="1">
        <f>VLOOKUP($A25,期货数据!$A$8:$AA$99,14,0)</f>
        <v>50330</v>
      </c>
      <c r="D25" s="1">
        <f>VLOOKUP($A25,期货数据!$A$8:$AA$99,26,0)</f>
        <v>-70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-350</v>
      </c>
      <c r="H25">
        <f>VLOOKUP($A25,期货数据!$A$8:$AA$99,27,0)</f>
        <v>-410</v>
      </c>
      <c r="I25" s="31">
        <f>VLOOKUP($A25,期货数据!$A$8:$AA$99,20,0)</f>
        <v>-6.9060773480662981E-3</v>
      </c>
      <c r="M25" s="30">
        <f>VLOOKUP($A25,期货数据!$A$8:$AA$99,14,0)</f>
        <v>50330</v>
      </c>
      <c r="N25" s="30">
        <f>VLOOKUP($A25,期货数据!$A$8:$AA$99,10,0)</f>
        <v>50680</v>
      </c>
      <c r="O25" s="30">
        <f>VLOOKUP($A25,期货数据!$A$8:$AA$99,11,0)</f>
        <v>50610</v>
      </c>
      <c r="P25" s="30">
        <f>VLOOKUP($A25,期货数据!$A$8:$AA$99,12,0)</f>
        <v>50750</v>
      </c>
    </row>
    <row r="26" spans="1:16">
      <c r="A26" t="str">
        <f>INDEX(期货数据!$A$8:$A$99,MATCH(ROW()-1,期货数据!$W$8:$W$99,0))</f>
        <v>锌</v>
      </c>
      <c r="B26" s="28"/>
      <c r="C26" s="1">
        <f>VLOOKUP($A26,期货数据!$A$8:$AA$99,14,0)</f>
        <v>24390</v>
      </c>
      <c r="D26" s="1">
        <f>VLOOKUP($A26,期货数据!$A$8:$AA$99,26,0)</f>
        <v>-250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-205</v>
      </c>
      <c r="H26">
        <f>VLOOKUP($A26,期货数据!$A$8:$AA$99,27,0)</f>
        <v>-130</v>
      </c>
      <c r="I26" s="31">
        <f>VLOOKUP($A26,期货数据!$A$8:$AA$99,20,0)</f>
        <v>-8.3350274446025614E-3</v>
      </c>
      <c r="M26" s="30">
        <f>VLOOKUP($A26,期货数据!$A$8:$AA$99,14,0)</f>
        <v>24390</v>
      </c>
      <c r="N26" s="30">
        <f>VLOOKUP($A26,期货数据!$A$8:$AA$99,10,0)</f>
        <v>24595</v>
      </c>
      <c r="O26" s="30">
        <f>VLOOKUP($A26,期货数据!$A$8:$AA$99,11,0)</f>
        <v>24470</v>
      </c>
      <c r="P26" s="30">
        <f>VLOOKUP($A26,期货数据!$A$8:$AA$99,12,0)</f>
        <v>24355</v>
      </c>
    </row>
    <row r="27" spans="1:16">
      <c r="A27" t="str">
        <f>INDEX(期货数据!$A$8:$A$99,MATCH(ROW()-1,期货数据!$W$8:$W$99,0))</f>
        <v>铝</v>
      </c>
      <c r="B27" s="28"/>
      <c r="C27" s="1">
        <f>VLOOKUP($A27,期货数据!$A$8:$AA$99,14,0)</f>
        <v>14040</v>
      </c>
      <c r="D27" s="1">
        <f>VLOOKUP($A27,期货数据!$A$8:$AA$99,26,0)</f>
        <v>80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-150</v>
      </c>
      <c r="H27">
        <f>VLOOKUP($A27,期货数据!$A$8:$AA$99,27,0)</f>
        <v>-115</v>
      </c>
      <c r="I27" s="31">
        <f>VLOOKUP($A27,期货数据!$A$8:$AA$99,20,0)</f>
        <v>-1.0570824524312896E-2</v>
      </c>
      <c r="M27" s="30">
        <f>VLOOKUP($A27,期货数据!$A$8:$AA$99,14,0)</f>
        <v>14040</v>
      </c>
      <c r="N27" s="30">
        <f>VLOOKUP($A27,期货数据!$A$8:$AA$99,10,0)</f>
        <v>14190</v>
      </c>
      <c r="O27" s="30">
        <f>VLOOKUP($A27,期货数据!$A$8:$AA$99,11,0)</f>
        <v>14200</v>
      </c>
      <c r="P27" s="30">
        <f>VLOOKUP($A27,期货数据!$A$8:$AA$99,12,0)</f>
        <v>14270</v>
      </c>
    </row>
    <row r="28" spans="1:16">
      <c r="A28" t="str">
        <f>INDEX(期货数据!$A$8:$A$99,MATCH(ROW()-1,期货数据!$W$8:$W$99,0))</f>
        <v>PP</v>
      </c>
      <c r="B28" s="28"/>
      <c r="C28" s="1">
        <f>VLOOKUP($A28,期货数据!$A$8:$AA$99,14,0)</f>
        <v>8848</v>
      </c>
      <c r="D28" s="1">
        <f>VLOOKUP($A28,期货数据!$A$8:$AA$99,26,0)</f>
        <v>132</v>
      </c>
      <c r="E28" s="1" t="str">
        <f>IFERROR(VLOOKUP(A28,手动输入表!$F$2:$J$99,4,0),"无")</f>
        <v>华东</v>
      </c>
      <c r="F28" s="1">
        <f>IFERROR(VLOOKUP(A28,手动输入表!$F$2:$J$99,5,0),0)</f>
        <v>0</v>
      </c>
      <c r="G28" s="1">
        <f>VLOOKUP($A28,期货数据!$A$8:$AA$99,15,0)</f>
        <v>-100</v>
      </c>
      <c r="H28">
        <f>VLOOKUP($A28,期货数据!$A$8:$AA$99,27,0)</f>
        <v>0</v>
      </c>
      <c r="I28" s="31">
        <f>VLOOKUP($A28,期货数据!$A$8:$AA$99,20,0)</f>
        <v>-1.1175681716584712E-2</v>
      </c>
      <c r="M28" s="30">
        <f>VLOOKUP($A28,期货数据!$A$8:$AA$99,14,0)</f>
        <v>8848</v>
      </c>
      <c r="N28" s="30">
        <f>VLOOKUP($A28,期货数据!$A$8:$AA$99,10,0)</f>
        <v>8948</v>
      </c>
      <c r="O28" s="30">
        <f>VLOOKUP($A28,期货数据!$A$8:$AA$99,11,0)</f>
        <v>9062</v>
      </c>
      <c r="P28" s="30">
        <f>VLOOKUP($A28,期货数据!$A$8:$AA$99,12,0)</f>
        <v>8980</v>
      </c>
    </row>
    <row r="29" spans="1:16">
      <c r="A29" t="str">
        <f>INDEX(期货数据!$A$8:$A$99,MATCH(ROW()-1,期货数据!$W$8:$W$99,0))</f>
        <v>镍</v>
      </c>
      <c r="B29" s="28"/>
      <c r="C29" s="1">
        <f>VLOOKUP($A29,期货数据!$A$8:$AA$99,14,0)</f>
        <v>98250</v>
      </c>
      <c r="D29" s="1">
        <f>VLOOKUP($A29,期货数据!$A$8:$AA$99,26,0)</f>
        <v>-1300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-1380</v>
      </c>
      <c r="H29">
        <f>VLOOKUP($A29,期货数据!$A$8:$AA$99,27,0)</f>
        <v>-580</v>
      </c>
      <c r="I29" s="31">
        <f>VLOOKUP($A29,期货数据!$A$8:$AA$99,20,0)</f>
        <v>-1.3851249623607348E-2</v>
      </c>
      <c r="M29" s="30">
        <f>VLOOKUP($A29,期货数据!$A$8:$AA$99,14,0)</f>
        <v>98250</v>
      </c>
      <c r="N29" s="30">
        <f>VLOOKUP($A29,期货数据!$A$8:$AA$99,10,0)</f>
        <v>99630</v>
      </c>
      <c r="O29" s="30">
        <f>VLOOKUP($A29,期货数据!$A$8:$AA$99,11,0)</f>
        <v>100020</v>
      </c>
      <c r="P29" s="30">
        <f>VLOOKUP($A29,期货数据!$A$8:$AA$99,12,0)</f>
        <v>101010</v>
      </c>
    </row>
    <row r="30" spans="1:16">
      <c r="A30" t="str">
        <f>INDEX(期货数据!$A$8:$A$99,MATCH(ROW()-1,期货数据!$W$8:$W$99,0))</f>
        <v>甲醇</v>
      </c>
      <c r="B30" s="28"/>
      <c r="C30" s="1">
        <f>VLOOKUP($A30,期货数据!$A$8:$AA$99,14,0)</f>
        <v>2700</v>
      </c>
      <c r="D30" s="1">
        <f>VLOOKUP($A30,期货数据!$A$8:$AA$99,26,0)</f>
        <v>-50</v>
      </c>
      <c r="E30" s="1" t="str">
        <f>IFERROR(VLOOKUP(A30,手动输入表!$F$2:$J$99,4,0),"无")</f>
        <v>河南</v>
      </c>
      <c r="F30" s="1">
        <f>IFERROR(VLOOKUP(A30,手动输入表!$F$2:$J$99,5,0),0)</f>
        <v>-200</v>
      </c>
      <c r="G30" s="1">
        <f>VLOOKUP($A30,期货数据!$A$8:$AA$99,15,0)</f>
        <v>-42</v>
      </c>
      <c r="H30">
        <f>VLOOKUP($A30,期货数据!$A$8:$AA$99,27,0)</f>
        <v>-122</v>
      </c>
      <c r="I30" s="31">
        <f>VLOOKUP($A30,期货数据!$A$8:$AA$99,20,0)</f>
        <v>-1.5317286652078774E-2</v>
      </c>
      <c r="M30" s="30">
        <f>VLOOKUP($A30,期货数据!$A$8:$AA$99,14,0)</f>
        <v>2700</v>
      </c>
      <c r="N30" s="30">
        <f>VLOOKUP($A30,期货数据!$A$8:$AA$99,10,0)</f>
        <v>2742</v>
      </c>
      <c r="O30" s="30">
        <f>VLOOKUP($A30,期货数据!$A$8:$AA$99,11,0)</f>
        <v>2592</v>
      </c>
      <c r="P30" s="30">
        <f>VLOOKUP($A30,期货数据!$A$8:$AA$99,12,0)</f>
        <v>2647</v>
      </c>
    </row>
    <row r="31" spans="1:16">
      <c r="A31" t="str">
        <f>INDEX(期货数据!$A$8:$A$99,MATCH(ROW()-1,期货数据!$W$8:$W$99,0))</f>
        <v>PVC</v>
      </c>
      <c r="B31" s="28"/>
      <c r="C31" s="1">
        <f>VLOOKUP($A31,期货数据!$A$8:$AA$99,14,0)</f>
        <v>6495</v>
      </c>
      <c r="D31" s="1">
        <f>VLOOKUP($A31,期货数据!$A$8:$AA$99,26,0)</f>
        <v>80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-140</v>
      </c>
      <c r="H31">
        <f>VLOOKUP($A31,期货数据!$A$8:$AA$99,27,0)</f>
        <v>-80</v>
      </c>
      <c r="I31" s="31">
        <f>VLOOKUP($A31,期货数据!$A$8:$AA$99,20,0)</f>
        <v>-2.110022607385079E-2</v>
      </c>
      <c r="M31" s="30">
        <f>VLOOKUP($A31,期货数据!$A$8:$AA$99,14,0)</f>
        <v>6495</v>
      </c>
      <c r="N31" s="30">
        <f>VLOOKUP($A31,期货数据!$A$8:$AA$99,10,0)</f>
        <v>6635</v>
      </c>
      <c r="O31" s="30">
        <f>VLOOKUP($A31,期货数据!$A$8:$AA$99,11,0)</f>
        <v>6680</v>
      </c>
      <c r="P31" s="30">
        <f>VLOOKUP($A31,期货数据!$A$8:$AA$99,12,0)</f>
        <v>6555</v>
      </c>
    </row>
    <row r="32" spans="1:16">
      <c r="A32" t="str">
        <f>INDEX(期货数据!$A$8:$A$99,MATCH(ROW()-1,期货数据!$W$8:$W$99,0))</f>
        <v>豆一</v>
      </c>
      <c r="B32" s="28"/>
      <c r="C32" s="1">
        <f>VLOOKUP($A32,期货数据!$A$8:$AA$99,14,0)</f>
        <v>3690</v>
      </c>
      <c r="D32" s="1">
        <f>VLOOKUP($A32,期货数据!$A$8:$AA$99,26,0)</f>
        <v>0</v>
      </c>
      <c r="E32" s="1" t="str">
        <f>IFERROR(VLOOKUP(A32,手动输入表!$F$2:$J$99,4,0),"无")</f>
        <v>哈尔滨</v>
      </c>
      <c r="F32" s="1">
        <f>IFERROR(VLOOKUP(A32,手动输入表!$F$2:$J$99,5,0),0)</f>
        <v>-150</v>
      </c>
      <c r="G32" s="1">
        <f>VLOOKUP($A32,期货数据!$A$8:$AA$99,15,0)</f>
        <v>-223</v>
      </c>
      <c r="H32">
        <f>VLOOKUP($A32,期货数据!$A$8:$AA$99,27,0)</f>
        <v>-69</v>
      </c>
      <c r="I32" s="31">
        <f>VLOOKUP($A32,期货数据!$A$8:$AA$99,20,0)</f>
        <v>-5.6989522105801174E-2</v>
      </c>
      <c r="M32" s="30">
        <f>VLOOKUP($A32,期货数据!$A$8:$AA$99,14,0)</f>
        <v>3690</v>
      </c>
      <c r="N32" s="30">
        <f>VLOOKUP($A32,期货数据!$A$8:$AA$99,10,0)</f>
        <v>3913</v>
      </c>
      <c r="O32" s="30">
        <f>VLOOKUP($A32,期货数据!$A$8:$AA$99,11,0)</f>
        <v>4031</v>
      </c>
      <c r="P32" s="30">
        <f>VLOOKUP($A32,期货数据!$A$8:$AA$99,12,0)</f>
        <v>4084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10270</v>
      </c>
      <c r="D33" s="1">
        <f>VLOOKUP($A33,期货数据!$A$8:$AA$99,26,0)</f>
        <v>110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-800</v>
      </c>
      <c r="H33">
        <f>VLOOKUP($A33,期货数据!$A$8:$AA$99,27,0)</f>
        <v>0</v>
      </c>
      <c r="I33" s="31">
        <f>VLOOKUP($A33,期货数据!$A$8:$AA$99,20,0)</f>
        <v>-7.2267389340560068E-2</v>
      </c>
      <c r="M33" s="30">
        <f>VLOOKUP($A33,期货数据!$A$8:$AA$99,14,0)</f>
        <v>10270</v>
      </c>
      <c r="N33" s="30">
        <f>VLOOKUP($A33,期货数据!$A$8:$AA$99,10,0)</f>
        <v>11070</v>
      </c>
      <c r="O33" s="30">
        <f>VLOOKUP($A33,期货数据!$A$8:$AA$99,11,0)</f>
        <v>11450</v>
      </c>
      <c r="P33" s="30">
        <f>VLOOKUP($A33,期货数据!$A$8:$AA$99,12,0)</f>
        <v>13510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33"/>
  <sheetViews>
    <sheetView workbookViewId="0">
      <selection activeCell="C33" sqref="C33"/>
    </sheetView>
  </sheetViews>
  <sheetFormatPr defaultRowHeight="13.5"/>
  <cols>
    <col min="45" max="45" width="10.375" customWidth="1"/>
    <col min="46" max="46" width="10.125" customWidth="1"/>
    <col min="47" max="47" width="10.5" bestFit="1" customWidth="1"/>
  </cols>
  <sheetData>
    <row r="1" spans="1:47">
      <c r="A1" t="s">
        <v>0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43140</v>
      </c>
      <c r="AK1" s="11">
        <v>43139</v>
      </c>
      <c r="AL1" s="11">
        <v>43138</v>
      </c>
      <c r="AM1" s="11">
        <v>43137</v>
      </c>
      <c r="AN1" s="11">
        <v>43136</v>
      </c>
      <c r="AO1" s="11">
        <v>43133</v>
      </c>
      <c r="AP1" s="11">
        <v>43132</v>
      </c>
      <c r="AQ1" s="11">
        <v>43131</v>
      </c>
      <c r="AR1" s="11">
        <v>43130</v>
      </c>
      <c r="AS1" s="11">
        <v>43129</v>
      </c>
      <c r="AT1" s="11">
        <v>43126</v>
      </c>
      <c r="AU1" s="11">
        <v>43125</v>
      </c>
    </row>
    <row r="2" spans="1:47">
      <c r="A2" t="s">
        <v>5</v>
      </c>
      <c r="B2">
        <v>3</v>
      </c>
      <c r="C2">
        <v>-9</v>
      </c>
      <c r="D2">
        <v>7.5</v>
      </c>
      <c r="E2">
        <v>32</v>
      </c>
      <c r="F2">
        <v>58</v>
      </c>
      <c r="G2">
        <v>121.5</v>
      </c>
      <c r="H2">
        <v>173.5</v>
      </c>
      <c r="I2">
        <v>109</v>
      </c>
      <c r="J2">
        <v>116.5</v>
      </c>
      <c r="K2">
        <v>198</v>
      </c>
      <c r="L2">
        <v>85.5</v>
      </c>
      <c r="M2">
        <v>93</v>
      </c>
      <c r="N2">
        <v>110</v>
      </c>
      <c r="O2">
        <v>105</v>
      </c>
      <c r="P2">
        <v>54</v>
      </c>
      <c r="Q2">
        <v>101</v>
      </c>
      <c r="R2">
        <v>79</v>
      </c>
      <c r="S2">
        <v>112</v>
      </c>
      <c r="T2">
        <v>98</v>
      </c>
      <c r="U2">
        <v>65</v>
      </c>
      <c r="V2">
        <v>-62</v>
      </c>
      <c r="W2">
        <v>-101</v>
      </c>
      <c r="X2">
        <v>-144</v>
      </c>
      <c r="Y2">
        <v>-127</v>
      </c>
      <c r="Z2">
        <v>-192</v>
      </c>
      <c r="AA2">
        <v>-208.5</v>
      </c>
      <c r="AB2">
        <v>-196</v>
      </c>
      <c r="AC2">
        <v>-223.5</v>
      </c>
      <c r="AD2">
        <v>-229</v>
      </c>
      <c r="AE2">
        <v>-171</v>
      </c>
      <c r="AF2">
        <v>-226</v>
      </c>
      <c r="AG2">
        <v>-191.5</v>
      </c>
      <c r="AH2">
        <v>-161.5</v>
      </c>
      <c r="AI2">
        <v>-160.5</v>
      </c>
      <c r="AJ2">
        <v>-155.5</v>
      </c>
      <c r="AK2">
        <v>-197</v>
      </c>
      <c r="AL2">
        <v>-205.5</v>
      </c>
      <c r="AM2">
        <v>-169.5</v>
      </c>
      <c r="AN2">
        <v>-173.5</v>
      </c>
      <c r="AO2">
        <v>-95</v>
      </c>
      <c r="AP2">
        <v>-49.5</v>
      </c>
      <c r="AQ2">
        <v>43</v>
      </c>
      <c r="AR2">
        <v>37.5</v>
      </c>
      <c r="AS2">
        <v>17.5</v>
      </c>
      <c r="AT2">
        <v>9</v>
      </c>
      <c r="AU2">
        <v>-13.5</v>
      </c>
    </row>
    <row r="3" spans="1:47">
      <c r="A3" t="s">
        <v>7</v>
      </c>
      <c r="B3">
        <v>59</v>
      </c>
      <c r="C3">
        <v>49.5</v>
      </c>
      <c r="D3">
        <v>63.5</v>
      </c>
      <c r="E3">
        <v>69</v>
      </c>
      <c r="F3">
        <v>68.5</v>
      </c>
      <c r="G3">
        <v>99</v>
      </c>
      <c r="H3">
        <v>148.5</v>
      </c>
      <c r="I3">
        <v>128.5</v>
      </c>
      <c r="J3">
        <v>136.5</v>
      </c>
      <c r="K3">
        <v>150</v>
      </c>
      <c r="L3">
        <v>104.5</v>
      </c>
      <c r="M3">
        <v>88.5</v>
      </c>
      <c r="N3">
        <v>91.5</v>
      </c>
      <c r="O3">
        <v>94</v>
      </c>
      <c r="P3">
        <v>91.5</v>
      </c>
      <c r="Q3">
        <v>95</v>
      </c>
      <c r="R3">
        <v>85.5</v>
      </c>
      <c r="S3">
        <v>128.5</v>
      </c>
      <c r="T3">
        <v>114</v>
      </c>
      <c r="U3">
        <v>79.5</v>
      </c>
      <c r="V3">
        <v>55.5</v>
      </c>
      <c r="W3">
        <v>32.5</v>
      </c>
      <c r="X3">
        <v>2</v>
      </c>
      <c r="Y3">
        <v>5.5</v>
      </c>
      <c r="Z3">
        <v>-14</v>
      </c>
      <c r="AA3">
        <v>-21</v>
      </c>
      <c r="AB3">
        <v>-37</v>
      </c>
      <c r="AC3">
        <v>-48.5</v>
      </c>
      <c r="AD3">
        <v>-62</v>
      </c>
      <c r="AE3">
        <v>-48</v>
      </c>
      <c r="AF3">
        <v>-28</v>
      </c>
      <c r="AG3">
        <v>-23.5</v>
      </c>
      <c r="AH3">
        <v>-14.5</v>
      </c>
      <c r="AI3">
        <v>-14</v>
      </c>
      <c r="AJ3">
        <v>-6</v>
      </c>
      <c r="AK3">
        <v>-14</v>
      </c>
      <c r="AL3">
        <v>-18</v>
      </c>
      <c r="AM3">
        <v>-9</v>
      </c>
      <c r="AN3">
        <v>-19</v>
      </c>
      <c r="AO3">
        <v>-11.5</v>
      </c>
      <c r="AP3">
        <v>31</v>
      </c>
      <c r="AQ3">
        <v>6.5</v>
      </c>
      <c r="AR3">
        <v>5</v>
      </c>
      <c r="AS3">
        <v>73.5</v>
      </c>
      <c r="AT3">
        <v>59</v>
      </c>
      <c r="AU3">
        <v>41</v>
      </c>
    </row>
    <row r="4" spans="1:47">
      <c r="A4" t="s">
        <v>4</v>
      </c>
      <c r="B4">
        <v>34.199999999999932</v>
      </c>
      <c r="C4">
        <v>35.399999999999977</v>
      </c>
      <c r="D4">
        <v>37.799999999999955</v>
      </c>
      <c r="E4">
        <v>40.399999999999977</v>
      </c>
      <c r="F4">
        <v>34.399999999999977</v>
      </c>
      <c r="G4">
        <v>41.799999999999955</v>
      </c>
      <c r="H4">
        <v>47.600000000000023</v>
      </c>
      <c r="I4">
        <v>47.199999999999932</v>
      </c>
      <c r="J4">
        <v>47.600000000000023</v>
      </c>
      <c r="K4">
        <v>60.799999999999955</v>
      </c>
      <c r="L4">
        <v>52.399999999999977</v>
      </c>
      <c r="M4">
        <v>53.600000000000023</v>
      </c>
      <c r="N4">
        <v>49.600000000000023</v>
      </c>
      <c r="O4">
        <v>42.399999999999977</v>
      </c>
      <c r="P4">
        <v>33</v>
      </c>
      <c r="Q4">
        <v>31.600000000000023</v>
      </c>
      <c r="R4">
        <v>37</v>
      </c>
      <c r="S4">
        <v>42.600000000000023</v>
      </c>
      <c r="T4">
        <v>42.399999999999977</v>
      </c>
      <c r="U4">
        <v>39.600000000000023</v>
      </c>
      <c r="V4">
        <v>40.600000000000023</v>
      </c>
      <c r="W4">
        <v>51.600000000000023</v>
      </c>
      <c r="X4">
        <v>56.399999999999977</v>
      </c>
      <c r="Y4">
        <v>61.799999999999955</v>
      </c>
      <c r="Z4">
        <v>56.600000000000023</v>
      </c>
      <c r="AA4">
        <v>67.199999999999932</v>
      </c>
      <c r="AB4">
        <v>69</v>
      </c>
      <c r="AC4">
        <v>81.799999999999955</v>
      </c>
      <c r="AD4">
        <v>86.399999999999977</v>
      </c>
      <c r="AE4">
        <v>83.799999999999955</v>
      </c>
      <c r="AF4">
        <v>91</v>
      </c>
      <c r="AG4">
        <v>102.79999999999995</v>
      </c>
      <c r="AH4">
        <v>110</v>
      </c>
      <c r="AI4">
        <v>115.60000000000002</v>
      </c>
      <c r="AJ4">
        <v>101.60000000000002</v>
      </c>
      <c r="AK4">
        <v>103.60000000000002</v>
      </c>
      <c r="AL4">
        <v>96.399999999999977</v>
      </c>
      <c r="AM4">
        <v>110.60000000000002</v>
      </c>
      <c r="AN4">
        <v>103.79999999999995</v>
      </c>
      <c r="AO4">
        <v>103.60000000000002</v>
      </c>
      <c r="AP4">
        <v>98</v>
      </c>
      <c r="AQ4">
        <v>95.600000000000023</v>
      </c>
      <c r="AR4">
        <v>92.199999999999932</v>
      </c>
      <c r="AS4">
        <v>72.199999999999932</v>
      </c>
      <c r="AT4">
        <v>77</v>
      </c>
      <c r="AU4">
        <v>76.600000000000023</v>
      </c>
    </row>
    <row r="5" spans="1:47">
      <c r="A5" t="s">
        <v>20</v>
      </c>
      <c r="B5">
        <v>13.199999999999989</v>
      </c>
      <c r="C5">
        <v>20.899999999999977</v>
      </c>
      <c r="D5">
        <v>18.399999999999977</v>
      </c>
      <c r="E5">
        <v>12.899999999999977</v>
      </c>
      <c r="F5">
        <v>11.5</v>
      </c>
      <c r="G5">
        <v>14</v>
      </c>
      <c r="H5">
        <v>18.800000000000011</v>
      </c>
      <c r="I5">
        <v>10</v>
      </c>
      <c r="J5">
        <v>20.399999999999977</v>
      </c>
      <c r="K5">
        <v>43.399999999999977</v>
      </c>
      <c r="L5">
        <v>14.399999999999977</v>
      </c>
      <c r="M5">
        <v>17.899999999999977</v>
      </c>
      <c r="N5">
        <v>27.300000000000011</v>
      </c>
      <c r="O5">
        <v>43.100000000000023</v>
      </c>
      <c r="P5">
        <v>24.800000000000011</v>
      </c>
      <c r="Q5">
        <v>18.300000000000011</v>
      </c>
      <c r="R5">
        <v>10.300000000000011</v>
      </c>
      <c r="S5">
        <v>21.300000000000011</v>
      </c>
      <c r="T5">
        <v>29.899999999999977</v>
      </c>
      <c r="U5">
        <v>47</v>
      </c>
      <c r="V5">
        <v>46</v>
      </c>
      <c r="W5">
        <v>29</v>
      </c>
      <c r="X5">
        <v>40</v>
      </c>
      <c r="Y5">
        <v>40.5</v>
      </c>
      <c r="Z5">
        <v>29</v>
      </c>
      <c r="AA5">
        <v>21.5</v>
      </c>
      <c r="AB5">
        <v>27.100000000000023</v>
      </c>
      <c r="AC5">
        <v>24.700000000000045</v>
      </c>
      <c r="AD5">
        <v>16.899999999999977</v>
      </c>
      <c r="AE5">
        <v>9.7999999999999545</v>
      </c>
      <c r="AF5">
        <v>11.200000000000045</v>
      </c>
      <c r="AG5">
        <v>10.200000000000045</v>
      </c>
      <c r="AH5">
        <v>20.700000000000045</v>
      </c>
      <c r="AI5">
        <v>22.399999999999977</v>
      </c>
      <c r="AJ5">
        <v>21.899999999999977</v>
      </c>
      <c r="AK5">
        <v>21.399999999999977</v>
      </c>
      <c r="AL5">
        <v>18.899999999999977</v>
      </c>
      <c r="AM5">
        <v>19.100000000000023</v>
      </c>
      <c r="AN5">
        <v>13.600000000000023</v>
      </c>
      <c r="AO5">
        <v>23.299999999999955</v>
      </c>
      <c r="AP5">
        <v>28.200000000000045</v>
      </c>
      <c r="AQ5">
        <v>27.899999999999977</v>
      </c>
      <c r="AR5">
        <v>20.399999999999977</v>
      </c>
      <c r="AS5">
        <v>20.200000000000045</v>
      </c>
      <c r="AT5">
        <v>22.100000000000023</v>
      </c>
      <c r="AU5">
        <v>6.2999999999999545</v>
      </c>
    </row>
    <row r="6" spans="1:47">
      <c r="A6" t="s">
        <v>12</v>
      </c>
      <c r="B6">
        <v>134.5</v>
      </c>
      <c r="C6">
        <v>214</v>
      </c>
      <c r="D6">
        <v>246</v>
      </c>
      <c r="E6">
        <v>254</v>
      </c>
      <c r="F6">
        <v>129</v>
      </c>
      <c r="G6">
        <v>191</v>
      </c>
      <c r="H6">
        <v>246</v>
      </c>
      <c r="I6">
        <v>237</v>
      </c>
      <c r="J6">
        <v>255.5</v>
      </c>
      <c r="K6">
        <v>291</v>
      </c>
      <c r="L6">
        <v>247</v>
      </c>
      <c r="M6">
        <v>269.59999999999991</v>
      </c>
      <c r="N6">
        <v>237.59999999999991</v>
      </c>
      <c r="O6">
        <v>297</v>
      </c>
      <c r="P6">
        <v>249</v>
      </c>
      <c r="Q6">
        <v>228</v>
      </c>
      <c r="R6">
        <v>245</v>
      </c>
      <c r="S6">
        <v>305</v>
      </c>
      <c r="T6">
        <v>291</v>
      </c>
      <c r="U6">
        <v>271</v>
      </c>
      <c r="V6">
        <v>288</v>
      </c>
      <c r="W6">
        <v>234</v>
      </c>
      <c r="X6">
        <v>185</v>
      </c>
      <c r="Y6">
        <v>249</v>
      </c>
      <c r="Z6">
        <v>202</v>
      </c>
      <c r="AA6">
        <v>194</v>
      </c>
      <c r="AB6">
        <v>215</v>
      </c>
      <c r="AC6">
        <v>191</v>
      </c>
      <c r="AD6">
        <v>188</v>
      </c>
      <c r="AE6">
        <v>61</v>
      </c>
      <c r="AF6">
        <v>144</v>
      </c>
      <c r="AG6">
        <v>76</v>
      </c>
      <c r="AH6">
        <v>89</v>
      </c>
      <c r="AI6">
        <v>92</v>
      </c>
      <c r="AJ6">
        <v>115</v>
      </c>
      <c r="AK6">
        <v>80</v>
      </c>
      <c r="AL6">
        <v>73</v>
      </c>
      <c r="AM6">
        <v>67</v>
      </c>
      <c r="AN6">
        <v>43</v>
      </c>
      <c r="AO6">
        <v>49</v>
      </c>
      <c r="AP6">
        <v>79</v>
      </c>
      <c r="AQ6">
        <v>95</v>
      </c>
      <c r="AR6">
        <v>99</v>
      </c>
      <c r="AS6">
        <v>75</v>
      </c>
      <c r="AT6">
        <v>75</v>
      </c>
      <c r="AU6">
        <v>54</v>
      </c>
    </row>
    <row r="7" spans="1:47">
      <c r="A7" t="s">
        <v>9</v>
      </c>
      <c r="B7">
        <v>48</v>
      </c>
      <c r="C7">
        <v>97</v>
      </c>
      <c r="D7">
        <v>142</v>
      </c>
      <c r="E7">
        <v>128</v>
      </c>
      <c r="F7">
        <v>54</v>
      </c>
      <c r="G7">
        <v>149</v>
      </c>
      <c r="H7">
        <v>221</v>
      </c>
      <c r="I7">
        <v>163</v>
      </c>
      <c r="J7">
        <v>257</v>
      </c>
      <c r="K7">
        <v>234</v>
      </c>
      <c r="L7">
        <v>153</v>
      </c>
      <c r="M7">
        <v>165</v>
      </c>
      <c r="N7">
        <v>144</v>
      </c>
      <c r="O7">
        <v>155</v>
      </c>
      <c r="P7">
        <v>93</v>
      </c>
      <c r="Q7">
        <v>88</v>
      </c>
      <c r="R7">
        <v>94</v>
      </c>
      <c r="S7">
        <v>109</v>
      </c>
      <c r="T7">
        <v>99</v>
      </c>
      <c r="U7">
        <v>117</v>
      </c>
      <c r="V7">
        <v>87</v>
      </c>
      <c r="W7">
        <v>144</v>
      </c>
      <c r="X7">
        <v>58</v>
      </c>
      <c r="Y7">
        <v>73</v>
      </c>
      <c r="Z7">
        <v>20</v>
      </c>
      <c r="AA7">
        <v>66</v>
      </c>
      <c r="AB7">
        <v>92</v>
      </c>
      <c r="AC7">
        <v>81</v>
      </c>
      <c r="AD7">
        <v>100</v>
      </c>
      <c r="AE7">
        <v>158</v>
      </c>
      <c r="AF7">
        <v>143</v>
      </c>
      <c r="AG7">
        <v>86</v>
      </c>
      <c r="AH7">
        <v>85</v>
      </c>
      <c r="AI7">
        <v>97</v>
      </c>
      <c r="AJ7">
        <v>112</v>
      </c>
      <c r="AK7">
        <v>43</v>
      </c>
      <c r="AL7">
        <v>68</v>
      </c>
      <c r="AM7">
        <v>70</v>
      </c>
      <c r="AN7">
        <v>52</v>
      </c>
      <c r="AO7">
        <v>47</v>
      </c>
      <c r="AP7">
        <v>108</v>
      </c>
      <c r="AQ7">
        <v>156</v>
      </c>
      <c r="AR7">
        <v>151</v>
      </c>
      <c r="AS7">
        <v>156</v>
      </c>
      <c r="AT7">
        <v>158</v>
      </c>
      <c r="AU7">
        <v>147</v>
      </c>
    </row>
    <row r="8" spans="1:47">
      <c r="A8" t="s">
        <v>31</v>
      </c>
      <c r="B8">
        <v>-800</v>
      </c>
      <c r="C8">
        <v>-800</v>
      </c>
      <c r="D8">
        <v>-800</v>
      </c>
      <c r="E8">
        <v>-800</v>
      </c>
      <c r="F8">
        <v>-800</v>
      </c>
      <c r="G8">
        <v>-700</v>
      </c>
      <c r="H8">
        <v>-770</v>
      </c>
      <c r="I8">
        <v>-775</v>
      </c>
      <c r="J8">
        <v>-800</v>
      </c>
      <c r="K8">
        <v>-805</v>
      </c>
      <c r="L8">
        <v>-850</v>
      </c>
      <c r="M8">
        <v>-815</v>
      </c>
      <c r="N8">
        <v>-850</v>
      </c>
      <c r="O8">
        <v>-850</v>
      </c>
      <c r="P8">
        <v>-860</v>
      </c>
      <c r="Q8">
        <v>-870</v>
      </c>
      <c r="R8">
        <v>-850</v>
      </c>
      <c r="S8">
        <v>-850</v>
      </c>
      <c r="T8">
        <v>-850</v>
      </c>
      <c r="U8">
        <v>-850</v>
      </c>
      <c r="V8">
        <v>-800</v>
      </c>
      <c r="W8">
        <v>-800</v>
      </c>
      <c r="X8">
        <v>-800</v>
      </c>
      <c r="Y8">
        <v>-800</v>
      </c>
      <c r="Z8">
        <v>-790</v>
      </c>
      <c r="AA8">
        <v>-800</v>
      </c>
      <c r="AB8">
        <v>-780</v>
      </c>
      <c r="AC8">
        <v>-900</v>
      </c>
      <c r="AD8">
        <v>-910</v>
      </c>
      <c r="AE8">
        <v>-900</v>
      </c>
      <c r="AF8">
        <v>-1000</v>
      </c>
      <c r="AG8">
        <v>-960</v>
      </c>
      <c r="AH8">
        <v>-910</v>
      </c>
      <c r="AI8">
        <v>-1000</v>
      </c>
      <c r="AJ8">
        <v>-1000</v>
      </c>
      <c r="AK8">
        <v>-1000</v>
      </c>
      <c r="AL8">
        <v>-1200</v>
      </c>
      <c r="AM8">
        <v>-1200</v>
      </c>
      <c r="AN8">
        <v>-1300</v>
      </c>
      <c r="AO8">
        <v>-1485</v>
      </c>
      <c r="AP8">
        <v>-1410</v>
      </c>
      <c r="AQ8">
        <v>-1500</v>
      </c>
      <c r="AR8">
        <v>-1700</v>
      </c>
      <c r="AS8">
        <v>-1800</v>
      </c>
      <c r="AT8">
        <v>-1800</v>
      </c>
      <c r="AU8">
        <v>-1900</v>
      </c>
    </row>
    <row r="9" spans="1:47">
      <c r="A9" t="s">
        <v>17</v>
      </c>
      <c r="B9">
        <v>75</v>
      </c>
      <c r="C9">
        <v>155</v>
      </c>
      <c r="D9">
        <v>150</v>
      </c>
      <c r="E9">
        <v>149</v>
      </c>
      <c r="F9">
        <v>124</v>
      </c>
      <c r="G9">
        <v>160</v>
      </c>
      <c r="H9">
        <v>167</v>
      </c>
      <c r="I9">
        <v>165</v>
      </c>
      <c r="J9">
        <v>154</v>
      </c>
      <c r="K9">
        <v>165</v>
      </c>
      <c r="L9">
        <v>153</v>
      </c>
      <c r="M9">
        <v>80</v>
      </c>
      <c r="N9">
        <v>77</v>
      </c>
      <c r="O9">
        <v>37</v>
      </c>
      <c r="P9">
        <v>49</v>
      </c>
      <c r="Q9">
        <v>63</v>
      </c>
      <c r="R9">
        <v>52</v>
      </c>
      <c r="S9">
        <v>9</v>
      </c>
      <c r="T9">
        <v>7</v>
      </c>
      <c r="U9">
        <v>19</v>
      </c>
      <c r="V9">
        <v>14</v>
      </c>
      <c r="W9">
        <v>0</v>
      </c>
      <c r="X9">
        <v>-4</v>
      </c>
      <c r="Y9">
        <v>-4</v>
      </c>
      <c r="Z9">
        <v>-18</v>
      </c>
      <c r="AA9">
        <v>-17</v>
      </c>
      <c r="AB9">
        <v>-14</v>
      </c>
      <c r="AC9">
        <v>-12</v>
      </c>
      <c r="AD9">
        <v>-39</v>
      </c>
      <c r="AE9">
        <v>-38</v>
      </c>
      <c r="AF9">
        <v>4</v>
      </c>
      <c r="AG9">
        <v>-11</v>
      </c>
      <c r="AH9">
        <v>4</v>
      </c>
      <c r="AI9">
        <v>8</v>
      </c>
      <c r="AJ9">
        <v>-1</v>
      </c>
      <c r="AK9">
        <v>-16</v>
      </c>
      <c r="AL9">
        <v>-38</v>
      </c>
      <c r="AM9">
        <v>-32</v>
      </c>
      <c r="AN9">
        <v>-36</v>
      </c>
      <c r="AO9">
        <v>-37</v>
      </c>
      <c r="AP9">
        <v>-13</v>
      </c>
      <c r="AQ9">
        <v>-28</v>
      </c>
      <c r="AR9">
        <v>-44</v>
      </c>
      <c r="AS9">
        <v>-47</v>
      </c>
      <c r="AT9">
        <v>-35</v>
      </c>
      <c r="AU9">
        <v>-38</v>
      </c>
    </row>
    <row r="10" spans="1:47">
      <c r="A10" t="s">
        <v>32</v>
      </c>
      <c r="B10">
        <v>-140</v>
      </c>
      <c r="C10">
        <v>-60</v>
      </c>
      <c r="D10">
        <v>-60</v>
      </c>
      <c r="E10">
        <v>-80</v>
      </c>
      <c r="F10">
        <v>-120</v>
      </c>
      <c r="G10">
        <v>-20</v>
      </c>
      <c r="H10">
        <v>110</v>
      </c>
      <c r="I10">
        <v>-40</v>
      </c>
      <c r="J10">
        <v>-40</v>
      </c>
      <c r="K10">
        <v>-5</v>
      </c>
      <c r="L10">
        <v>-65</v>
      </c>
      <c r="M10">
        <v>-60</v>
      </c>
      <c r="N10">
        <v>-75</v>
      </c>
      <c r="O10">
        <v>-55</v>
      </c>
      <c r="P10">
        <v>-75</v>
      </c>
      <c r="Q10">
        <v>-55</v>
      </c>
      <c r="R10">
        <v>-55</v>
      </c>
      <c r="S10">
        <v>-20</v>
      </c>
      <c r="T10">
        <v>35</v>
      </c>
      <c r="U10">
        <v>-65</v>
      </c>
      <c r="V10">
        <v>135</v>
      </c>
      <c r="W10">
        <v>-15</v>
      </c>
      <c r="X10">
        <v>-20</v>
      </c>
      <c r="Y10">
        <v>10</v>
      </c>
      <c r="Z10">
        <v>-105</v>
      </c>
      <c r="AA10">
        <v>-95</v>
      </c>
      <c r="AB10">
        <v>-15</v>
      </c>
      <c r="AC10">
        <v>5</v>
      </c>
      <c r="AD10">
        <v>-50</v>
      </c>
      <c r="AE10">
        <v>45</v>
      </c>
      <c r="AF10">
        <v>-65</v>
      </c>
      <c r="AG10">
        <v>-65</v>
      </c>
      <c r="AH10">
        <v>-70</v>
      </c>
      <c r="AI10">
        <v>10</v>
      </c>
      <c r="AJ10">
        <v>-65</v>
      </c>
      <c r="AK10">
        <v>-105</v>
      </c>
      <c r="AL10">
        <v>-120</v>
      </c>
      <c r="AM10">
        <v>-45</v>
      </c>
      <c r="AN10">
        <v>-90</v>
      </c>
      <c r="AO10">
        <v>-100</v>
      </c>
      <c r="AP10">
        <v>20</v>
      </c>
      <c r="AQ10">
        <v>-175</v>
      </c>
      <c r="AR10">
        <v>-110</v>
      </c>
      <c r="AS10">
        <v>-115</v>
      </c>
      <c r="AT10">
        <v>-265</v>
      </c>
      <c r="AU10">
        <v>-140</v>
      </c>
    </row>
    <row r="11" spans="1:47">
      <c r="A11" t="s">
        <v>21</v>
      </c>
      <c r="B11">
        <v>-30</v>
      </c>
      <c r="C11">
        <v>-80</v>
      </c>
      <c r="D11">
        <v>-80</v>
      </c>
      <c r="E11">
        <v>-40</v>
      </c>
      <c r="F11">
        <v>-40</v>
      </c>
      <c r="G11">
        <v>-40</v>
      </c>
      <c r="H11">
        <v>-50</v>
      </c>
      <c r="I11">
        <v>-75</v>
      </c>
      <c r="J11">
        <v>-125</v>
      </c>
      <c r="K11">
        <v>-80</v>
      </c>
      <c r="L11">
        <v>-100</v>
      </c>
      <c r="M11">
        <v>-100</v>
      </c>
      <c r="N11">
        <v>-100</v>
      </c>
      <c r="O11">
        <v>-100</v>
      </c>
      <c r="P11">
        <v>-125</v>
      </c>
      <c r="Q11">
        <v>-145</v>
      </c>
      <c r="R11">
        <v>-100</v>
      </c>
      <c r="S11">
        <v>-85</v>
      </c>
      <c r="T11">
        <v>-115</v>
      </c>
      <c r="U11">
        <v>-100</v>
      </c>
      <c r="V11">
        <v>-100</v>
      </c>
      <c r="W11">
        <v>-95</v>
      </c>
      <c r="X11">
        <v>-135</v>
      </c>
      <c r="Y11">
        <v>-150</v>
      </c>
      <c r="Z11">
        <v>-170</v>
      </c>
      <c r="AA11">
        <v>-200</v>
      </c>
      <c r="AB11">
        <v>-150</v>
      </c>
      <c r="AC11">
        <v>-165</v>
      </c>
      <c r="AD11">
        <v>-140</v>
      </c>
      <c r="AE11">
        <v>-70</v>
      </c>
      <c r="AF11">
        <v>-100</v>
      </c>
      <c r="AG11">
        <v>-70</v>
      </c>
      <c r="AH11">
        <v>-70</v>
      </c>
      <c r="AI11">
        <v>-70</v>
      </c>
      <c r="AJ11">
        <v>-85</v>
      </c>
      <c r="AK11">
        <v>-85</v>
      </c>
      <c r="AL11">
        <v>-40</v>
      </c>
      <c r="AM11">
        <v>-70</v>
      </c>
      <c r="AN11">
        <v>-115</v>
      </c>
      <c r="AO11">
        <v>-83</v>
      </c>
      <c r="AP11">
        <v>-75</v>
      </c>
      <c r="AQ11">
        <v>-80</v>
      </c>
      <c r="AR11">
        <v>10</v>
      </c>
      <c r="AS11">
        <v>-100</v>
      </c>
      <c r="AT11">
        <v>-180</v>
      </c>
      <c r="AU11">
        <v>-115</v>
      </c>
    </row>
    <row r="12" spans="1:47">
      <c r="A12" t="s">
        <v>33</v>
      </c>
      <c r="B12">
        <v>-100</v>
      </c>
      <c r="C12">
        <v>-100</v>
      </c>
      <c r="D12">
        <v>-100</v>
      </c>
      <c r="E12">
        <v>-110</v>
      </c>
      <c r="F12">
        <v>-110</v>
      </c>
      <c r="G12">
        <v>-110</v>
      </c>
      <c r="H12">
        <v>-120</v>
      </c>
      <c r="I12">
        <v>-165</v>
      </c>
      <c r="J12">
        <v>-125</v>
      </c>
      <c r="K12">
        <v>-100</v>
      </c>
      <c r="L12">
        <v>-130</v>
      </c>
      <c r="M12">
        <v>-130</v>
      </c>
      <c r="N12">
        <v>-150</v>
      </c>
      <c r="O12">
        <v>-150</v>
      </c>
      <c r="P12">
        <v>-125</v>
      </c>
      <c r="Q12">
        <v>-107</v>
      </c>
      <c r="R12">
        <v>-140</v>
      </c>
      <c r="S12">
        <v>-114</v>
      </c>
      <c r="T12">
        <v>-150</v>
      </c>
      <c r="U12">
        <v>-120</v>
      </c>
      <c r="V12">
        <v>-130</v>
      </c>
      <c r="W12">
        <v>-118</v>
      </c>
      <c r="X12">
        <v>-160</v>
      </c>
      <c r="Y12">
        <v>-130</v>
      </c>
      <c r="Z12">
        <v>-145</v>
      </c>
      <c r="AA12">
        <v>-172</v>
      </c>
      <c r="AB12">
        <v>-111</v>
      </c>
      <c r="AC12">
        <v>-133</v>
      </c>
      <c r="AD12">
        <v>-129</v>
      </c>
      <c r="AE12">
        <v>-132</v>
      </c>
      <c r="AF12">
        <v>-125</v>
      </c>
      <c r="AG12">
        <v>-75</v>
      </c>
      <c r="AH12">
        <v>-75</v>
      </c>
      <c r="AI12">
        <v>-75</v>
      </c>
      <c r="AJ12">
        <v>-74</v>
      </c>
      <c r="AK12">
        <v>-75</v>
      </c>
      <c r="AL12">
        <v>-75</v>
      </c>
      <c r="AM12">
        <v>-65</v>
      </c>
      <c r="AN12">
        <v>-122</v>
      </c>
      <c r="AO12">
        <v>-75</v>
      </c>
      <c r="AP12">
        <v>-69</v>
      </c>
      <c r="AQ12">
        <v>-60</v>
      </c>
      <c r="AR12">
        <v>-12</v>
      </c>
      <c r="AS12">
        <v>-65</v>
      </c>
      <c r="AT12">
        <v>-150</v>
      </c>
      <c r="AU12">
        <v>-83</v>
      </c>
    </row>
    <row r="13" spans="1:47">
      <c r="A13" t="s">
        <v>13</v>
      </c>
      <c r="B13">
        <v>-20</v>
      </c>
      <c r="C13">
        <v>16</v>
      </c>
      <c r="D13">
        <v>-6</v>
      </c>
      <c r="E13">
        <v>20</v>
      </c>
      <c r="F13">
        <v>24</v>
      </c>
      <c r="G13">
        <v>10</v>
      </c>
      <c r="H13">
        <v>-18</v>
      </c>
      <c r="I13">
        <v>-22</v>
      </c>
      <c r="J13">
        <v>-6</v>
      </c>
      <c r="K13">
        <v>6</v>
      </c>
      <c r="L13">
        <v>3</v>
      </c>
      <c r="M13">
        <v>24</v>
      </c>
      <c r="N13">
        <v>38</v>
      </c>
      <c r="O13">
        <v>55</v>
      </c>
      <c r="P13">
        <v>76</v>
      </c>
      <c r="Q13">
        <v>100</v>
      </c>
      <c r="R13">
        <v>120</v>
      </c>
      <c r="S13">
        <v>42</v>
      </c>
      <c r="T13">
        <v>102</v>
      </c>
      <c r="U13">
        <v>88</v>
      </c>
      <c r="V13">
        <v>179</v>
      </c>
      <c r="W13">
        <v>202</v>
      </c>
      <c r="X13">
        <v>191</v>
      </c>
      <c r="Y13">
        <v>150</v>
      </c>
      <c r="Z13">
        <v>172</v>
      </c>
      <c r="AA13">
        <v>81</v>
      </c>
      <c r="AB13">
        <v>115</v>
      </c>
      <c r="AC13">
        <v>129</v>
      </c>
      <c r="AD13">
        <v>152</v>
      </c>
      <c r="AE13">
        <v>150</v>
      </c>
      <c r="AF13">
        <v>175</v>
      </c>
      <c r="AG13">
        <v>2</v>
      </c>
      <c r="AH13">
        <v>22</v>
      </c>
      <c r="AI13">
        <v>10</v>
      </c>
      <c r="AJ13">
        <v>10</v>
      </c>
      <c r="AK13">
        <v>-10</v>
      </c>
      <c r="AL13">
        <v>6</v>
      </c>
      <c r="AM13">
        <v>-30</v>
      </c>
      <c r="AN13">
        <v>-45</v>
      </c>
      <c r="AO13">
        <v>-38</v>
      </c>
      <c r="AP13">
        <v>-22</v>
      </c>
      <c r="AQ13">
        <v>-61</v>
      </c>
      <c r="AR13">
        <v>-75</v>
      </c>
      <c r="AS13">
        <v>-40</v>
      </c>
      <c r="AT13">
        <v>-35</v>
      </c>
      <c r="AU13">
        <v>-37</v>
      </c>
    </row>
    <row r="14" spans="1:47">
      <c r="A14" t="s">
        <v>26</v>
      </c>
      <c r="B14">
        <v>14</v>
      </c>
      <c r="C14">
        <v>-59</v>
      </c>
      <c r="D14">
        <v>-67</v>
      </c>
      <c r="E14">
        <v>-119</v>
      </c>
      <c r="F14">
        <v>-161</v>
      </c>
      <c r="G14">
        <v>-127</v>
      </c>
      <c r="H14">
        <v>-107</v>
      </c>
      <c r="I14">
        <v>-117</v>
      </c>
      <c r="J14">
        <v>-119</v>
      </c>
      <c r="K14">
        <v>-59</v>
      </c>
      <c r="L14">
        <v>-75</v>
      </c>
      <c r="M14">
        <v>-61</v>
      </c>
      <c r="N14">
        <v>-55</v>
      </c>
      <c r="O14">
        <v>-35</v>
      </c>
      <c r="P14">
        <v>-16</v>
      </c>
      <c r="Q14">
        <v>14</v>
      </c>
      <c r="R14">
        <v>26</v>
      </c>
      <c r="S14">
        <v>36</v>
      </c>
      <c r="T14">
        <v>-30</v>
      </c>
      <c r="U14">
        <v>4</v>
      </c>
      <c r="V14">
        <v>-8</v>
      </c>
      <c r="W14">
        <v>-10</v>
      </c>
      <c r="X14">
        <v>-28</v>
      </c>
      <c r="Y14">
        <v>-18</v>
      </c>
      <c r="Z14">
        <v>-70</v>
      </c>
      <c r="AA14">
        <v>-80</v>
      </c>
      <c r="AB14">
        <v>-96</v>
      </c>
      <c r="AC14">
        <v>-80</v>
      </c>
      <c r="AD14">
        <v>-94</v>
      </c>
      <c r="AE14">
        <v>-78</v>
      </c>
      <c r="AF14">
        <v>-30</v>
      </c>
      <c r="AG14">
        <v>16</v>
      </c>
      <c r="AH14">
        <v>2</v>
      </c>
      <c r="AI14">
        <v>-6</v>
      </c>
      <c r="AJ14">
        <v>-42</v>
      </c>
      <c r="AK14">
        <v>-66</v>
      </c>
      <c r="AL14">
        <v>-164</v>
      </c>
      <c r="AM14">
        <v>-158</v>
      </c>
      <c r="AN14">
        <v>-214</v>
      </c>
      <c r="AO14">
        <v>-290</v>
      </c>
      <c r="AP14">
        <v>-276</v>
      </c>
      <c r="AQ14">
        <v>-298</v>
      </c>
      <c r="AR14">
        <v>-294</v>
      </c>
      <c r="AS14">
        <v>-328</v>
      </c>
      <c r="AT14">
        <v>-464</v>
      </c>
      <c r="AU14">
        <v>-516</v>
      </c>
    </row>
    <row r="15" spans="1:47">
      <c r="A15" t="s">
        <v>6</v>
      </c>
      <c r="B15">
        <v>-42</v>
      </c>
      <c r="C15">
        <v>80</v>
      </c>
      <c r="D15">
        <v>112</v>
      </c>
      <c r="E15">
        <v>86</v>
      </c>
      <c r="F15">
        <v>81</v>
      </c>
      <c r="G15">
        <v>86</v>
      </c>
      <c r="H15">
        <v>114</v>
      </c>
      <c r="I15">
        <v>166</v>
      </c>
      <c r="J15">
        <v>152</v>
      </c>
      <c r="K15">
        <v>130</v>
      </c>
      <c r="L15">
        <v>32</v>
      </c>
      <c r="M15">
        <v>73</v>
      </c>
      <c r="N15">
        <v>63</v>
      </c>
      <c r="O15">
        <v>11</v>
      </c>
      <c r="P15">
        <v>103</v>
      </c>
      <c r="Q15">
        <v>24</v>
      </c>
      <c r="R15">
        <v>-48</v>
      </c>
      <c r="S15">
        <v>-65</v>
      </c>
      <c r="T15">
        <v>-53</v>
      </c>
      <c r="U15">
        <v>-241</v>
      </c>
      <c r="V15">
        <v>-192</v>
      </c>
      <c r="W15">
        <v>-126</v>
      </c>
      <c r="X15">
        <v>-118</v>
      </c>
      <c r="Y15">
        <v>-78</v>
      </c>
      <c r="Z15">
        <v>-47</v>
      </c>
      <c r="AA15">
        <v>-13</v>
      </c>
      <c r="AB15">
        <v>23</v>
      </c>
      <c r="AC15">
        <v>24</v>
      </c>
      <c r="AD15">
        <v>49</v>
      </c>
      <c r="AE15">
        <v>-15</v>
      </c>
      <c r="AF15">
        <v>71</v>
      </c>
      <c r="AG15">
        <v>81</v>
      </c>
      <c r="AH15">
        <v>83</v>
      </c>
      <c r="AI15">
        <v>78</v>
      </c>
      <c r="AJ15">
        <v>32</v>
      </c>
      <c r="AK15">
        <v>13</v>
      </c>
      <c r="AL15">
        <v>21</v>
      </c>
      <c r="AM15">
        <v>14</v>
      </c>
      <c r="AN15">
        <v>147</v>
      </c>
      <c r="AO15">
        <v>176</v>
      </c>
      <c r="AP15">
        <v>218</v>
      </c>
      <c r="AQ15">
        <v>206</v>
      </c>
      <c r="AR15">
        <v>187</v>
      </c>
      <c r="AS15">
        <v>253</v>
      </c>
      <c r="AT15">
        <v>273</v>
      </c>
      <c r="AU15">
        <v>258</v>
      </c>
    </row>
    <row r="16" spans="1:47">
      <c r="A16" t="s">
        <v>15</v>
      </c>
      <c r="B16">
        <v>-223</v>
      </c>
      <c r="C16">
        <v>-154</v>
      </c>
      <c r="D16">
        <v>-97</v>
      </c>
      <c r="E16">
        <v>-73</v>
      </c>
      <c r="F16">
        <v>-55</v>
      </c>
      <c r="G16">
        <v>-55</v>
      </c>
      <c r="H16">
        <v>-48</v>
      </c>
      <c r="I16">
        <v>-62</v>
      </c>
      <c r="J16">
        <v>-77</v>
      </c>
      <c r="K16">
        <v>-109</v>
      </c>
      <c r="L16">
        <v>-65</v>
      </c>
      <c r="M16">
        <v>-65</v>
      </c>
      <c r="N16">
        <v>-57</v>
      </c>
      <c r="O16">
        <v>-64</v>
      </c>
      <c r="P16">
        <v>-55</v>
      </c>
      <c r="Q16">
        <v>12</v>
      </c>
      <c r="R16">
        <v>24</v>
      </c>
      <c r="S16">
        <v>34</v>
      </c>
      <c r="T16">
        <v>39</v>
      </c>
      <c r="U16">
        <v>16</v>
      </c>
      <c r="V16">
        <v>-46</v>
      </c>
      <c r="W16">
        <v>-25</v>
      </c>
      <c r="X16">
        <v>-41</v>
      </c>
      <c r="Y16">
        <v>-50</v>
      </c>
      <c r="Z16">
        <v>-61</v>
      </c>
      <c r="AA16">
        <v>-27</v>
      </c>
      <c r="AB16">
        <v>-10</v>
      </c>
      <c r="AC16">
        <v>-1</v>
      </c>
      <c r="AD16">
        <v>18</v>
      </c>
      <c r="AE16">
        <v>22</v>
      </c>
      <c r="AF16">
        <v>37</v>
      </c>
      <c r="AG16">
        <v>82</v>
      </c>
      <c r="AH16">
        <v>89</v>
      </c>
      <c r="AI16">
        <v>88</v>
      </c>
      <c r="AJ16">
        <v>90</v>
      </c>
      <c r="AK16">
        <v>112</v>
      </c>
      <c r="AL16">
        <v>131</v>
      </c>
      <c r="AM16">
        <v>150</v>
      </c>
      <c r="AN16">
        <v>156</v>
      </c>
      <c r="AO16">
        <v>183</v>
      </c>
      <c r="AP16">
        <v>178</v>
      </c>
      <c r="AQ16">
        <v>119</v>
      </c>
      <c r="AR16">
        <v>114</v>
      </c>
      <c r="AS16">
        <v>122</v>
      </c>
      <c r="AT16">
        <v>123</v>
      </c>
      <c r="AU16">
        <v>114</v>
      </c>
    </row>
    <row r="17" spans="1:47">
      <c r="A17" t="s">
        <v>11</v>
      </c>
      <c r="B17">
        <v>67</v>
      </c>
      <c r="C17">
        <v>75</v>
      </c>
      <c r="D17">
        <v>92</v>
      </c>
      <c r="E17">
        <v>97</v>
      </c>
      <c r="F17">
        <v>51</v>
      </c>
      <c r="G17">
        <v>83</v>
      </c>
      <c r="H17">
        <v>68</v>
      </c>
      <c r="I17">
        <v>60</v>
      </c>
      <c r="J17">
        <v>70</v>
      </c>
      <c r="K17">
        <v>58</v>
      </c>
      <c r="L17">
        <v>99</v>
      </c>
      <c r="M17">
        <v>80</v>
      </c>
      <c r="N17">
        <v>92</v>
      </c>
      <c r="O17">
        <v>136</v>
      </c>
      <c r="P17">
        <v>94</v>
      </c>
      <c r="Q17">
        <v>104</v>
      </c>
      <c r="R17">
        <v>115</v>
      </c>
      <c r="S17">
        <v>120</v>
      </c>
      <c r="T17">
        <v>116</v>
      </c>
      <c r="U17">
        <v>123</v>
      </c>
      <c r="V17">
        <v>105</v>
      </c>
      <c r="W17">
        <v>110</v>
      </c>
      <c r="X17">
        <v>110</v>
      </c>
      <c r="Y17">
        <v>140</v>
      </c>
      <c r="Z17">
        <v>101</v>
      </c>
      <c r="AA17">
        <v>66</v>
      </c>
      <c r="AB17">
        <v>67</v>
      </c>
      <c r="AC17">
        <v>88</v>
      </c>
      <c r="AD17">
        <v>88</v>
      </c>
      <c r="AE17">
        <v>53</v>
      </c>
      <c r="AF17">
        <v>-39</v>
      </c>
      <c r="AG17">
        <v>63</v>
      </c>
      <c r="AH17">
        <v>77</v>
      </c>
      <c r="AI17">
        <v>29</v>
      </c>
      <c r="AJ17">
        <v>69</v>
      </c>
      <c r="AK17">
        <v>54</v>
      </c>
      <c r="AL17">
        <v>55</v>
      </c>
      <c r="AM17">
        <v>56</v>
      </c>
      <c r="AN17">
        <v>61</v>
      </c>
      <c r="AO17">
        <v>73</v>
      </c>
      <c r="AP17">
        <v>61</v>
      </c>
      <c r="AQ17">
        <v>35</v>
      </c>
      <c r="AR17">
        <v>46</v>
      </c>
      <c r="AS17">
        <v>22</v>
      </c>
      <c r="AT17">
        <v>59</v>
      </c>
      <c r="AU17">
        <v>59</v>
      </c>
    </row>
    <row r="18" spans="1:47">
      <c r="A18" t="s">
        <v>23</v>
      </c>
      <c r="B18">
        <v>29</v>
      </c>
      <c r="C18">
        <v>-40</v>
      </c>
      <c r="D18">
        <v>-18</v>
      </c>
      <c r="E18">
        <v>4</v>
      </c>
      <c r="F18">
        <v>-1</v>
      </c>
      <c r="G18">
        <v>25</v>
      </c>
      <c r="H18">
        <v>11</v>
      </c>
      <c r="I18">
        <v>19</v>
      </c>
      <c r="J18">
        <v>-18</v>
      </c>
      <c r="K18">
        <v>-2</v>
      </c>
      <c r="L18">
        <v>19</v>
      </c>
      <c r="M18">
        <v>-25</v>
      </c>
      <c r="N18">
        <v>-7</v>
      </c>
      <c r="O18">
        <v>-14</v>
      </c>
      <c r="P18">
        <v>4</v>
      </c>
      <c r="Q18">
        <v>20</v>
      </c>
      <c r="R18">
        <v>20</v>
      </c>
      <c r="S18">
        <v>-10</v>
      </c>
      <c r="T18">
        <v>-10</v>
      </c>
      <c r="U18">
        <v>-10</v>
      </c>
      <c r="V18">
        <v>-10</v>
      </c>
      <c r="W18">
        <v>-10</v>
      </c>
      <c r="X18">
        <v>-10</v>
      </c>
      <c r="Y18">
        <v>0</v>
      </c>
      <c r="Z18">
        <v>0</v>
      </c>
      <c r="AA18">
        <v>-30</v>
      </c>
      <c r="AB18">
        <v>-30</v>
      </c>
      <c r="AC18">
        <v>-30</v>
      </c>
      <c r="AD18">
        <v>-26</v>
      </c>
      <c r="AE18">
        <v>-31</v>
      </c>
      <c r="AF18">
        <v>-174</v>
      </c>
      <c r="AG18">
        <v>-90</v>
      </c>
      <c r="AH18">
        <v>-81</v>
      </c>
      <c r="AI18">
        <v>-90</v>
      </c>
      <c r="AJ18">
        <v>-44</v>
      </c>
      <c r="AK18">
        <v>-48</v>
      </c>
      <c r="AL18">
        <v>-45</v>
      </c>
      <c r="AM18">
        <v>-33</v>
      </c>
      <c r="AN18">
        <v>-33</v>
      </c>
      <c r="AO18">
        <v>-41</v>
      </c>
      <c r="AP18">
        <v>-48</v>
      </c>
      <c r="AQ18">
        <v>-45</v>
      </c>
      <c r="AR18">
        <v>-53</v>
      </c>
      <c r="AS18">
        <v>-40</v>
      </c>
      <c r="AT18">
        <v>-48</v>
      </c>
      <c r="AU18">
        <v>-65</v>
      </c>
    </row>
    <row r="19" spans="1:47">
      <c r="A19" t="s">
        <v>14</v>
      </c>
      <c r="B19">
        <v>53</v>
      </c>
      <c r="C19">
        <v>51</v>
      </c>
      <c r="D19">
        <v>64</v>
      </c>
      <c r="E19">
        <v>61</v>
      </c>
      <c r="F19">
        <v>105</v>
      </c>
      <c r="G19">
        <v>105</v>
      </c>
      <c r="H19">
        <v>98</v>
      </c>
      <c r="I19">
        <v>108</v>
      </c>
      <c r="J19">
        <v>104</v>
      </c>
      <c r="K19">
        <v>131</v>
      </c>
      <c r="L19">
        <v>136</v>
      </c>
      <c r="M19">
        <v>133</v>
      </c>
      <c r="N19">
        <v>130</v>
      </c>
      <c r="O19">
        <v>116</v>
      </c>
      <c r="P19">
        <v>107</v>
      </c>
      <c r="Q19">
        <v>124</v>
      </c>
      <c r="R19">
        <v>122</v>
      </c>
      <c r="S19">
        <v>127</v>
      </c>
      <c r="T19">
        <v>130</v>
      </c>
      <c r="U19">
        <v>128</v>
      </c>
      <c r="V19">
        <v>116</v>
      </c>
      <c r="W19">
        <v>93</v>
      </c>
      <c r="X19">
        <v>63</v>
      </c>
      <c r="Y19">
        <v>71</v>
      </c>
      <c r="Z19">
        <v>60</v>
      </c>
      <c r="AA19">
        <v>72</v>
      </c>
      <c r="AB19">
        <v>63</v>
      </c>
      <c r="AC19">
        <v>62</v>
      </c>
      <c r="AD19">
        <v>61</v>
      </c>
      <c r="AE19">
        <v>57</v>
      </c>
      <c r="AF19">
        <v>51</v>
      </c>
      <c r="AG19">
        <v>58</v>
      </c>
      <c r="AH19">
        <v>70</v>
      </c>
      <c r="AI19">
        <v>52</v>
      </c>
      <c r="AJ19">
        <v>46</v>
      </c>
      <c r="AK19">
        <v>44</v>
      </c>
      <c r="AL19">
        <v>45</v>
      </c>
      <c r="AM19">
        <v>55</v>
      </c>
      <c r="AN19">
        <v>54</v>
      </c>
      <c r="AO19">
        <v>46</v>
      </c>
      <c r="AP19">
        <v>45</v>
      </c>
      <c r="AQ19">
        <v>62</v>
      </c>
      <c r="AR19">
        <v>58</v>
      </c>
      <c r="AS19">
        <v>55</v>
      </c>
      <c r="AT19">
        <v>54</v>
      </c>
      <c r="AU19">
        <v>53</v>
      </c>
    </row>
    <row r="20" spans="1:47">
      <c r="A20" t="s">
        <v>8</v>
      </c>
      <c r="B20">
        <v>79</v>
      </c>
      <c r="C20">
        <v>35</v>
      </c>
      <c r="D20">
        <v>116</v>
      </c>
      <c r="E20">
        <v>112</v>
      </c>
      <c r="F20">
        <v>103</v>
      </c>
      <c r="G20">
        <v>104</v>
      </c>
      <c r="H20">
        <v>81</v>
      </c>
      <c r="I20">
        <v>124</v>
      </c>
      <c r="J20">
        <v>117</v>
      </c>
      <c r="K20">
        <v>123</v>
      </c>
      <c r="L20">
        <v>175</v>
      </c>
      <c r="M20">
        <v>158</v>
      </c>
      <c r="N20">
        <v>161</v>
      </c>
      <c r="O20">
        <v>153</v>
      </c>
      <c r="P20">
        <v>162</v>
      </c>
      <c r="Q20">
        <v>172</v>
      </c>
      <c r="R20">
        <v>157</v>
      </c>
      <c r="S20">
        <v>149</v>
      </c>
      <c r="T20">
        <v>159</v>
      </c>
      <c r="U20">
        <v>121</v>
      </c>
      <c r="V20">
        <v>111</v>
      </c>
      <c r="W20">
        <v>109</v>
      </c>
      <c r="X20">
        <v>103</v>
      </c>
      <c r="Y20">
        <v>98</v>
      </c>
      <c r="Z20">
        <v>139</v>
      </c>
      <c r="AA20">
        <v>145</v>
      </c>
      <c r="AB20">
        <v>135</v>
      </c>
      <c r="AC20">
        <v>132</v>
      </c>
      <c r="AD20">
        <v>73</v>
      </c>
      <c r="AE20">
        <v>86</v>
      </c>
      <c r="AF20">
        <v>89</v>
      </c>
      <c r="AG20">
        <v>93</v>
      </c>
      <c r="AH20">
        <v>117</v>
      </c>
      <c r="AI20">
        <v>87</v>
      </c>
      <c r="AJ20">
        <v>78</v>
      </c>
      <c r="AK20">
        <v>76</v>
      </c>
      <c r="AL20">
        <v>73</v>
      </c>
      <c r="AM20">
        <v>91</v>
      </c>
      <c r="AN20">
        <v>93</v>
      </c>
      <c r="AO20">
        <v>104</v>
      </c>
      <c r="AP20">
        <v>99</v>
      </c>
      <c r="AQ20">
        <v>138</v>
      </c>
      <c r="AR20">
        <v>133</v>
      </c>
      <c r="AS20">
        <v>129</v>
      </c>
      <c r="AT20">
        <v>164</v>
      </c>
      <c r="AU20">
        <v>167</v>
      </c>
    </row>
    <row r="21" spans="1:47">
      <c r="A21" t="s">
        <v>34</v>
      </c>
      <c r="B21">
        <v>218</v>
      </c>
      <c r="C21">
        <v>-24</v>
      </c>
      <c r="D21">
        <v>6</v>
      </c>
      <c r="E21">
        <v>-76</v>
      </c>
      <c r="F21">
        <v>10</v>
      </c>
      <c r="G21">
        <v>74</v>
      </c>
      <c r="H21">
        <v>32</v>
      </c>
      <c r="I21">
        <v>80</v>
      </c>
      <c r="J21">
        <v>50</v>
      </c>
      <c r="K21">
        <v>56</v>
      </c>
      <c r="L21">
        <v>32</v>
      </c>
      <c r="M21">
        <v>72</v>
      </c>
      <c r="N21">
        <v>0</v>
      </c>
      <c r="O21">
        <v>-6</v>
      </c>
      <c r="P21">
        <v>26</v>
      </c>
      <c r="Q21">
        <v>6</v>
      </c>
      <c r="R21">
        <v>20</v>
      </c>
      <c r="S21">
        <v>-8</v>
      </c>
      <c r="T21">
        <v>8</v>
      </c>
      <c r="U21">
        <v>40</v>
      </c>
      <c r="V21">
        <v>-2</v>
      </c>
      <c r="W21">
        <v>54</v>
      </c>
      <c r="X21">
        <v>-12</v>
      </c>
      <c r="Y21">
        <v>-34</v>
      </c>
      <c r="Z21">
        <v>-54</v>
      </c>
      <c r="AA21">
        <v>-78</v>
      </c>
      <c r="AB21">
        <v>-66</v>
      </c>
      <c r="AC21">
        <v>-36</v>
      </c>
      <c r="AD21">
        <v>-44</v>
      </c>
      <c r="AE21">
        <v>-78</v>
      </c>
      <c r="AF21">
        <v>-68</v>
      </c>
      <c r="AG21">
        <v>-44</v>
      </c>
      <c r="AH21">
        <v>-60</v>
      </c>
      <c r="AI21">
        <v>-54</v>
      </c>
      <c r="AJ21">
        <v>-30</v>
      </c>
      <c r="AK21">
        <v>-90</v>
      </c>
      <c r="AL21">
        <v>-62</v>
      </c>
      <c r="AM21">
        <v>-130</v>
      </c>
      <c r="AN21">
        <v>-140</v>
      </c>
      <c r="AO21">
        <v>-100</v>
      </c>
      <c r="AP21">
        <v>-166</v>
      </c>
      <c r="AQ21">
        <v>-208</v>
      </c>
      <c r="AR21">
        <v>-168</v>
      </c>
      <c r="AS21">
        <v>-214</v>
      </c>
      <c r="AT21">
        <v>-196</v>
      </c>
      <c r="AU21">
        <v>-178</v>
      </c>
    </row>
    <row r="22" spans="1:47">
      <c r="A22" t="s">
        <v>25</v>
      </c>
      <c r="B22">
        <v>56</v>
      </c>
      <c r="C22">
        <v>-44</v>
      </c>
      <c r="D22">
        <v>-34</v>
      </c>
      <c r="E22">
        <v>-52</v>
      </c>
      <c r="F22">
        <v>-44</v>
      </c>
      <c r="G22">
        <v>-34</v>
      </c>
      <c r="H22">
        <v>-62</v>
      </c>
      <c r="I22">
        <v>-70</v>
      </c>
      <c r="J22">
        <v>-70</v>
      </c>
      <c r="K22">
        <v>-44</v>
      </c>
      <c r="L22">
        <v>-50</v>
      </c>
      <c r="M22">
        <v>-64</v>
      </c>
      <c r="N22">
        <v>-120</v>
      </c>
      <c r="O22">
        <v>-78</v>
      </c>
      <c r="P22">
        <v>-40</v>
      </c>
      <c r="Q22">
        <v>-70</v>
      </c>
      <c r="R22">
        <v>-68</v>
      </c>
      <c r="S22">
        <v>-82</v>
      </c>
      <c r="T22">
        <v>-44</v>
      </c>
      <c r="U22">
        <v>6</v>
      </c>
      <c r="V22">
        <v>-44</v>
      </c>
      <c r="W22">
        <v>-42</v>
      </c>
      <c r="X22">
        <v>-66</v>
      </c>
      <c r="Y22">
        <v>-94</v>
      </c>
      <c r="Z22">
        <v>-46</v>
      </c>
      <c r="AA22">
        <v>-110</v>
      </c>
      <c r="AB22">
        <v>-78</v>
      </c>
      <c r="AC22">
        <v>-86</v>
      </c>
      <c r="AD22">
        <v>-68</v>
      </c>
      <c r="AE22">
        <v>-96</v>
      </c>
      <c r="AF22">
        <v>-60</v>
      </c>
      <c r="AG22">
        <v>-80</v>
      </c>
      <c r="AH22">
        <v>-114</v>
      </c>
      <c r="AI22">
        <v>-132</v>
      </c>
      <c r="AJ22">
        <v>-60</v>
      </c>
      <c r="AK22">
        <v>-100</v>
      </c>
      <c r="AL22">
        <v>-82</v>
      </c>
      <c r="AM22">
        <v>-86</v>
      </c>
      <c r="AN22">
        <v>-78</v>
      </c>
      <c r="AO22">
        <v>-80</v>
      </c>
      <c r="AP22">
        <v>-106</v>
      </c>
      <c r="AQ22">
        <v>-92</v>
      </c>
      <c r="AR22">
        <v>-100</v>
      </c>
      <c r="AS22">
        <v>-96</v>
      </c>
      <c r="AT22">
        <v>-88</v>
      </c>
      <c r="AU22">
        <v>-106</v>
      </c>
    </row>
    <row r="23" spans="1:47">
      <c r="A23" t="s">
        <v>16</v>
      </c>
      <c r="B23">
        <v>402</v>
      </c>
      <c r="C23">
        <v>304</v>
      </c>
      <c r="D23">
        <v>312</v>
      </c>
      <c r="E23">
        <v>260</v>
      </c>
      <c r="F23">
        <v>242</v>
      </c>
      <c r="G23">
        <v>284</v>
      </c>
      <c r="H23">
        <v>280</v>
      </c>
      <c r="I23">
        <v>362</v>
      </c>
      <c r="J23">
        <v>320</v>
      </c>
      <c r="K23">
        <v>300</v>
      </c>
      <c r="L23">
        <v>254</v>
      </c>
      <c r="M23">
        <v>314</v>
      </c>
      <c r="N23">
        <v>262</v>
      </c>
      <c r="O23">
        <v>254</v>
      </c>
      <c r="P23">
        <v>110</v>
      </c>
      <c r="Q23">
        <v>118</v>
      </c>
      <c r="R23">
        <v>102</v>
      </c>
      <c r="S23">
        <v>84</v>
      </c>
      <c r="T23">
        <v>184</v>
      </c>
      <c r="U23">
        <v>204</v>
      </c>
      <c r="V23">
        <v>202</v>
      </c>
      <c r="W23">
        <v>208</v>
      </c>
      <c r="X23">
        <v>204</v>
      </c>
      <c r="Y23">
        <v>202</v>
      </c>
      <c r="Z23">
        <v>140</v>
      </c>
      <c r="AA23">
        <v>100</v>
      </c>
      <c r="AB23">
        <v>140</v>
      </c>
      <c r="AC23">
        <v>-848</v>
      </c>
      <c r="AD23">
        <v>162</v>
      </c>
      <c r="AE23">
        <v>170</v>
      </c>
      <c r="AF23">
        <v>272</v>
      </c>
      <c r="AG23">
        <v>270</v>
      </c>
      <c r="AH23">
        <v>212</v>
      </c>
      <c r="AI23">
        <v>210</v>
      </c>
      <c r="AJ23">
        <v>212</v>
      </c>
      <c r="AK23">
        <v>178</v>
      </c>
      <c r="AL23">
        <v>180</v>
      </c>
      <c r="AM23">
        <v>180</v>
      </c>
      <c r="AN23">
        <v>156</v>
      </c>
      <c r="AO23">
        <v>166</v>
      </c>
      <c r="AP23">
        <v>86</v>
      </c>
      <c r="AQ23">
        <v>62</v>
      </c>
      <c r="AR23">
        <v>120</v>
      </c>
      <c r="AS23">
        <v>88</v>
      </c>
      <c r="AT23">
        <v>90</v>
      </c>
      <c r="AU23">
        <v>90</v>
      </c>
    </row>
    <row r="24" spans="1:47">
      <c r="A24" t="s">
        <v>10</v>
      </c>
      <c r="B24">
        <v>69</v>
      </c>
      <c r="C24">
        <v>68</v>
      </c>
      <c r="D24">
        <v>71</v>
      </c>
      <c r="E24">
        <v>36</v>
      </c>
      <c r="F24">
        <v>31</v>
      </c>
      <c r="G24">
        <v>43</v>
      </c>
      <c r="H24">
        <v>0</v>
      </c>
      <c r="I24">
        <v>-17</v>
      </c>
      <c r="J24">
        <v>-22</v>
      </c>
      <c r="K24">
        <v>-6</v>
      </c>
      <c r="L24">
        <v>2</v>
      </c>
      <c r="M24">
        <v>16</v>
      </c>
      <c r="N24">
        <v>-4</v>
      </c>
      <c r="O24">
        <v>29</v>
      </c>
      <c r="P24">
        <v>75</v>
      </c>
      <c r="Q24">
        <v>52</v>
      </c>
      <c r="R24">
        <v>71</v>
      </c>
      <c r="S24">
        <v>80</v>
      </c>
      <c r="T24">
        <v>245</v>
      </c>
      <c r="U24">
        <v>138</v>
      </c>
      <c r="V24">
        <v>124</v>
      </c>
      <c r="W24">
        <v>111</v>
      </c>
      <c r="X24">
        <v>141</v>
      </c>
      <c r="Y24">
        <v>128</v>
      </c>
      <c r="Z24">
        <v>251</v>
      </c>
      <c r="AA24">
        <v>243</v>
      </c>
      <c r="AB24">
        <v>255</v>
      </c>
      <c r="AC24">
        <v>124</v>
      </c>
      <c r="AD24">
        <v>102</v>
      </c>
      <c r="AE24">
        <v>118</v>
      </c>
      <c r="AF24">
        <v>171</v>
      </c>
      <c r="AG24">
        <v>161</v>
      </c>
      <c r="AH24">
        <v>132</v>
      </c>
      <c r="AI24">
        <v>122</v>
      </c>
      <c r="AJ24">
        <v>182</v>
      </c>
      <c r="AK24">
        <v>132</v>
      </c>
      <c r="AL24">
        <v>160</v>
      </c>
      <c r="AM24">
        <v>138</v>
      </c>
      <c r="AN24">
        <v>136</v>
      </c>
      <c r="AO24">
        <v>192</v>
      </c>
      <c r="AP24">
        <v>186</v>
      </c>
      <c r="AQ24">
        <v>163</v>
      </c>
      <c r="AR24">
        <v>213</v>
      </c>
      <c r="AS24">
        <v>206</v>
      </c>
      <c r="AT24">
        <v>183</v>
      </c>
      <c r="AU24">
        <v>174</v>
      </c>
    </row>
    <row r="25" spans="1:47">
      <c r="A25" t="s">
        <v>35</v>
      </c>
      <c r="B25">
        <v>560</v>
      </c>
      <c r="C25">
        <v>630</v>
      </c>
      <c r="D25">
        <v>615</v>
      </c>
      <c r="E25">
        <v>590</v>
      </c>
      <c r="F25">
        <v>575</v>
      </c>
      <c r="G25">
        <v>665</v>
      </c>
      <c r="H25">
        <v>640</v>
      </c>
      <c r="I25">
        <v>465</v>
      </c>
      <c r="J25">
        <v>455</v>
      </c>
      <c r="K25">
        <v>545</v>
      </c>
      <c r="L25">
        <v>450</v>
      </c>
      <c r="M25">
        <v>490</v>
      </c>
      <c r="N25">
        <v>635</v>
      </c>
      <c r="O25">
        <v>635</v>
      </c>
      <c r="P25">
        <v>610</v>
      </c>
      <c r="Q25">
        <v>550</v>
      </c>
      <c r="R25">
        <v>555</v>
      </c>
      <c r="S25">
        <v>495</v>
      </c>
      <c r="T25">
        <v>470</v>
      </c>
      <c r="U25">
        <v>325</v>
      </c>
      <c r="V25">
        <v>400</v>
      </c>
      <c r="W25">
        <v>305</v>
      </c>
      <c r="X25">
        <v>80</v>
      </c>
      <c r="Y25">
        <v>115</v>
      </c>
      <c r="Z25">
        <v>300</v>
      </c>
      <c r="AA25">
        <v>220</v>
      </c>
      <c r="AB25">
        <v>275</v>
      </c>
      <c r="AC25">
        <v>260</v>
      </c>
      <c r="AD25">
        <v>205</v>
      </c>
      <c r="AE25">
        <v>370</v>
      </c>
      <c r="AF25">
        <v>470</v>
      </c>
      <c r="AG25">
        <v>550</v>
      </c>
      <c r="AH25">
        <v>585</v>
      </c>
      <c r="AI25">
        <v>565</v>
      </c>
      <c r="AJ25">
        <v>570</v>
      </c>
      <c r="AK25">
        <v>505</v>
      </c>
      <c r="AL25">
        <v>395</v>
      </c>
      <c r="AM25">
        <v>400</v>
      </c>
      <c r="AN25">
        <v>370</v>
      </c>
      <c r="AO25">
        <v>255</v>
      </c>
      <c r="AP25">
        <v>285</v>
      </c>
      <c r="AQ25">
        <v>255</v>
      </c>
      <c r="AR25">
        <v>195</v>
      </c>
      <c r="AS25">
        <v>50</v>
      </c>
      <c r="AT25">
        <v>-70</v>
      </c>
      <c r="AU25">
        <v>-65</v>
      </c>
    </row>
    <row r="26" spans="1:47">
      <c r="A26" t="s">
        <v>24</v>
      </c>
      <c r="B26">
        <v>-150</v>
      </c>
      <c r="C26">
        <v>-150</v>
      </c>
      <c r="D26">
        <v>-280</v>
      </c>
      <c r="E26">
        <v>-280</v>
      </c>
      <c r="F26">
        <v>30</v>
      </c>
      <c r="G26">
        <v>30</v>
      </c>
      <c r="H26">
        <v>30</v>
      </c>
      <c r="I26">
        <v>-20</v>
      </c>
      <c r="J26">
        <v>65</v>
      </c>
      <c r="K26">
        <v>-145</v>
      </c>
      <c r="L26">
        <v>45</v>
      </c>
      <c r="M26">
        <v>-50</v>
      </c>
      <c r="N26">
        <v>-150</v>
      </c>
      <c r="O26">
        <v>-150</v>
      </c>
      <c r="P26">
        <v>-185</v>
      </c>
      <c r="Q26">
        <v>-185</v>
      </c>
      <c r="R26">
        <v>-185</v>
      </c>
      <c r="S26">
        <v>-130</v>
      </c>
      <c r="T26">
        <v>-130</v>
      </c>
      <c r="U26">
        <v>-350</v>
      </c>
      <c r="V26">
        <v>-350</v>
      </c>
      <c r="W26">
        <v>-175</v>
      </c>
      <c r="X26">
        <v>-120</v>
      </c>
      <c r="Y26">
        <v>-120</v>
      </c>
      <c r="Z26">
        <v>-450</v>
      </c>
      <c r="AA26">
        <v>-450</v>
      </c>
      <c r="AB26">
        <v>-450</v>
      </c>
      <c r="AC26">
        <v>-450</v>
      </c>
      <c r="AD26">
        <v>-450</v>
      </c>
      <c r="AE26">
        <v>-450</v>
      </c>
      <c r="AF26">
        <v>-450</v>
      </c>
      <c r="AG26">
        <v>-450</v>
      </c>
      <c r="AH26">
        <v>-180</v>
      </c>
      <c r="AI26">
        <v>-450</v>
      </c>
      <c r="AJ26">
        <v>-275</v>
      </c>
      <c r="AK26">
        <v>-380</v>
      </c>
      <c r="AL26">
        <v>-350</v>
      </c>
      <c r="AM26">
        <v>-225</v>
      </c>
      <c r="AN26">
        <v>-135</v>
      </c>
      <c r="AO26">
        <v>-475</v>
      </c>
      <c r="AP26">
        <v>-405</v>
      </c>
      <c r="AQ26">
        <v>-430</v>
      </c>
      <c r="AR26">
        <v>-485</v>
      </c>
      <c r="AS26">
        <v>-435</v>
      </c>
      <c r="AT26">
        <v>-510</v>
      </c>
      <c r="AU26">
        <v>-540</v>
      </c>
    </row>
    <row r="27" spans="1:47">
      <c r="A27" t="s">
        <v>36</v>
      </c>
      <c r="B27">
        <v>-350</v>
      </c>
      <c r="C27">
        <v>60</v>
      </c>
      <c r="D27">
        <v>50</v>
      </c>
      <c r="E27">
        <v>-400</v>
      </c>
      <c r="F27">
        <v>-480</v>
      </c>
      <c r="G27">
        <v>-350</v>
      </c>
      <c r="H27">
        <v>130</v>
      </c>
      <c r="I27">
        <v>-200</v>
      </c>
      <c r="J27">
        <v>-140</v>
      </c>
      <c r="K27">
        <v>-530</v>
      </c>
      <c r="L27">
        <v>-330</v>
      </c>
      <c r="M27">
        <v>-970</v>
      </c>
      <c r="N27">
        <v>-790</v>
      </c>
      <c r="O27">
        <v>-740</v>
      </c>
      <c r="P27">
        <v>-70</v>
      </c>
      <c r="Q27">
        <v>-50</v>
      </c>
      <c r="R27">
        <v>-190</v>
      </c>
      <c r="S27">
        <v>30</v>
      </c>
      <c r="T27">
        <v>0</v>
      </c>
      <c r="U27">
        <v>-130</v>
      </c>
      <c r="V27">
        <v>-180</v>
      </c>
      <c r="W27">
        <v>-110</v>
      </c>
      <c r="X27">
        <v>-360</v>
      </c>
      <c r="Y27">
        <v>-250</v>
      </c>
      <c r="Z27">
        <v>-250</v>
      </c>
      <c r="AA27">
        <v>-60</v>
      </c>
      <c r="AB27">
        <v>0</v>
      </c>
      <c r="AC27">
        <v>-200</v>
      </c>
      <c r="AD27">
        <v>-480</v>
      </c>
      <c r="AE27">
        <v>1870</v>
      </c>
      <c r="AF27">
        <v>620</v>
      </c>
      <c r="AG27">
        <v>620</v>
      </c>
      <c r="AH27">
        <v>620</v>
      </c>
      <c r="AI27">
        <v>-20</v>
      </c>
      <c r="AJ27">
        <v>-20</v>
      </c>
      <c r="AK27">
        <v>-50</v>
      </c>
      <c r="AL27">
        <v>-160</v>
      </c>
      <c r="AM27">
        <v>-140</v>
      </c>
      <c r="AN27">
        <v>-180</v>
      </c>
      <c r="AO27">
        <v>-460</v>
      </c>
      <c r="AP27">
        <v>50</v>
      </c>
      <c r="AQ27">
        <v>-270</v>
      </c>
      <c r="AR27">
        <v>-310</v>
      </c>
      <c r="AS27">
        <v>-40</v>
      </c>
      <c r="AT27">
        <v>-80</v>
      </c>
      <c r="AU27">
        <v>-140</v>
      </c>
    </row>
    <row r="28" spans="1:47">
      <c r="A28" t="s">
        <v>22</v>
      </c>
      <c r="B28">
        <v>-150</v>
      </c>
      <c r="C28">
        <v>-35</v>
      </c>
      <c r="D28">
        <v>-85</v>
      </c>
      <c r="E28">
        <v>-240</v>
      </c>
      <c r="F28">
        <v>-110</v>
      </c>
      <c r="G28">
        <v>-125</v>
      </c>
      <c r="H28">
        <v>-45</v>
      </c>
      <c r="I28">
        <v>-80</v>
      </c>
      <c r="J28">
        <v>-95</v>
      </c>
      <c r="K28">
        <v>-160</v>
      </c>
      <c r="L28">
        <v>-180</v>
      </c>
      <c r="M28">
        <v>-130</v>
      </c>
      <c r="N28">
        <v>-60</v>
      </c>
      <c r="O28">
        <v>-110</v>
      </c>
      <c r="P28">
        <v>-90</v>
      </c>
      <c r="Q28">
        <v>-90</v>
      </c>
      <c r="R28">
        <v>-80</v>
      </c>
      <c r="S28">
        <v>-50</v>
      </c>
      <c r="T28">
        <v>-100</v>
      </c>
      <c r="U28">
        <v>-100</v>
      </c>
      <c r="V28">
        <v>-165</v>
      </c>
      <c r="W28">
        <v>-160</v>
      </c>
      <c r="X28">
        <v>-205</v>
      </c>
      <c r="Y28">
        <v>-200</v>
      </c>
      <c r="Z28">
        <v>-170</v>
      </c>
      <c r="AA28">
        <v>-165</v>
      </c>
      <c r="AB28">
        <v>-185</v>
      </c>
      <c r="AC28">
        <v>-270</v>
      </c>
      <c r="AD28">
        <v>-330</v>
      </c>
      <c r="AE28">
        <v>-240</v>
      </c>
      <c r="AF28">
        <v>-30</v>
      </c>
      <c r="AG28">
        <v>-30</v>
      </c>
      <c r="AH28">
        <v>-30</v>
      </c>
      <c r="AI28">
        <v>-230</v>
      </c>
      <c r="AJ28">
        <v>-230</v>
      </c>
      <c r="AK28">
        <v>-130</v>
      </c>
      <c r="AL28">
        <v>-85</v>
      </c>
      <c r="AM28">
        <v>-50</v>
      </c>
      <c r="AN28">
        <v>-130</v>
      </c>
      <c r="AO28">
        <v>-100</v>
      </c>
      <c r="AP28">
        <v>-95</v>
      </c>
      <c r="AQ28">
        <v>-130</v>
      </c>
      <c r="AR28">
        <v>-115</v>
      </c>
      <c r="AS28">
        <v>-90</v>
      </c>
      <c r="AT28">
        <v>-80</v>
      </c>
      <c r="AU28">
        <v>-150</v>
      </c>
    </row>
    <row r="29" spans="1:47">
      <c r="A29" t="s">
        <v>37</v>
      </c>
      <c r="B29">
        <v>-205</v>
      </c>
      <c r="C29">
        <v>-75</v>
      </c>
      <c r="D29">
        <v>-65</v>
      </c>
      <c r="E29">
        <v>-90</v>
      </c>
      <c r="F29">
        <v>-210</v>
      </c>
      <c r="G29">
        <v>-215</v>
      </c>
      <c r="H29">
        <v>190</v>
      </c>
      <c r="I29">
        <v>-50</v>
      </c>
      <c r="J29">
        <v>-120</v>
      </c>
      <c r="K29">
        <v>-180</v>
      </c>
      <c r="L29">
        <v>-135</v>
      </c>
      <c r="M29">
        <v>-260</v>
      </c>
      <c r="N29">
        <v>-170</v>
      </c>
      <c r="O29">
        <v>-10</v>
      </c>
      <c r="P29">
        <v>70</v>
      </c>
      <c r="Q29">
        <v>-60</v>
      </c>
      <c r="R29">
        <v>5</v>
      </c>
      <c r="S29">
        <v>-30</v>
      </c>
      <c r="T29">
        <v>15</v>
      </c>
      <c r="U29">
        <v>-95</v>
      </c>
      <c r="V29">
        <v>55</v>
      </c>
      <c r="W29">
        <v>70</v>
      </c>
      <c r="X29">
        <v>0</v>
      </c>
      <c r="Y29">
        <v>40</v>
      </c>
      <c r="Z29">
        <v>-200</v>
      </c>
      <c r="AA29">
        <v>-60</v>
      </c>
      <c r="AB29">
        <v>-35</v>
      </c>
      <c r="AC29">
        <v>-30</v>
      </c>
      <c r="AD29">
        <v>-155</v>
      </c>
      <c r="AE29">
        <v>460</v>
      </c>
      <c r="AF29">
        <v>10</v>
      </c>
      <c r="AG29">
        <v>10</v>
      </c>
      <c r="AH29">
        <v>10</v>
      </c>
      <c r="AI29">
        <v>-150</v>
      </c>
      <c r="AJ29">
        <v>-150</v>
      </c>
      <c r="AK29">
        <v>-30</v>
      </c>
      <c r="AL29">
        <v>-50</v>
      </c>
      <c r="AM29">
        <v>-90</v>
      </c>
      <c r="AN29">
        <v>-120</v>
      </c>
      <c r="AO29">
        <v>-160</v>
      </c>
      <c r="AP29">
        <v>60</v>
      </c>
      <c r="AQ29">
        <v>-20</v>
      </c>
      <c r="AR29">
        <v>-145</v>
      </c>
      <c r="AS29">
        <v>60</v>
      </c>
      <c r="AT29">
        <v>-80</v>
      </c>
      <c r="AU29">
        <v>-20</v>
      </c>
    </row>
    <row r="30" spans="1:47">
      <c r="A30" t="s">
        <v>38</v>
      </c>
      <c r="B30">
        <v>-1380</v>
      </c>
      <c r="C30">
        <v>-800</v>
      </c>
      <c r="D30">
        <v>-1240</v>
      </c>
      <c r="E30">
        <v>-1020</v>
      </c>
      <c r="F30">
        <v>-1800</v>
      </c>
      <c r="G30">
        <v>-2210</v>
      </c>
      <c r="H30">
        <v>640</v>
      </c>
      <c r="I30">
        <v>-460</v>
      </c>
      <c r="J30">
        <v>-200</v>
      </c>
      <c r="K30">
        <v>-990</v>
      </c>
      <c r="L30">
        <v>-500</v>
      </c>
      <c r="M30">
        <v>-120</v>
      </c>
      <c r="N30">
        <v>-2030</v>
      </c>
      <c r="O30">
        <v>-740</v>
      </c>
      <c r="P30">
        <v>-1120</v>
      </c>
      <c r="Q30">
        <v>-1350</v>
      </c>
      <c r="R30">
        <v>-1050</v>
      </c>
      <c r="S30">
        <v>-740</v>
      </c>
      <c r="T30">
        <v>-440</v>
      </c>
      <c r="U30">
        <v>-1120</v>
      </c>
      <c r="V30">
        <v>-580</v>
      </c>
      <c r="W30">
        <v>-660</v>
      </c>
      <c r="X30">
        <v>-1260</v>
      </c>
      <c r="Y30">
        <v>-590</v>
      </c>
      <c r="Z30">
        <v>-1380</v>
      </c>
      <c r="AA30">
        <v>-1380</v>
      </c>
      <c r="AB30">
        <v>-500</v>
      </c>
      <c r="AC30">
        <v>-1600</v>
      </c>
      <c r="AD30">
        <v>-2020</v>
      </c>
      <c r="AE30">
        <v>-1350</v>
      </c>
      <c r="AF30">
        <v>-2690</v>
      </c>
      <c r="AG30">
        <v>-3340</v>
      </c>
      <c r="AH30">
        <v>-720</v>
      </c>
      <c r="AI30">
        <v>-1970</v>
      </c>
      <c r="AJ30">
        <v>-920</v>
      </c>
      <c r="AK30">
        <v>-970</v>
      </c>
      <c r="AL30">
        <v>-1510</v>
      </c>
      <c r="AM30">
        <v>-1360</v>
      </c>
      <c r="AN30">
        <v>-2340</v>
      </c>
      <c r="AO30">
        <v>-830</v>
      </c>
      <c r="AP30">
        <v>-590</v>
      </c>
      <c r="AQ30">
        <v>-1370</v>
      </c>
      <c r="AR30">
        <v>-1480</v>
      </c>
      <c r="AS30">
        <v>-670</v>
      </c>
      <c r="AT30">
        <v>-2210</v>
      </c>
      <c r="AU30">
        <v>-1990</v>
      </c>
    </row>
    <row r="31" spans="1:47">
      <c r="A31" t="s">
        <v>18</v>
      </c>
      <c r="B31">
        <v>43.850000000000364</v>
      </c>
      <c r="C31">
        <v>41.690000000000509</v>
      </c>
      <c r="D31">
        <v>36.309999999999491</v>
      </c>
      <c r="E31">
        <v>46.960000000000036</v>
      </c>
      <c r="F31">
        <v>13.739999999999782</v>
      </c>
      <c r="G31">
        <v>22.859999999999673</v>
      </c>
      <c r="H31">
        <v>58.140000000000327</v>
      </c>
      <c r="I31">
        <v>29.179999999999382</v>
      </c>
      <c r="J31">
        <v>56.960000000000036</v>
      </c>
      <c r="K31">
        <v>121.55000000000018</v>
      </c>
      <c r="L31">
        <v>63.829999999999927</v>
      </c>
      <c r="M31">
        <v>-45</v>
      </c>
      <c r="N31">
        <v>-0.5</v>
      </c>
      <c r="O31">
        <v>-20.369999999999891</v>
      </c>
      <c r="P31">
        <v>-27.889999999999418</v>
      </c>
      <c r="Q31">
        <v>8.1100000000005821</v>
      </c>
      <c r="R31">
        <v>12.319999999999709</v>
      </c>
      <c r="S31">
        <v>13.150000000000546</v>
      </c>
      <c r="T31">
        <v>20.3799999999992</v>
      </c>
      <c r="U31">
        <v>8.180000000000291</v>
      </c>
      <c r="V31">
        <v>36.109999999999673</v>
      </c>
      <c r="W31">
        <v>55.489999999999782</v>
      </c>
      <c r="X31">
        <v>282.5</v>
      </c>
      <c r="Y31">
        <v>375.10000000000036</v>
      </c>
      <c r="Z31">
        <v>359.10000000000036</v>
      </c>
      <c r="AA31">
        <v>336.5</v>
      </c>
      <c r="AB31">
        <v>414.89999999999964</v>
      </c>
      <c r="AC31">
        <v>414.69999999999982</v>
      </c>
      <c r="AD31">
        <v>389.69999999999982</v>
      </c>
      <c r="AE31">
        <v>560.89999999999964</v>
      </c>
      <c r="AF31">
        <v>528.30000000000018</v>
      </c>
      <c r="AG31">
        <v>664.30000000000018</v>
      </c>
      <c r="AH31">
        <v>680.5</v>
      </c>
      <c r="AI31">
        <v>733.30000000000018</v>
      </c>
      <c r="AJ31">
        <v>890.30000000000018</v>
      </c>
      <c r="AK31">
        <v>647.30000000000018</v>
      </c>
      <c r="AL31">
        <v>731.30000000000018</v>
      </c>
      <c r="AM31">
        <v>707.5</v>
      </c>
      <c r="AN31">
        <v>414.5</v>
      </c>
      <c r="AO31">
        <v>408.10000000000036</v>
      </c>
      <c r="AP31">
        <v>424.30000000000018</v>
      </c>
      <c r="AQ31">
        <v>207.69999999999982</v>
      </c>
      <c r="AR31">
        <v>91.5</v>
      </c>
      <c r="AS31">
        <v>82.100000000000364</v>
      </c>
      <c r="AT31">
        <v>-2.6999999999998181</v>
      </c>
      <c r="AU31">
        <v>-4.2799999999997453</v>
      </c>
    </row>
    <row r="32" spans="1:47">
      <c r="A32" t="s">
        <v>19</v>
      </c>
      <c r="B32">
        <v>-2.0700000000001637</v>
      </c>
      <c r="C32">
        <v>4.3699999999998909</v>
      </c>
      <c r="D32">
        <v>-4.7300000000000182</v>
      </c>
      <c r="E32">
        <v>15.369999999999891</v>
      </c>
      <c r="F32">
        <v>9.75</v>
      </c>
      <c r="G32">
        <v>5.1900000000000546</v>
      </c>
      <c r="H32">
        <v>25.429999999999836</v>
      </c>
      <c r="I32">
        <v>9.3899999999998727</v>
      </c>
      <c r="J32">
        <v>9.2699999999999818</v>
      </c>
      <c r="K32">
        <v>57.070000000000164</v>
      </c>
      <c r="L32">
        <v>7.6700000000000728</v>
      </c>
      <c r="M32">
        <v>5.1799999999998363</v>
      </c>
      <c r="N32">
        <v>15.400000000000091</v>
      </c>
      <c r="O32">
        <v>8.2600000000002183</v>
      </c>
      <c r="P32">
        <v>-18.269999999999982</v>
      </c>
      <c r="Q32">
        <v>-4.2200000000002547</v>
      </c>
      <c r="R32">
        <v>3.1299999999996544</v>
      </c>
      <c r="S32">
        <v>8.5799999999999272</v>
      </c>
      <c r="T32">
        <v>-0.42000000000007276</v>
      </c>
      <c r="U32">
        <v>-0.1999999999998181</v>
      </c>
      <c r="V32">
        <v>-1.5500000000001819</v>
      </c>
      <c r="W32">
        <v>5.1500000000000909</v>
      </c>
      <c r="X32">
        <v>284.52999999999975</v>
      </c>
      <c r="Y32">
        <v>324.12999999999965</v>
      </c>
      <c r="Z32">
        <v>319.12999999999965</v>
      </c>
      <c r="AA32">
        <v>294.12999999999965</v>
      </c>
      <c r="AB32">
        <v>304.92999999999984</v>
      </c>
      <c r="AC32">
        <v>262.73</v>
      </c>
      <c r="AD32">
        <v>208.32999999999993</v>
      </c>
      <c r="AE32">
        <v>226.52999999999975</v>
      </c>
      <c r="AF32">
        <v>252.12999999999965</v>
      </c>
      <c r="AG32">
        <v>311.73</v>
      </c>
      <c r="AH32">
        <v>336.32999999999993</v>
      </c>
      <c r="AI32">
        <v>388.12999999999965</v>
      </c>
      <c r="AJ32">
        <v>406.73</v>
      </c>
      <c r="AK32">
        <v>244.32999999999993</v>
      </c>
      <c r="AL32">
        <v>161.92999999999984</v>
      </c>
      <c r="AM32">
        <v>70.329999999999927</v>
      </c>
      <c r="AN32">
        <v>-12.870000000000346</v>
      </c>
      <c r="AO32">
        <v>22.329999999999927</v>
      </c>
      <c r="AP32">
        <v>39.730000000000018</v>
      </c>
      <c r="AQ32">
        <v>55.329999999999927</v>
      </c>
      <c r="AR32">
        <v>93.129999999999654</v>
      </c>
      <c r="AS32">
        <v>53.329999999999927</v>
      </c>
      <c r="AT32">
        <v>-8.6700000000000728</v>
      </c>
      <c r="AU32">
        <v>-7.3400000000001455</v>
      </c>
    </row>
    <row r="33" spans="1:47">
      <c r="A33" t="s">
        <v>39</v>
      </c>
      <c r="B33">
        <v>7.1300000000001091</v>
      </c>
      <c r="C33">
        <v>13.260000000000218</v>
      </c>
      <c r="D33">
        <v>8.8800000000001091</v>
      </c>
      <c r="E33">
        <v>30.519999999999982</v>
      </c>
      <c r="F33">
        <v>14.299999999999727</v>
      </c>
      <c r="G33">
        <v>7.6500000000000909</v>
      </c>
      <c r="H33">
        <v>33.519999999999982</v>
      </c>
      <c r="I33">
        <v>15.269999999999982</v>
      </c>
      <c r="J33">
        <v>25.889999999999873</v>
      </c>
      <c r="K33">
        <v>88.539999999999964</v>
      </c>
      <c r="L33">
        <v>36.949999999999818</v>
      </c>
      <c r="M33">
        <v>-20.949999999999818</v>
      </c>
      <c r="N33">
        <v>-4.2999999999997272</v>
      </c>
      <c r="O33">
        <v>-7.75</v>
      </c>
      <c r="P33">
        <v>-25.579999999999927</v>
      </c>
      <c r="Q33">
        <v>-1.4400000000005093</v>
      </c>
      <c r="R33">
        <v>8.3400000000001455</v>
      </c>
      <c r="S33">
        <v>16.049999999999727</v>
      </c>
      <c r="T33">
        <v>8.2700000000004366</v>
      </c>
      <c r="U33">
        <v>5.2699999999995271</v>
      </c>
      <c r="V33">
        <v>12.399999999999636</v>
      </c>
      <c r="W33">
        <v>27.25</v>
      </c>
      <c r="X33">
        <v>325.89000000000033</v>
      </c>
      <c r="Y33">
        <v>397.89000000000033</v>
      </c>
      <c r="Z33">
        <v>379.89000000000033</v>
      </c>
      <c r="AA33">
        <v>354.89000000000033</v>
      </c>
      <c r="AB33">
        <v>381.09000000000015</v>
      </c>
      <c r="AC33">
        <v>347.89000000000033</v>
      </c>
      <c r="AD33">
        <v>281.69000000000051</v>
      </c>
      <c r="AE33">
        <v>340.29000000000042</v>
      </c>
      <c r="AF33">
        <v>342.29000000000042</v>
      </c>
      <c r="AG33">
        <v>430.89000000000033</v>
      </c>
      <c r="AH33">
        <v>469.29000000000042</v>
      </c>
      <c r="AI33">
        <v>524.29000000000042</v>
      </c>
      <c r="AJ33">
        <v>608.69000000000005</v>
      </c>
      <c r="AK33">
        <v>393.09000000000015</v>
      </c>
      <c r="AL33">
        <v>366.89000000000033</v>
      </c>
      <c r="AM33">
        <v>270.09000000000015</v>
      </c>
      <c r="AN33">
        <v>125.89000000000033</v>
      </c>
      <c r="AO33">
        <v>119.49000000000069</v>
      </c>
      <c r="AP33">
        <v>150.49000000000069</v>
      </c>
      <c r="AQ33">
        <v>109.89000000000033</v>
      </c>
      <c r="AR33">
        <v>122.28999999999996</v>
      </c>
      <c r="AS33">
        <v>74.690000000000509</v>
      </c>
      <c r="AT33">
        <v>-7.9099999999998545</v>
      </c>
      <c r="AU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T33"/>
  <sheetViews>
    <sheetView workbookViewId="0">
      <selection activeCell="J35" sqref="J35"/>
    </sheetView>
  </sheetViews>
  <sheetFormatPr defaultRowHeight="13.5"/>
  <sheetData>
    <row r="1" spans="1:46">
      <c r="A1" t="s">
        <v>0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43140</v>
      </c>
      <c r="AK1" s="11">
        <v>43139</v>
      </c>
      <c r="AL1" s="11">
        <v>43138</v>
      </c>
      <c r="AM1" s="11">
        <v>43137</v>
      </c>
      <c r="AN1" s="11">
        <v>43136</v>
      </c>
      <c r="AO1" s="11">
        <v>43133</v>
      </c>
      <c r="AP1" s="11">
        <v>43132</v>
      </c>
      <c r="AQ1" s="11">
        <v>43131</v>
      </c>
      <c r="AR1" s="11">
        <v>43130</v>
      </c>
      <c r="AS1" s="11">
        <v>43129</v>
      </c>
      <c r="AT1" s="11">
        <v>43126</v>
      </c>
    </row>
    <row r="2" spans="1:46">
      <c r="A2" t="s">
        <v>5</v>
      </c>
      <c r="B2">
        <v>106.5</v>
      </c>
      <c r="C2">
        <v>84</v>
      </c>
      <c r="D2">
        <v>91.5</v>
      </c>
      <c r="E2">
        <v>93</v>
      </c>
      <c r="F2">
        <v>73</v>
      </c>
      <c r="G2">
        <v>165</v>
      </c>
      <c r="H2">
        <v>249</v>
      </c>
      <c r="I2">
        <v>191.5</v>
      </c>
      <c r="J2">
        <v>187</v>
      </c>
      <c r="K2">
        <v>254.5</v>
      </c>
      <c r="L2">
        <v>176.5</v>
      </c>
      <c r="M2">
        <v>185</v>
      </c>
      <c r="N2">
        <v>193</v>
      </c>
      <c r="O2">
        <v>180</v>
      </c>
      <c r="P2">
        <v>125.5</v>
      </c>
      <c r="Q2">
        <v>172.5</v>
      </c>
      <c r="R2">
        <v>148.5</v>
      </c>
      <c r="S2">
        <v>135</v>
      </c>
      <c r="T2">
        <v>133</v>
      </c>
      <c r="U2">
        <v>105</v>
      </c>
      <c r="V2">
        <v>-6</v>
      </c>
      <c r="W2">
        <v>-44</v>
      </c>
      <c r="X2">
        <v>-52.5</v>
      </c>
      <c r="Y2">
        <v>-2</v>
      </c>
      <c r="Z2">
        <v>-77.5</v>
      </c>
      <c r="AA2">
        <v>-84</v>
      </c>
      <c r="AB2">
        <v>-80.5</v>
      </c>
      <c r="AC2">
        <v>-97</v>
      </c>
      <c r="AD2">
        <v>-111</v>
      </c>
      <c r="AE2">
        <v>-55</v>
      </c>
      <c r="AF2">
        <v>-121</v>
      </c>
      <c r="AG2">
        <v>-91</v>
      </c>
      <c r="AH2">
        <v>-74</v>
      </c>
      <c r="AI2">
        <v>-81</v>
      </c>
      <c r="AJ2">
        <v>-92</v>
      </c>
      <c r="AK2">
        <v>-121</v>
      </c>
      <c r="AL2">
        <v>-125.5</v>
      </c>
      <c r="AM2">
        <v>-96.5</v>
      </c>
      <c r="AN2">
        <v>-94.5</v>
      </c>
      <c r="AO2">
        <v>-39.5</v>
      </c>
      <c r="AP2">
        <v>20</v>
      </c>
      <c r="AQ2">
        <v>106.5</v>
      </c>
      <c r="AR2">
        <v>96.5</v>
      </c>
      <c r="AS2">
        <v>68</v>
      </c>
      <c r="AT2">
        <v>74.5</v>
      </c>
    </row>
    <row r="3" spans="1:46">
      <c r="A3" t="s">
        <v>7</v>
      </c>
      <c r="B3">
        <v>190</v>
      </c>
      <c r="C3">
        <v>187.5</v>
      </c>
      <c r="D3">
        <v>183</v>
      </c>
      <c r="E3">
        <v>184.5</v>
      </c>
      <c r="F3">
        <v>163</v>
      </c>
      <c r="G3">
        <v>193</v>
      </c>
      <c r="H3">
        <v>252.5</v>
      </c>
      <c r="I3">
        <v>232</v>
      </c>
      <c r="J3">
        <v>228</v>
      </c>
      <c r="K3">
        <v>224</v>
      </c>
      <c r="L3">
        <v>187</v>
      </c>
      <c r="M3">
        <v>181</v>
      </c>
      <c r="N3">
        <v>181.5</v>
      </c>
      <c r="O3">
        <v>180</v>
      </c>
      <c r="P3">
        <v>154</v>
      </c>
      <c r="Q3">
        <v>160</v>
      </c>
      <c r="R3">
        <v>143</v>
      </c>
      <c r="S3">
        <v>160</v>
      </c>
      <c r="T3">
        <v>150.5</v>
      </c>
      <c r="U3">
        <v>140</v>
      </c>
      <c r="V3">
        <v>107.5</v>
      </c>
      <c r="W3">
        <v>79</v>
      </c>
      <c r="X3">
        <v>71.5</v>
      </c>
      <c r="Y3">
        <v>83.5</v>
      </c>
      <c r="Z3">
        <v>61.5</v>
      </c>
      <c r="AA3">
        <v>50</v>
      </c>
      <c r="AB3">
        <v>50</v>
      </c>
      <c r="AC3">
        <v>41</v>
      </c>
      <c r="AD3">
        <v>16.5</v>
      </c>
      <c r="AE3">
        <v>31</v>
      </c>
      <c r="AF3">
        <v>53</v>
      </c>
      <c r="AG3">
        <v>55.5</v>
      </c>
      <c r="AH3">
        <v>66.5</v>
      </c>
      <c r="AI3">
        <v>62.5</v>
      </c>
      <c r="AJ3">
        <v>65</v>
      </c>
      <c r="AK3">
        <v>56.5</v>
      </c>
      <c r="AL3">
        <v>57.5</v>
      </c>
      <c r="AM3">
        <v>68.5</v>
      </c>
      <c r="AN3">
        <v>58.5</v>
      </c>
      <c r="AO3">
        <v>40</v>
      </c>
      <c r="AP3">
        <v>67</v>
      </c>
      <c r="AQ3">
        <v>42.5</v>
      </c>
      <c r="AR3">
        <v>39</v>
      </c>
      <c r="AS3">
        <v>94.5</v>
      </c>
      <c r="AT3">
        <v>98.5</v>
      </c>
    </row>
    <row r="4" spans="1:46">
      <c r="A4" t="s">
        <v>4</v>
      </c>
      <c r="B4">
        <v>35.399999999999977</v>
      </c>
      <c r="C4">
        <v>37.199999999999932</v>
      </c>
      <c r="D4">
        <v>38.799999999999955</v>
      </c>
      <c r="E4">
        <v>45.799999999999955</v>
      </c>
      <c r="F4">
        <v>41.199999999999932</v>
      </c>
      <c r="G4">
        <v>50</v>
      </c>
      <c r="H4">
        <v>55.600000000000023</v>
      </c>
      <c r="I4">
        <v>56.600000000000023</v>
      </c>
      <c r="J4">
        <v>62</v>
      </c>
      <c r="K4">
        <v>69</v>
      </c>
      <c r="L4">
        <v>64.799999999999955</v>
      </c>
      <c r="M4">
        <v>67.399999999999977</v>
      </c>
      <c r="N4">
        <v>55</v>
      </c>
      <c r="O4">
        <v>40.600000000000023</v>
      </c>
      <c r="P4">
        <v>35.799999999999955</v>
      </c>
      <c r="Q4">
        <v>34.399999999999977</v>
      </c>
      <c r="R4">
        <v>37.199999999999932</v>
      </c>
      <c r="S4">
        <v>41</v>
      </c>
      <c r="T4">
        <v>41.600000000000023</v>
      </c>
      <c r="U4">
        <v>42.799999999999955</v>
      </c>
      <c r="V4">
        <v>42.600000000000023</v>
      </c>
      <c r="W4">
        <v>49</v>
      </c>
      <c r="X4">
        <v>53.600000000000023</v>
      </c>
      <c r="Y4">
        <v>65.600000000000023</v>
      </c>
      <c r="Z4">
        <v>69</v>
      </c>
      <c r="AA4">
        <v>81.399999999999977</v>
      </c>
      <c r="AB4">
        <v>89.600000000000023</v>
      </c>
      <c r="AC4">
        <v>105.60000000000002</v>
      </c>
      <c r="AD4">
        <v>111.39999999999998</v>
      </c>
      <c r="AE4">
        <v>118.60000000000002</v>
      </c>
      <c r="AF4">
        <v>124.60000000000002</v>
      </c>
      <c r="AG4">
        <v>130</v>
      </c>
      <c r="AH4">
        <v>130.39999999999998</v>
      </c>
      <c r="AI4">
        <v>136</v>
      </c>
      <c r="AJ4">
        <v>132</v>
      </c>
      <c r="AK4">
        <v>132.60000000000002</v>
      </c>
      <c r="AL4">
        <v>130.19999999999993</v>
      </c>
      <c r="AM4">
        <v>145.60000000000002</v>
      </c>
      <c r="AN4">
        <v>143.19999999999993</v>
      </c>
      <c r="AO4">
        <v>141.39999999999998</v>
      </c>
      <c r="AP4">
        <v>135</v>
      </c>
      <c r="AQ4">
        <v>131.39999999999998</v>
      </c>
      <c r="AR4">
        <v>130</v>
      </c>
      <c r="AS4">
        <v>113.39999999999998</v>
      </c>
      <c r="AT4">
        <v>118.39999999999998</v>
      </c>
    </row>
    <row r="5" spans="1:46">
      <c r="A5" t="s">
        <v>20</v>
      </c>
      <c r="B5">
        <v>4.6999999999999886</v>
      </c>
      <c r="C5">
        <v>14.899999999999977</v>
      </c>
      <c r="D5">
        <v>2.8999999999999773</v>
      </c>
      <c r="E5">
        <v>-5.1000000000000227</v>
      </c>
      <c r="F5">
        <v>-2</v>
      </c>
      <c r="G5">
        <v>-0.5</v>
      </c>
      <c r="H5">
        <v>9.8000000000000114</v>
      </c>
      <c r="I5">
        <v>4.5</v>
      </c>
      <c r="J5">
        <v>7.3999999999999773</v>
      </c>
      <c r="K5">
        <v>30.899999999999977</v>
      </c>
      <c r="L5">
        <v>13.399999999999977</v>
      </c>
      <c r="M5">
        <v>9.8999999999999773</v>
      </c>
      <c r="N5">
        <v>16.800000000000011</v>
      </c>
      <c r="O5">
        <v>33.100000000000023</v>
      </c>
      <c r="P5">
        <v>13.300000000000011</v>
      </c>
      <c r="Q5">
        <v>2.8000000000000114</v>
      </c>
      <c r="R5">
        <v>-5.6999999999999886</v>
      </c>
      <c r="S5">
        <v>6.8000000000000114</v>
      </c>
      <c r="T5">
        <v>16.899999999999977</v>
      </c>
      <c r="U5">
        <v>29</v>
      </c>
      <c r="V5">
        <v>24.5</v>
      </c>
      <c r="W5">
        <v>16</v>
      </c>
      <c r="X5">
        <v>23.5</v>
      </c>
      <c r="Y5">
        <v>22.5</v>
      </c>
      <c r="Z5">
        <v>9</v>
      </c>
      <c r="AA5">
        <v>7</v>
      </c>
      <c r="AB5">
        <v>10.100000000000023</v>
      </c>
      <c r="AC5">
        <v>13.200000000000045</v>
      </c>
      <c r="AD5">
        <v>5.8999999999999773</v>
      </c>
      <c r="AE5">
        <v>-1.7000000000000455</v>
      </c>
      <c r="AF5">
        <v>0.20000000000004547</v>
      </c>
      <c r="AG5">
        <v>0.20000000000004547</v>
      </c>
      <c r="AH5">
        <v>15.200000000000045</v>
      </c>
      <c r="AI5">
        <v>10.899999999999977</v>
      </c>
      <c r="AJ5">
        <v>9.3999999999999773</v>
      </c>
      <c r="AK5">
        <v>8.3999999999999773</v>
      </c>
      <c r="AL5">
        <v>5.3999999999999773</v>
      </c>
      <c r="AM5">
        <v>-4.3999999999999773</v>
      </c>
      <c r="AN5">
        <v>6.1000000000000227</v>
      </c>
      <c r="AO5">
        <v>2.7999999999999545</v>
      </c>
      <c r="AP5">
        <v>9.2000000000000455</v>
      </c>
      <c r="AQ5">
        <v>-9.6000000000000227</v>
      </c>
      <c r="AR5">
        <v>-9.6000000000000227</v>
      </c>
      <c r="AS5">
        <v>-12.799999999999955</v>
      </c>
      <c r="AT5">
        <v>-6.3999999999999773</v>
      </c>
    </row>
    <row r="6" spans="1:46">
      <c r="A6" t="s">
        <v>12</v>
      </c>
      <c r="B6">
        <v>375.5</v>
      </c>
      <c r="C6">
        <v>486</v>
      </c>
      <c r="D6">
        <v>491</v>
      </c>
      <c r="E6">
        <v>501</v>
      </c>
      <c r="F6">
        <v>330</v>
      </c>
      <c r="G6">
        <v>381</v>
      </c>
      <c r="H6">
        <v>458</v>
      </c>
      <c r="I6">
        <v>442</v>
      </c>
      <c r="J6">
        <v>434.5</v>
      </c>
      <c r="K6">
        <v>408</v>
      </c>
      <c r="L6">
        <v>425</v>
      </c>
      <c r="M6">
        <v>454.59999999999991</v>
      </c>
      <c r="N6">
        <v>417.59999999999991</v>
      </c>
      <c r="O6">
        <v>457</v>
      </c>
      <c r="P6">
        <v>397</v>
      </c>
      <c r="Q6">
        <v>359</v>
      </c>
      <c r="R6">
        <v>359</v>
      </c>
      <c r="S6">
        <v>398</v>
      </c>
      <c r="T6">
        <v>378</v>
      </c>
      <c r="U6">
        <v>337</v>
      </c>
      <c r="V6">
        <v>336</v>
      </c>
      <c r="W6">
        <v>318</v>
      </c>
      <c r="X6">
        <v>313</v>
      </c>
      <c r="Y6">
        <v>380</v>
      </c>
      <c r="Z6">
        <v>346</v>
      </c>
      <c r="AA6">
        <v>356</v>
      </c>
      <c r="AB6">
        <v>355</v>
      </c>
      <c r="AC6">
        <v>343</v>
      </c>
      <c r="AD6">
        <v>316</v>
      </c>
      <c r="AE6">
        <v>165</v>
      </c>
      <c r="AF6">
        <v>257</v>
      </c>
      <c r="AG6">
        <v>215</v>
      </c>
      <c r="AH6">
        <v>228</v>
      </c>
      <c r="AI6">
        <v>244</v>
      </c>
      <c r="AJ6">
        <v>254</v>
      </c>
      <c r="AK6">
        <v>220</v>
      </c>
      <c r="AL6">
        <v>231</v>
      </c>
      <c r="AM6">
        <v>228</v>
      </c>
      <c r="AN6">
        <v>210</v>
      </c>
      <c r="AO6">
        <v>226</v>
      </c>
      <c r="AP6">
        <v>258</v>
      </c>
      <c r="AQ6">
        <v>251</v>
      </c>
      <c r="AR6">
        <v>247</v>
      </c>
      <c r="AS6">
        <v>227</v>
      </c>
      <c r="AT6">
        <v>235</v>
      </c>
    </row>
    <row r="7" spans="1:46">
      <c r="A7" t="s">
        <v>9</v>
      </c>
      <c r="B7">
        <v>195</v>
      </c>
      <c r="C7">
        <v>280</v>
      </c>
      <c r="D7">
        <v>295</v>
      </c>
      <c r="E7">
        <v>282</v>
      </c>
      <c r="F7">
        <v>171</v>
      </c>
      <c r="G7">
        <v>238</v>
      </c>
      <c r="H7">
        <v>307</v>
      </c>
      <c r="I7">
        <v>271</v>
      </c>
      <c r="J7">
        <v>330</v>
      </c>
      <c r="K7">
        <v>270</v>
      </c>
      <c r="L7">
        <v>253</v>
      </c>
      <c r="M7">
        <v>295</v>
      </c>
      <c r="N7">
        <v>255</v>
      </c>
      <c r="O7">
        <v>278</v>
      </c>
      <c r="P7">
        <v>209</v>
      </c>
      <c r="Q7">
        <v>196</v>
      </c>
      <c r="R7">
        <v>200</v>
      </c>
      <c r="S7">
        <v>200</v>
      </c>
      <c r="T7">
        <v>148</v>
      </c>
      <c r="U7">
        <v>164</v>
      </c>
      <c r="V7">
        <v>124</v>
      </c>
      <c r="W7">
        <v>178</v>
      </c>
      <c r="X7">
        <v>138</v>
      </c>
      <c r="Y7">
        <v>145</v>
      </c>
      <c r="Z7">
        <v>167</v>
      </c>
      <c r="AA7">
        <v>187</v>
      </c>
      <c r="AB7">
        <v>188</v>
      </c>
      <c r="AC7">
        <v>183</v>
      </c>
      <c r="AD7">
        <v>190</v>
      </c>
      <c r="AE7">
        <v>270</v>
      </c>
      <c r="AF7">
        <v>221</v>
      </c>
      <c r="AG7">
        <v>162</v>
      </c>
      <c r="AH7">
        <v>165</v>
      </c>
      <c r="AI7">
        <v>165</v>
      </c>
      <c r="AJ7">
        <v>168</v>
      </c>
      <c r="AK7">
        <v>152</v>
      </c>
      <c r="AL7">
        <v>155</v>
      </c>
      <c r="AM7">
        <v>155</v>
      </c>
      <c r="AN7">
        <v>155</v>
      </c>
      <c r="AO7">
        <v>155</v>
      </c>
      <c r="AP7">
        <v>182</v>
      </c>
      <c r="AQ7">
        <v>227</v>
      </c>
      <c r="AR7">
        <v>227</v>
      </c>
      <c r="AS7">
        <v>254</v>
      </c>
      <c r="AT7">
        <v>254</v>
      </c>
    </row>
    <row r="8" spans="1:46">
      <c r="A8" t="s">
        <v>31</v>
      </c>
      <c r="B8">
        <v>-1180</v>
      </c>
      <c r="C8">
        <v>-1180</v>
      </c>
      <c r="D8">
        <v>-1160</v>
      </c>
      <c r="E8">
        <v>-1135</v>
      </c>
      <c r="F8">
        <v>-1150</v>
      </c>
      <c r="G8">
        <v>-1075</v>
      </c>
      <c r="H8">
        <v>-1145</v>
      </c>
      <c r="I8">
        <v>-1155</v>
      </c>
      <c r="J8">
        <v>-1170</v>
      </c>
      <c r="K8">
        <v>-1125</v>
      </c>
      <c r="L8">
        <v>-1175</v>
      </c>
      <c r="M8">
        <v>-1175</v>
      </c>
      <c r="N8">
        <v>-1195</v>
      </c>
      <c r="O8">
        <v>-1170</v>
      </c>
      <c r="P8">
        <v>-1200</v>
      </c>
      <c r="Q8">
        <v>-1175</v>
      </c>
      <c r="R8">
        <v>-1195</v>
      </c>
      <c r="S8">
        <v>-1205</v>
      </c>
      <c r="T8">
        <v>-1215</v>
      </c>
      <c r="U8">
        <v>-1220</v>
      </c>
      <c r="V8">
        <v>-1165</v>
      </c>
      <c r="W8">
        <v>-1180</v>
      </c>
      <c r="X8">
        <v>-1160</v>
      </c>
      <c r="Y8">
        <v>-1160</v>
      </c>
      <c r="Z8">
        <v>-1150</v>
      </c>
      <c r="AA8">
        <v>-1145</v>
      </c>
      <c r="AB8">
        <v>-1155</v>
      </c>
      <c r="AC8">
        <v>-1295</v>
      </c>
      <c r="AD8">
        <v>-1295</v>
      </c>
      <c r="AE8">
        <v>-1295</v>
      </c>
      <c r="AF8">
        <v>-1375</v>
      </c>
      <c r="AG8">
        <v>-1350</v>
      </c>
      <c r="AH8">
        <v>-1290</v>
      </c>
      <c r="AI8">
        <v>-1390</v>
      </c>
      <c r="AJ8">
        <v>-1380</v>
      </c>
      <c r="AK8">
        <v>-1380</v>
      </c>
      <c r="AL8">
        <v>-1570</v>
      </c>
      <c r="AM8">
        <v>-1570</v>
      </c>
      <c r="AN8">
        <v>-1630</v>
      </c>
      <c r="AO8">
        <v>-1835</v>
      </c>
      <c r="AP8">
        <v>-1765</v>
      </c>
      <c r="AQ8">
        <v>-1855</v>
      </c>
      <c r="AR8">
        <v>-1995</v>
      </c>
      <c r="AS8">
        <v>-2060</v>
      </c>
      <c r="AT8">
        <v>-2055</v>
      </c>
    </row>
    <row r="9" spans="1:46">
      <c r="A9" t="s">
        <v>17</v>
      </c>
      <c r="B9">
        <v>123</v>
      </c>
      <c r="C9">
        <v>198</v>
      </c>
      <c r="D9">
        <v>189</v>
      </c>
      <c r="E9">
        <v>185</v>
      </c>
      <c r="F9">
        <v>152</v>
      </c>
      <c r="G9">
        <v>180</v>
      </c>
      <c r="H9">
        <v>192</v>
      </c>
      <c r="I9">
        <v>189</v>
      </c>
      <c r="J9">
        <v>176</v>
      </c>
      <c r="K9">
        <v>178</v>
      </c>
      <c r="L9">
        <v>172</v>
      </c>
      <c r="M9">
        <v>140</v>
      </c>
      <c r="N9">
        <v>112</v>
      </c>
      <c r="O9">
        <v>84</v>
      </c>
      <c r="P9">
        <v>85</v>
      </c>
      <c r="Q9">
        <v>94</v>
      </c>
      <c r="R9">
        <v>76</v>
      </c>
      <c r="S9">
        <v>26</v>
      </c>
      <c r="T9">
        <v>30</v>
      </c>
      <c r="U9">
        <v>27</v>
      </c>
      <c r="V9">
        <v>-7</v>
      </c>
      <c r="W9">
        <v>-21</v>
      </c>
      <c r="X9">
        <v>-23</v>
      </c>
      <c r="Y9">
        <v>-29</v>
      </c>
      <c r="Z9">
        <v>-43</v>
      </c>
      <c r="AA9">
        <v>-43</v>
      </c>
      <c r="AB9">
        <v>-39</v>
      </c>
      <c r="AC9">
        <v>-39</v>
      </c>
      <c r="AD9">
        <v>-69</v>
      </c>
      <c r="AE9">
        <v>-69</v>
      </c>
      <c r="AF9">
        <v>-42</v>
      </c>
      <c r="AG9">
        <v>-52</v>
      </c>
      <c r="AH9">
        <v>-35</v>
      </c>
      <c r="AI9">
        <v>-30</v>
      </c>
      <c r="AJ9">
        <v>-45</v>
      </c>
      <c r="AK9">
        <v>-59</v>
      </c>
      <c r="AL9">
        <v>-75</v>
      </c>
      <c r="AM9">
        <v>-71</v>
      </c>
      <c r="AN9">
        <v>-71</v>
      </c>
      <c r="AO9">
        <v>-73</v>
      </c>
      <c r="AP9">
        <v>-56</v>
      </c>
      <c r="AQ9">
        <v>-63</v>
      </c>
      <c r="AR9">
        <v>-73</v>
      </c>
      <c r="AS9">
        <v>-76</v>
      </c>
      <c r="AT9">
        <v>-52</v>
      </c>
    </row>
    <row r="10" spans="1:46">
      <c r="A10" t="s">
        <v>32</v>
      </c>
      <c r="B10">
        <v>-185</v>
      </c>
      <c r="C10">
        <v>-110</v>
      </c>
      <c r="D10">
        <v>-95</v>
      </c>
      <c r="E10">
        <v>-120</v>
      </c>
      <c r="F10">
        <v>-165</v>
      </c>
      <c r="G10">
        <v>-65</v>
      </c>
      <c r="H10">
        <v>25</v>
      </c>
      <c r="I10">
        <v>-125</v>
      </c>
      <c r="J10">
        <v>-115</v>
      </c>
      <c r="K10">
        <v>-65</v>
      </c>
      <c r="L10">
        <v>-135</v>
      </c>
      <c r="M10">
        <v>-140</v>
      </c>
      <c r="N10">
        <v>-180</v>
      </c>
      <c r="O10">
        <v>-125</v>
      </c>
      <c r="P10">
        <v>-130</v>
      </c>
      <c r="Q10">
        <v>-125</v>
      </c>
      <c r="R10">
        <v>-130</v>
      </c>
      <c r="S10">
        <v>-100</v>
      </c>
      <c r="T10">
        <v>-40</v>
      </c>
      <c r="U10">
        <v>-110</v>
      </c>
      <c r="V10">
        <v>75</v>
      </c>
      <c r="W10">
        <v>-70</v>
      </c>
      <c r="X10">
        <v>-85</v>
      </c>
      <c r="Y10">
        <v>-35</v>
      </c>
      <c r="Z10">
        <v>-155</v>
      </c>
      <c r="AA10">
        <v>-125</v>
      </c>
      <c r="AB10">
        <v>-65</v>
      </c>
      <c r="AC10">
        <v>-45</v>
      </c>
      <c r="AD10">
        <v>-95</v>
      </c>
      <c r="AE10">
        <v>-10</v>
      </c>
      <c r="AF10">
        <v>-115</v>
      </c>
      <c r="AG10">
        <v>-125</v>
      </c>
      <c r="AH10">
        <v>-120</v>
      </c>
      <c r="AI10">
        <v>-25</v>
      </c>
      <c r="AJ10">
        <v>-85</v>
      </c>
      <c r="AK10">
        <v>-130</v>
      </c>
      <c r="AL10">
        <v>-155</v>
      </c>
      <c r="AM10">
        <v>-65</v>
      </c>
      <c r="AN10">
        <v>-125</v>
      </c>
      <c r="AO10">
        <v>-150</v>
      </c>
      <c r="AP10">
        <v>-20</v>
      </c>
      <c r="AQ10">
        <v>-205</v>
      </c>
      <c r="AR10">
        <v>-140</v>
      </c>
      <c r="AS10">
        <v>-160</v>
      </c>
      <c r="AT10">
        <v>-315</v>
      </c>
    </row>
    <row r="11" spans="1:46">
      <c r="A11" t="s">
        <v>21</v>
      </c>
      <c r="B11">
        <v>5</v>
      </c>
      <c r="C11">
        <v>-30</v>
      </c>
      <c r="D11">
        <v>0</v>
      </c>
      <c r="E11">
        <v>20</v>
      </c>
      <c r="F11">
        <v>-10</v>
      </c>
      <c r="G11">
        <v>70</v>
      </c>
      <c r="H11">
        <v>45</v>
      </c>
      <c r="I11">
        <v>10</v>
      </c>
      <c r="J11">
        <v>-40</v>
      </c>
      <c r="K11">
        <v>15</v>
      </c>
      <c r="L11">
        <v>-40</v>
      </c>
      <c r="M11">
        <v>-30</v>
      </c>
      <c r="N11">
        <v>-60</v>
      </c>
      <c r="O11">
        <v>-75</v>
      </c>
      <c r="P11">
        <v>-145</v>
      </c>
      <c r="Q11">
        <v>-155</v>
      </c>
      <c r="R11">
        <v>-130</v>
      </c>
      <c r="S11">
        <v>-170</v>
      </c>
      <c r="T11">
        <v>-200</v>
      </c>
      <c r="U11">
        <v>-155</v>
      </c>
      <c r="V11">
        <v>-170</v>
      </c>
      <c r="W11">
        <v>-130</v>
      </c>
      <c r="X11">
        <v>-165</v>
      </c>
      <c r="Y11">
        <v>-150</v>
      </c>
      <c r="Z11">
        <v>-50</v>
      </c>
      <c r="AA11">
        <v>-45</v>
      </c>
      <c r="AB11">
        <v>-30</v>
      </c>
      <c r="AC11">
        <v>-45</v>
      </c>
      <c r="AD11">
        <v>0</v>
      </c>
      <c r="AE11">
        <v>85</v>
      </c>
      <c r="AF11">
        <v>50</v>
      </c>
      <c r="AG11">
        <v>120</v>
      </c>
      <c r="AH11">
        <v>115</v>
      </c>
      <c r="AI11">
        <v>90</v>
      </c>
      <c r="AJ11">
        <v>85</v>
      </c>
      <c r="AK11">
        <v>95</v>
      </c>
      <c r="AL11">
        <v>125</v>
      </c>
      <c r="AM11">
        <v>100</v>
      </c>
      <c r="AN11">
        <v>45</v>
      </c>
      <c r="AO11">
        <v>67</v>
      </c>
      <c r="AP11">
        <v>60</v>
      </c>
      <c r="AQ11">
        <v>60</v>
      </c>
      <c r="AR11">
        <v>140</v>
      </c>
      <c r="AS11">
        <v>35</v>
      </c>
      <c r="AT11">
        <v>-50</v>
      </c>
    </row>
    <row r="12" spans="1:46">
      <c r="A12" t="s">
        <v>33</v>
      </c>
      <c r="B12">
        <v>-214</v>
      </c>
      <c r="C12">
        <v>-169</v>
      </c>
      <c r="D12">
        <v>-164</v>
      </c>
      <c r="E12">
        <v>-186</v>
      </c>
      <c r="F12">
        <v>-244</v>
      </c>
      <c r="G12">
        <v>-225</v>
      </c>
      <c r="H12">
        <v>-247</v>
      </c>
      <c r="I12">
        <v>-291</v>
      </c>
      <c r="J12">
        <v>-258</v>
      </c>
      <c r="K12">
        <v>-253</v>
      </c>
      <c r="L12">
        <v>-271</v>
      </c>
      <c r="M12">
        <v>-266</v>
      </c>
      <c r="N12">
        <v>-308</v>
      </c>
      <c r="O12">
        <v>-292</v>
      </c>
      <c r="P12">
        <v>-262</v>
      </c>
      <c r="Q12">
        <v>-222</v>
      </c>
      <c r="R12">
        <v>-258</v>
      </c>
      <c r="S12">
        <v>-239</v>
      </c>
      <c r="T12">
        <v>-283</v>
      </c>
      <c r="U12">
        <v>-227</v>
      </c>
      <c r="V12">
        <v>-258</v>
      </c>
      <c r="W12">
        <v>-250</v>
      </c>
      <c r="X12">
        <v>-238</v>
      </c>
      <c r="Y12">
        <v>-216</v>
      </c>
      <c r="Z12">
        <v>-155</v>
      </c>
      <c r="AA12">
        <v>-165</v>
      </c>
      <c r="AB12">
        <v>-117</v>
      </c>
      <c r="AC12">
        <v>-143</v>
      </c>
      <c r="AD12">
        <v>-148</v>
      </c>
      <c r="AE12">
        <v>-129</v>
      </c>
      <c r="AF12">
        <v>-111</v>
      </c>
      <c r="AG12">
        <v>-45</v>
      </c>
      <c r="AH12">
        <v>-49</v>
      </c>
      <c r="AI12">
        <v>-47</v>
      </c>
      <c r="AJ12">
        <v>-47</v>
      </c>
      <c r="AK12">
        <v>-59</v>
      </c>
      <c r="AL12">
        <v>-54</v>
      </c>
      <c r="AM12">
        <v>-16</v>
      </c>
      <c r="AN12">
        <v>-75</v>
      </c>
      <c r="AO12">
        <v>-42</v>
      </c>
      <c r="AP12">
        <v>-59</v>
      </c>
      <c r="AQ12">
        <v>-32</v>
      </c>
      <c r="AR12">
        <v>0</v>
      </c>
      <c r="AS12">
        <v>-53</v>
      </c>
      <c r="AT12">
        <v>-135</v>
      </c>
    </row>
    <row r="13" spans="1:46">
      <c r="A13" t="s">
        <v>13</v>
      </c>
      <c r="B13">
        <v>-8</v>
      </c>
      <c r="C13">
        <v>42</v>
      </c>
      <c r="D13">
        <v>-2</v>
      </c>
      <c r="E13">
        <v>34</v>
      </c>
      <c r="F13">
        <v>30</v>
      </c>
      <c r="G13">
        <v>12</v>
      </c>
      <c r="H13">
        <v>-2</v>
      </c>
      <c r="I13">
        <v>-24</v>
      </c>
      <c r="J13">
        <v>-12</v>
      </c>
      <c r="K13">
        <v>8</v>
      </c>
      <c r="L13">
        <v>-19</v>
      </c>
      <c r="M13">
        <v>60</v>
      </c>
      <c r="N13">
        <v>80</v>
      </c>
      <c r="O13">
        <v>97</v>
      </c>
      <c r="P13">
        <v>126</v>
      </c>
      <c r="Q13">
        <v>174</v>
      </c>
      <c r="R13">
        <v>146</v>
      </c>
      <c r="S13">
        <v>110</v>
      </c>
      <c r="T13">
        <v>170</v>
      </c>
      <c r="U13">
        <v>168</v>
      </c>
      <c r="V13">
        <v>275</v>
      </c>
      <c r="W13">
        <v>302</v>
      </c>
      <c r="X13">
        <v>323</v>
      </c>
      <c r="Y13">
        <v>306</v>
      </c>
      <c r="Z13">
        <v>342</v>
      </c>
      <c r="AA13">
        <v>239</v>
      </c>
      <c r="AB13">
        <v>263</v>
      </c>
      <c r="AC13">
        <v>287</v>
      </c>
      <c r="AD13">
        <v>312</v>
      </c>
      <c r="AE13">
        <v>298</v>
      </c>
      <c r="AF13">
        <v>309</v>
      </c>
      <c r="AG13">
        <v>86</v>
      </c>
      <c r="AH13">
        <v>98</v>
      </c>
      <c r="AI13">
        <v>78</v>
      </c>
      <c r="AJ13">
        <v>46</v>
      </c>
      <c r="AK13">
        <v>30</v>
      </c>
      <c r="AL13">
        <v>38</v>
      </c>
      <c r="AM13">
        <v>-6</v>
      </c>
      <c r="AN13">
        <v>-19</v>
      </c>
      <c r="AO13">
        <v>0</v>
      </c>
      <c r="AP13">
        <v>14</v>
      </c>
      <c r="AQ13">
        <v>-35</v>
      </c>
      <c r="AR13">
        <v>-65</v>
      </c>
      <c r="AS13">
        <v>-34</v>
      </c>
      <c r="AT13">
        <v>-35</v>
      </c>
    </row>
    <row r="14" spans="1:46">
      <c r="A14" t="s">
        <v>26</v>
      </c>
      <c r="B14">
        <v>-40</v>
      </c>
      <c r="C14">
        <v>-101</v>
      </c>
      <c r="D14">
        <v>-99</v>
      </c>
      <c r="E14">
        <v>-159</v>
      </c>
      <c r="F14">
        <v>-197</v>
      </c>
      <c r="G14">
        <v>-157</v>
      </c>
      <c r="H14">
        <v>-145</v>
      </c>
      <c r="I14">
        <v>-167</v>
      </c>
      <c r="J14">
        <v>-165</v>
      </c>
      <c r="K14">
        <v>-83</v>
      </c>
      <c r="L14">
        <v>-113</v>
      </c>
      <c r="M14">
        <v>-95</v>
      </c>
      <c r="N14">
        <v>-97</v>
      </c>
      <c r="O14">
        <v>-79</v>
      </c>
      <c r="P14">
        <v>-66</v>
      </c>
      <c r="Q14">
        <v>-36</v>
      </c>
      <c r="R14">
        <v>-26</v>
      </c>
      <c r="S14">
        <v>-10</v>
      </c>
      <c r="T14">
        <v>-80</v>
      </c>
      <c r="U14">
        <v>-42</v>
      </c>
      <c r="V14">
        <v>-50</v>
      </c>
      <c r="W14">
        <v>-50</v>
      </c>
      <c r="X14">
        <v>-72</v>
      </c>
      <c r="Y14">
        <v>-56</v>
      </c>
      <c r="Z14">
        <v>-92</v>
      </c>
      <c r="AA14">
        <v>-106</v>
      </c>
      <c r="AB14">
        <v>-120</v>
      </c>
      <c r="AC14">
        <v>-106</v>
      </c>
      <c r="AD14">
        <v>-116</v>
      </c>
      <c r="AE14">
        <v>-104</v>
      </c>
      <c r="AF14">
        <v>-46</v>
      </c>
      <c r="AG14">
        <v>-18</v>
      </c>
      <c r="AH14">
        <v>-28</v>
      </c>
      <c r="AI14">
        <v>-48</v>
      </c>
      <c r="AJ14">
        <v>-88</v>
      </c>
      <c r="AK14">
        <v>-122</v>
      </c>
      <c r="AL14">
        <v>-216</v>
      </c>
      <c r="AM14">
        <v>-210</v>
      </c>
      <c r="AN14">
        <v>-268</v>
      </c>
      <c r="AO14">
        <v>-332</v>
      </c>
      <c r="AP14">
        <v>-326</v>
      </c>
      <c r="AQ14">
        <v>-350</v>
      </c>
      <c r="AR14">
        <v>-340</v>
      </c>
      <c r="AS14">
        <v>-376</v>
      </c>
      <c r="AT14">
        <v>-516</v>
      </c>
    </row>
    <row r="15" spans="1:46">
      <c r="A15" t="s">
        <v>6</v>
      </c>
      <c r="B15">
        <v>108</v>
      </c>
      <c r="C15">
        <v>206</v>
      </c>
      <c r="D15">
        <v>223</v>
      </c>
      <c r="E15">
        <v>201</v>
      </c>
      <c r="F15">
        <v>201</v>
      </c>
      <c r="G15">
        <v>211</v>
      </c>
      <c r="H15">
        <v>249</v>
      </c>
      <c r="I15">
        <v>300</v>
      </c>
      <c r="J15">
        <v>302</v>
      </c>
      <c r="K15">
        <v>260</v>
      </c>
      <c r="L15">
        <v>167</v>
      </c>
      <c r="M15">
        <v>194</v>
      </c>
      <c r="N15">
        <v>195</v>
      </c>
      <c r="O15">
        <v>142</v>
      </c>
      <c r="P15">
        <v>187</v>
      </c>
      <c r="Q15">
        <v>113</v>
      </c>
      <c r="R15">
        <v>33</v>
      </c>
      <c r="S15">
        <v>4</v>
      </c>
      <c r="T15">
        <v>1</v>
      </c>
      <c r="U15">
        <v>-208</v>
      </c>
      <c r="V15">
        <v>-187</v>
      </c>
      <c r="W15">
        <v>-148</v>
      </c>
      <c r="X15">
        <v>-145</v>
      </c>
      <c r="Y15">
        <v>-86</v>
      </c>
      <c r="Z15">
        <v>-71</v>
      </c>
      <c r="AA15">
        <v>0</v>
      </c>
      <c r="AB15">
        <v>39</v>
      </c>
      <c r="AC15">
        <v>50</v>
      </c>
      <c r="AD15">
        <v>91</v>
      </c>
      <c r="AE15">
        <v>68</v>
      </c>
      <c r="AF15">
        <v>159</v>
      </c>
      <c r="AG15">
        <v>164</v>
      </c>
      <c r="AH15">
        <v>169</v>
      </c>
      <c r="AI15">
        <v>160</v>
      </c>
      <c r="AJ15">
        <v>128</v>
      </c>
      <c r="AK15">
        <v>113</v>
      </c>
      <c r="AL15">
        <v>117</v>
      </c>
      <c r="AM15">
        <v>113</v>
      </c>
      <c r="AN15">
        <v>236</v>
      </c>
      <c r="AO15">
        <v>250</v>
      </c>
      <c r="AP15">
        <v>288</v>
      </c>
      <c r="AQ15">
        <v>283</v>
      </c>
      <c r="AR15">
        <v>265</v>
      </c>
      <c r="AS15">
        <v>345</v>
      </c>
      <c r="AT15">
        <v>356</v>
      </c>
    </row>
    <row r="16" spans="1:46">
      <c r="A16" t="s">
        <v>15</v>
      </c>
      <c r="B16">
        <v>-341</v>
      </c>
      <c r="C16">
        <v>-257</v>
      </c>
      <c r="D16">
        <v>-195</v>
      </c>
      <c r="E16">
        <v>-169</v>
      </c>
      <c r="F16">
        <v>-147</v>
      </c>
      <c r="G16">
        <v>-118</v>
      </c>
      <c r="H16">
        <v>-115</v>
      </c>
      <c r="I16">
        <v>-121</v>
      </c>
      <c r="J16">
        <v>-154</v>
      </c>
      <c r="K16">
        <v>-157</v>
      </c>
      <c r="L16">
        <v>-104</v>
      </c>
      <c r="M16">
        <v>-95</v>
      </c>
      <c r="N16">
        <v>-101</v>
      </c>
      <c r="O16">
        <v>-113</v>
      </c>
      <c r="P16">
        <v>-109</v>
      </c>
      <c r="Q16">
        <v>-63</v>
      </c>
      <c r="R16">
        <v>-54</v>
      </c>
      <c r="S16">
        <v>-49</v>
      </c>
      <c r="T16">
        <v>-39</v>
      </c>
      <c r="U16">
        <v>-52</v>
      </c>
      <c r="V16">
        <v>-101</v>
      </c>
      <c r="W16">
        <v>-88</v>
      </c>
      <c r="X16">
        <v>-104</v>
      </c>
      <c r="Y16">
        <v>-100</v>
      </c>
      <c r="Z16">
        <v>-105</v>
      </c>
      <c r="AA16">
        <v>-97</v>
      </c>
      <c r="AB16">
        <v>-87</v>
      </c>
      <c r="AC16">
        <v>-73</v>
      </c>
      <c r="AD16">
        <v>-60</v>
      </c>
      <c r="AE16">
        <v>-46</v>
      </c>
      <c r="AF16">
        <v>-32</v>
      </c>
      <c r="AG16">
        <v>15</v>
      </c>
      <c r="AH16">
        <v>18</v>
      </c>
      <c r="AI16">
        <v>23</v>
      </c>
      <c r="AJ16">
        <v>24</v>
      </c>
      <c r="AK16">
        <v>44</v>
      </c>
      <c r="AL16">
        <v>63</v>
      </c>
      <c r="AM16">
        <v>75</v>
      </c>
      <c r="AN16">
        <v>79</v>
      </c>
      <c r="AO16">
        <v>96</v>
      </c>
      <c r="AP16">
        <v>93</v>
      </c>
      <c r="AQ16">
        <v>43</v>
      </c>
      <c r="AR16">
        <v>38</v>
      </c>
      <c r="AS16">
        <v>40</v>
      </c>
      <c r="AT16">
        <v>43</v>
      </c>
    </row>
    <row r="17" spans="1:46">
      <c r="A17" t="s">
        <v>11</v>
      </c>
      <c r="B17">
        <v>33</v>
      </c>
      <c r="C17">
        <v>27</v>
      </c>
      <c r="D17">
        <v>69</v>
      </c>
      <c r="E17">
        <v>67</v>
      </c>
      <c r="F17">
        <v>42</v>
      </c>
      <c r="G17">
        <v>92</v>
      </c>
      <c r="H17">
        <v>76</v>
      </c>
      <c r="I17">
        <v>70</v>
      </c>
      <c r="J17">
        <v>78</v>
      </c>
      <c r="K17">
        <v>74</v>
      </c>
      <c r="L17">
        <v>120</v>
      </c>
      <c r="M17">
        <v>107</v>
      </c>
      <c r="N17">
        <v>121</v>
      </c>
      <c r="O17">
        <v>167</v>
      </c>
      <c r="P17">
        <v>124</v>
      </c>
      <c r="Q17">
        <v>145</v>
      </c>
      <c r="R17">
        <v>162</v>
      </c>
      <c r="S17">
        <v>166</v>
      </c>
      <c r="T17">
        <v>167</v>
      </c>
      <c r="U17">
        <v>169</v>
      </c>
      <c r="V17">
        <v>149</v>
      </c>
      <c r="W17">
        <v>159</v>
      </c>
      <c r="X17">
        <v>163</v>
      </c>
      <c r="Y17">
        <v>203</v>
      </c>
      <c r="Z17">
        <v>161</v>
      </c>
      <c r="AA17">
        <v>119</v>
      </c>
      <c r="AB17">
        <v>112</v>
      </c>
      <c r="AC17">
        <v>134</v>
      </c>
      <c r="AD17">
        <v>127</v>
      </c>
      <c r="AE17">
        <v>89</v>
      </c>
      <c r="AF17">
        <v>0</v>
      </c>
      <c r="AG17">
        <v>83</v>
      </c>
      <c r="AH17">
        <v>99</v>
      </c>
      <c r="AI17">
        <v>55</v>
      </c>
      <c r="AJ17">
        <v>96</v>
      </c>
      <c r="AK17">
        <v>82</v>
      </c>
      <c r="AL17">
        <v>81</v>
      </c>
      <c r="AM17">
        <v>79</v>
      </c>
      <c r="AN17">
        <v>84</v>
      </c>
      <c r="AO17">
        <v>91</v>
      </c>
      <c r="AP17">
        <v>85</v>
      </c>
      <c r="AQ17">
        <v>60</v>
      </c>
      <c r="AR17">
        <v>62</v>
      </c>
      <c r="AS17">
        <v>37</v>
      </c>
      <c r="AT17">
        <v>69</v>
      </c>
    </row>
    <row r="18" spans="1:46">
      <c r="A18" t="s">
        <v>23</v>
      </c>
      <c r="B18">
        <v>18</v>
      </c>
      <c r="C18">
        <v>-53</v>
      </c>
      <c r="D18">
        <v>-28</v>
      </c>
      <c r="E18">
        <v>-9</v>
      </c>
      <c r="F18">
        <v>-13</v>
      </c>
      <c r="G18">
        <v>27</v>
      </c>
      <c r="H18">
        <v>4</v>
      </c>
      <c r="I18">
        <v>3</v>
      </c>
      <c r="J18">
        <v>-30</v>
      </c>
      <c r="K18">
        <v>-5</v>
      </c>
      <c r="L18">
        <v>7</v>
      </c>
      <c r="M18">
        <v>-31</v>
      </c>
      <c r="N18">
        <v>-7</v>
      </c>
      <c r="O18">
        <v>-20</v>
      </c>
      <c r="P18">
        <v>1</v>
      </c>
      <c r="Q18">
        <v>36</v>
      </c>
      <c r="R18">
        <v>41</v>
      </c>
      <c r="S18">
        <v>13</v>
      </c>
      <c r="T18">
        <v>19</v>
      </c>
      <c r="U18">
        <v>13</v>
      </c>
      <c r="V18">
        <v>14</v>
      </c>
      <c r="W18">
        <v>14</v>
      </c>
      <c r="X18">
        <v>14</v>
      </c>
      <c r="Y18">
        <v>36</v>
      </c>
      <c r="Z18">
        <v>32</v>
      </c>
      <c r="AA18">
        <v>-7</v>
      </c>
      <c r="AB18">
        <v>-3</v>
      </c>
      <c r="AC18">
        <v>-2</v>
      </c>
      <c r="AD18">
        <v>1</v>
      </c>
      <c r="AE18">
        <v>-7</v>
      </c>
      <c r="AF18">
        <v>-147</v>
      </c>
      <c r="AG18">
        <v>-85</v>
      </c>
      <c r="AH18">
        <v>-75</v>
      </c>
      <c r="AI18">
        <v>-80</v>
      </c>
      <c r="AJ18">
        <v>-43</v>
      </c>
      <c r="AK18">
        <v>-38</v>
      </c>
      <c r="AL18">
        <v>-36</v>
      </c>
      <c r="AM18">
        <v>-37</v>
      </c>
      <c r="AN18">
        <v>-33</v>
      </c>
      <c r="AO18">
        <v>-47</v>
      </c>
      <c r="AP18">
        <v>-53</v>
      </c>
      <c r="AQ18">
        <v>-53</v>
      </c>
      <c r="AR18">
        <v>-61</v>
      </c>
      <c r="AS18">
        <v>-49</v>
      </c>
      <c r="AT18">
        <v>-62</v>
      </c>
    </row>
    <row r="19" spans="1:46">
      <c r="A19" t="s">
        <v>14</v>
      </c>
      <c r="B19">
        <v>72</v>
      </c>
      <c r="C19">
        <v>80</v>
      </c>
      <c r="D19">
        <v>95</v>
      </c>
      <c r="E19">
        <v>90</v>
      </c>
      <c r="F19">
        <v>146</v>
      </c>
      <c r="G19">
        <v>147</v>
      </c>
      <c r="H19">
        <v>144</v>
      </c>
      <c r="I19">
        <v>145</v>
      </c>
      <c r="J19">
        <v>141</v>
      </c>
      <c r="K19">
        <v>179</v>
      </c>
      <c r="L19">
        <v>195</v>
      </c>
      <c r="M19">
        <v>185</v>
      </c>
      <c r="N19">
        <v>180</v>
      </c>
      <c r="O19">
        <v>165</v>
      </c>
      <c r="P19">
        <v>160</v>
      </c>
      <c r="Q19">
        <v>166</v>
      </c>
      <c r="R19">
        <v>174</v>
      </c>
      <c r="S19">
        <v>180</v>
      </c>
      <c r="T19">
        <v>183</v>
      </c>
      <c r="U19">
        <v>189</v>
      </c>
      <c r="V19">
        <v>180</v>
      </c>
      <c r="W19">
        <v>163</v>
      </c>
      <c r="X19">
        <v>131</v>
      </c>
      <c r="Y19">
        <v>137</v>
      </c>
      <c r="Z19">
        <v>114</v>
      </c>
      <c r="AA19">
        <v>119</v>
      </c>
      <c r="AB19">
        <v>101</v>
      </c>
      <c r="AC19">
        <v>104</v>
      </c>
      <c r="AD19">
        <v>100</v>
      </c>
      <c r="AE19">
        <v>90</v>
      </c>
      <c r="AF19">
        <v>84</v>
      </c>
      <c r="AG19">
        <v>87</v>
      </c>
      <c r="AH19">
        <v>100</v>
      </c>
      <c r="AI19">
        <v>87</v>
      </c>
      <c r="AJ19">
        <v>79</v>
      </c>
      <c r="AK19">
        <v>75</v>
      </c>
      <c r="AL19">
        <v>76</v>
      </c>
      <c r="AM19">
        <v>75</v>
      </c>
      <c r="AN19">
        <v>73</v>
      </c>
      <c r="AO19">
        <v>66</v>
      </c>
      <c r="AP19">
        <v>64</v>
      </c>
      <c r="AQ19">
        <v>80</v>
      </c>
      <c r="AR19">
        <v>75</v>
      </c>
      <c r="AS19">
        <v>75</v>
      </c>
      <c r="AT19">
        <v>74</v>
      </c>
    </row>
    <row r="20" spans="1:46">
      <c r="A20" t="s">
        <v>8</v>
      </c>
      <c r="B20">
        <v>68</v>
      </c>
      <c r="C20">
        <v>42</v>
      </c>
      <c r="D20">
        <v>115</v>
      </c>
      <c r="E20">
        <v>113</v>
      </c>
      <c r="F20">
        <v>109</v>
      </c>
      <c r="G20">
        <v>116</v>
      </c>
      <c r="H20">
        <v>110</v>
      </c>
      <c r="I20">
        <v>119</v>
      </c>
      <c r="J20">
        <v>105</v>
      </c>
      <c r="K20">
        <v>112</v>
      </c>
      <c r="L20">
        <v>169</v>
      </c>
      <c r="M20">
        <v>150</v>
      </c>
      <c r="N20">
        <v>153</v>
      </c>
      <c r="O20">
        <v>143</v>
      </c>
      <c r="P20">
        <v>141</v>
      </c>
      <c r="Q20">
        <v>146</v>
      </c>
      <c r="R20">
        <v>140</v>
      </c>
      <c r="S20">
        <v>135</v>
      </c>
      <c r="T20">
        <v>141</v>
      </c>
      <c r="U20">
        <v>128</v>
      </c>
      <c r="V20">
        <v>112</v>
      </c>
      <c r="W20">
        <v>109</v>
      </c>
      <c r="X20">
        <v>92</v>
      </c>
      <c r="Y20">
        <v>88</v>
      </c>
      <c r="Z20">
        <v>116</v>
      </c>
      <c r="AA20">
        <v>113</v>
      </c>
      <c r="AB20">
        <v>116</v>
      </c>
      <c r="AC20">
        <v>117</v>
      </c>
      <c r="AD20">
        <v>59</v>
      </c>
      <c r="AE20">
        <v>58</v>
      </c>
      <c r="AF20">
        <v>58</v>
      </c>
      <c r="AG20">
        <v>57</v>
      </c>
      <c r="AH20">
        <v>76</v>
      </c>
      <c r="AI20">
        <v>53</v>
      </c>
      <c r="AJ20">
        <v>48</v>
      </c>
      <c r="AK20">
        <v>41</v>
      </c>
      <c r="AL20">
        <v>39</v>
      </c>
      <c r="AM20">
        <v>46</v>
      </c>
      <c r="AN20">
        <v>51</v>
      </c>
      <c r="AO20">
        <v>59</v>
      </c>
      <c r="AP20">
        <v>54</v>
      </c>
      <c r="AQ20">
        <v>87</v>
      </c>
      <c r="AR20">
        <v>84</v>
      </c>
      <c r="AS20">
        <v>80</v>
      </c>
      <c r="AT20">
        <v>114</v>
      </c>
    </row>
    <row r="21" spans="1:46">
      <c r="A21" t="s">
        <v>34</v>
      </c>
      <c r="B21">
        <v>44</v>
      </c>
      <c r="C21">
        <v>-204</v>
      </c>
      <c r="D21">
        <v>-168</v>
      </c>
      <c r="E21">
        <v>-254</v>
      </c>
      <c r="F21">
        <v>-170</v>
      </c>
      <c r="G21">
        <v>-92</v>
      </c>
      <c r="H21">
        <v>-132</v>
      </c>
      <c r="I21">
        <v>-86</v>
      </c>
      <c r="J21">
        <v>-126</v>
      </c>
      <c r="K21">
        <v>-118</v>
      </c>
      <c r="L21">
        <v>-126</v>
      </c>
      <c r="M21">
        <v>-82</v>
      </c>
      <c r="N21">
        <v>-148</v>
      </c>
      <c r="O21">
        <v>-152</v>
      </c>
      <c r="P21">
        <v>-114</v>
      </c>
      <c r="Q21">
        <v>-132</v>
      </c>
      <c r="R21">
        <v>-124</v>
      </c>
      <c r="S21">
        <v>-154</v>
      </c>
      <c r="T21">
        <v>-128</v>
      </c>
      <c r="U21">
        <v>-100</v>
      </c>
      <c r="V21">
        <v>-150</v>
      </c>
      <c r="W21">
        <v>-92</v>
      </c>
      <c r="X21">
        <v>-158</v>
      </c>
      <c r="Y21">
        <v>-186</v>
      </c>
      <c r="Z21">
        <v>-210</v>
      </c>
      <c r="AA21">
        <v>-224</v>
      </c>
      <c r="AB21">
        <v>-216</v>
      </c>
      <c r="AC21">
        <v>-178</v>
      </c>
      <c r="AD21">
        <v>-194</v>
      </c>
      <c r="AE21">
        <v>-222</v>
      </c>
      <c r="AF21">
        <v>-216</v>
      </c>
      <c r="AG21">
        <v>-190</v>
      </c>
      <c r="AH21">
        <v>-200</v>
      </c>
      <c r="AI21">
        <v>-196</v>
      </c>
      <c r="AJ21">
        <v>-178</v>
      </c>
      <c r="AK21">
        <v>-234</v>
      </c>
      <c r="AL21">
        <v>-206</v>
      </c>
      <c r="AM21">
        <v>-268</v>
      </c>
      <c r="AN21">
        <v>-282</v>
      </c>
      <c r="AO21">
        <v>-246</v>
      </c>
      <c r="AP21">
        <v>-310</v>
      </c>
      <c r="AQ21">
        <v>-344</v>
      </c>
      <c r="AR21">
        <v>-306</v>
      </c>
      <c r="AS21">
        <v>-354</v>
      </c>
      <c r="AT21">
        <v>-334</v>
      </c>
    </row>
    <row r="22" spans="1:46">
      <c r="A22" t="s">
        <v>25</v>
      </c>
      <c r="B22">
        <v>10</v>
      </c>
      <c r="C22">
        <v>-74</v>
      </c>
      <c r="D22">
        <v>-52</v>
      </c>
      <c r="E22">
        <v>-70</v>
      </c>
      <c r="F22">
        <v>-52</v>
      </c>
      <c r="G22">
        <v>-30</v>
      </c>
      <c r="H22">
        <v>-68</v>
      </c>
      <c r="I22">
        <v>-76</v>
      </c>
      <c r="J22">
        <v>-74</v>
      </c>
      <c r="K22">
        <v>-62</v>
      </c>
      <c r="L22">
        <v>-48</v>
      </c>
      <c r="M22">
        <v>-40</v>
      </c>
      <c r="N22">
        <v>-116</v>
      </c>
      <c r="O22">
        <v>-96</v>
      </c>
      <c r="P22">
        <v>-64</v>
      </c>
      <c r="Q22">
        <v>-84</v>
      </c>
      <c r="R22">
        <v>-90</v>
      </c>
      <c r="S22">
        <v>-96</v>
      </c>
      <c r="T22">
        <v>-52</v>
      </c>
      <c r="U22">
        <v>-10</v>
      </c>
      <c r="V22">
        <v>-66</v>
      </c>
      <c r="W22">
        <v>-28</v>
      </c>
      <c r="X22">
        <v>-46</v>
      </c>
      <c r="Y22">
        <v>-88</v>
      </c>
      <c r="Z22">
        <v>-32</v>
      </c>
      <c r="AA22">
        <v>-70</v>
      </c>
      <c r="AB22">
        <v>-62</v>
      </c>
      <c r="AC22">
        <v>-66</v>
      </c>
      <c r="AD22">
        <v>-80</v>
      </c>
      <c r="AE22">
        <v>-122</v>
      </c>
      <c r="AF22">
        <v>-100</v>
      </c>
      <c r="AG22">
        <v>-126</v>
      </c>
      <c r="AH22">
        <v>-148</v>
      </c>
      <c r="AI22">
        <v>-162</v>
      </c>
      <c r="AJ22">
        <v>-110</v>
      </c>
      <c r="AK22">
        <v>-150</v>
      </c>
      <c r="AL22">
        <v>-136</v>
      </c>
      <c r="AM22">
        <v>-144</v>
      </c>
      <c r="AN22">
        <v>-146</v>
      </c>
      <c r="AO22">
        <v>-154</v>
      </c>
      <c r="AP22">
        <v>-180</v>
      </c>
      <c r="AQ22">
        <v>-164</v>
      </c>
      <c r="AR22">
        <v>-166</v>
      </c>
      <c r="AS22">
        <v>-164</v>
      </c>
      <c r="AT22">
        <v>-158</v>
      </c>
    </row>
    <row r="23" spans="1:46">
      <c r="A23" t="s">
        <v>16</v>
      </c>
      <c r="B23">
        <v>136</v>
      </c>
      <c r="C23">
        <v>66</v>
      </c>
      <c r="D23">
        <v>92</v>
      </c>
      <c r="E23">
        <v>62</v>
      </c>
      <c r="F23">
        <v>56</v>
      </c>
      <c r="G23">
        <v>96</v>
      </c>
      <c r="H23">
        <v>92</v>
      </c>
      <c r="I23">
        <v>160</v>
      </c>
      <c r="J23">
        <v>120</v>
      </c>
      <c r="K23">
        <v>112</v>
      </c>
      <c r="L23">
        <v>72</v>
      </c>
      <c r="M23">
        <v>126</v>
      </c>
      <c r="N23">
        <v>78</v>
      </c>
      <c r="O23">
        <v>78</v>
      </c>
      <c r="P23">
        <v>-72</v>
      </c>
      <c r="Q23">
        <v>-54</v>
      </c>
      <c r="R23">
        <v>-92</v>
      </c>
      <c r="S23">
        <v>-116</v>
      </c>
      <c r="T23">
        <v>-28</v>
      </c>
      <c r="U23">
        <v>-24</v>
      </c>
      <c r="V23">
        <v>-24</v>
      </c>
      <c r="W23">
        <v>-32</v>
      </c>
      <c r="X23">
        <v>-40</v>
      </c>
      <c r="Y23">
        <v>-42</v>
      </c>
      <c r="Z23">
        <v>-94</v>
      </c>
      <c r="AA23">
        <v>-146</v>
      </c>
      <c r="AB23">
        <v>-124</v>
      </c>
      <c r="AC23">
        <v>-1116</v>
      </c>
      <c r="AD23">
        <v>-108</v>
      </c>
      <c r="AE23">
        <v>-98</v>
      </c>
      <c r="AF23">
        <v>8</v>
      </c>
      <c r="AG23">
        <v>8</v>
      </c>
      <c r="AH23">
        <v>-40</v>
      </c>
      <c r="AI23">
        <v>-44</v>
      </c>
      <c r="AJ23">
        <v>-46</v>
      </c>
      <c r="AK23">
        <v>-80</v>
      </c>
      <c r="AL23">
        <v>-76</v>
      </c>
      <c r="AM23">
        <v>-78</v>
      </c>
      <c r="AN23">
        <v>-108</v>
      </c>
      <c r="AO23">
        <v>-78</v>
      </c>
      <c r="AP23">
        <v>-150</v>
      </c>
      <c r="AQ23">
        <v>-170</v>
      </c>
      <c r="AR23">
        <v>-130</v>
      </c>
      <c r="AS23">
        <v>-146</v>
      </c>
      <c r="AT23">
        <v>-124</v>
      </c>
    </row>
    <row r="24" spans="1:46">
      <c r="A24" t="s">
        <v>10</v>
      </c>
      <c r="B24">
        <v>109</v>
      </c>
      <c r="C24">
        <v>120</v>
      </c>
      <c r="D24">
        <v>142</v>
      </c>
      <c r="E24">
        <v>122</v>
      </c>
      <c r="F24">
        <v>139</v>
      </c>
      <c r="G24">
        <v>111</v>
      </c>
      <c r="H24">
        <v>52</v>
      </c>
      <c r="I24">
        <v>19</v>
      </c>
      <c r="J24">
        <v>3</v>
      </c>
      <c r="K24">
        <v>-11</v>
      </c>
      <c r="L24">
        <v>6</v>
      </c>
      <c r="M24">
        <v>18</v>
      </c>
      <c r="N24">
        <v>12</v>
      </c>
      <c r="O24">
        <v>40</v>
      </c>
      <c r="P24">
        <v>54</v>
      </c>
      <c r="Q24">
        <v>36</v>
      </c>
      <c r="R24">
        <v>50</v>
      </c>
      <c r="S24">
        <v>39</v>
      </c>
      <c r="T24">
        <v>206</v>
      </c>
      <c r="U24">
        <v>105</v>
      </c>
      <c r="V24">
        <v>111</v>
      </c>
      <c r="W24">
        <v>104</v>
      </c>
      <c r="X24">
        <v>134</v>
      </c>
      <c r="Y24">
        <v>134</v>
      </c>
      <c r="Z24">
        <v>280</v>
      </c>
      <c r="AA24">
        <v>286</v>
      </c>
      <c r="AB24">
        <v>304</v>
      </c>
      <c r="AC24">
        <v>175</v>
      </c>
      <c r="AD24">
        <v>153</v>
      </c>
      <c r="AE24">
        <v>161</v>
      </c>
      <c r="AF24">
        <v>202</v>
      </c>
      <c r="AG24">
        <v>178</v>
      </c>
      <c r="AH24">
        <v>153</v>
      </c>
      <c r="AI24">
        <v>144</v>
      </c>
      <c r="AJ24">
        <v>197</v>
      </c>
      <c r="AK24">
        <v>156</v>
      </c>
      <c r="AL24">
        <v>178</v>
      </c>
      <c r="AM24">
        <v>156</v>
      </c>
      <c r="AN24">
        <v>155</v>
      </c>
      <c r="AO24">
        <v>213</v>
      </c>
      <c r="AP24">
        <v>206</v>
      </c>
      <c r="AQ24">
        <v>195</v>
      </c>
      <c r="AR24">
        <v>246</v>
      </c>
      <c r="AS24">
        <v>248</v>
      </c>
      <c r="AT24">
        <v>227</v>
      </c>
    </row>
    <row r="25" spans="1:46">
      <c r="A25" t="s">
        <v>35</v>
      </c>
      <c r="B25">
        <v>80</v>
      </c>
      <c r="C25">
        <v>145</v>
      </c>
      <c r="D25">
        <v>125</v>
      </c>
      <c r="E25">
        <v>115</v>
      </c>
      <c r="F25">
        <v>85</v>
      </c>
      <c r="G25">
        <v>205</v>
      </c>
      <c r="H25">
        <v>160</v>
      </c>
      <c r="I25">
        <v>-30</v>
      </c>
      <c r="J25">
        <v>-45</v>
      </c>
      <c r="K25">
        <v>25</v>
      </c>
      <c r="L25">
        <v>-75</v>
      </c>
      <c r="M25">
        <v>-15</v>
      </c>
      <c r="N25">
        <v>140</v>
      </c>
      <c r="O25">
        <v>140</v>
      </c>
      <c r="P25">
        <v>145</v>
      </c>
      <c r="Q25">
        <v>75</v>
      </c>
      <c r="R25">
        <v>75</v>
      </c>
      <c r="S25">
        <v>15</v>
      </c>
      <c r="T25">
        <v>-10</v>
      </c>
      <c r="U25">
        <v>-160</v>
      </c>
      <c r="V25">
        <v>-80</v>
      </c>
      <c r="W25">
        <v>-165</v>
      </c>
      <c r="X25">
        <v>-375</v>
      </c>
      <c r="Y25">
        <v>-360</v>
      </c>
      <c r="Z25">
        <v>-180</v>
      </c>
      <c r="AA25">
        <v>-255</v>
      </c>
      <c r="AB25">
        <v>-195</v>
      </c>
      <c r="AC25">
        <v>-215</v>
      </c>
      <c r="AD25">
        <v>-260</v>
      </c>
      <c r="AE25">
        <v>-95</v>
      </c>
      <c r="AF25">
        <v>5</v>
      </c>
      <c r="AG25">
        <v>80</v>
      </c>
      <c r="AH25">
        <v>135</v>
      </c>
      <c r="AI25">
        <v>115</v>
      </c>
      <c r="AJ25">
        <v>105</v>
      </c>
      <c r="AK25">
        <v>60</v>
      </c>
      <c r="AL25">
        <v>-50</v>
      </c>
      <c r="AM25">
        <v>-45</v>
      </c>
      <c r="AN25">
        <v>-70</v>
      </c>
      <c r="AO25">
        <v>-175</v>
      </c>
      <c r="AP25">
        <v>-135</v>
      </c>
      <c r="AQ25">
        <v>-160</v>
      </c>
      <c r="AR25">
        <v>-225</v>
      </c>
      <c r="AS25">
        <v>-365</v>
      </c>
      <c r="AT25">
        <v>-480</v>
      </c>
    </row>
    <row r="26" spans="1:46">
      <c r="A26" t="s">
        <v>24</v>
      </c>
      <c r="B26">
        <v>-345</v>
      </c>
      <c r="C26">
        <v>-345</v>
      </c>
      <c r="D26">
        <v>-345</v>
      </c>
      <c r="E26">
        <v>30</v>
      </c>
      <c r="F26">
        <v>30</v>
      </c>
      <c r="G26">
        <v>30</v>
      </c>
      <c r="H26">
        <v>-180</v>
      </c>
      <c r="I26">
        <v>-800</v>
      </c>
      <c r="J26">
        <v>-440</v>
      </c>
      <c r="K26">
        <v>-415</v>
      </c>
      <c r="L26">
        <v>-415</v>
      </c>
      <c r="M26">
        <v>-415</v>
      </c>
      <c r="N26">
        <v>-515</v>
      </c>
      <c r="O26">
        <v>-275</v>
      </c>
      <c r="P26">
        <v>-275</v>
      </c>
      <c r="Q26">
        <v>-275</v>
      </c>
      <c r="R26">
        <v>-275</v>
      </c>
      <c r="S26">
        <v>-350</v>
      </c>
      <c r="T26">
        <v>-300</v>
      </c>
      <c r="U26">
        <v>-300</v>
      </c>
      <c r="V26">
        <v>-300</v>
      </c>
      <c r="W26">
        <v>-330</v>
      </c>
      <c r="X26">
        <v>-330</v>
      </c>
      <c r="Y26">
        <v>-400</v>
      </c>
      <c r="Z26">
        <v>-195</v>
      </c>
      <c r="AA26">
        <v>-300</v>
      </c>
      <c r="AB26">
        <v>-300</v>
      </c>
      <c r="AC26">
        <v>-300</v>
      </c>
      <c r="AD26">
        <v>-300</v>
      </c>
      <c r="AE26">
        <v>-145</v>
      </c>
      <c r="AF26">
        <v>-145</v>
      </c>
      <c r="AG26">
        <v>-145</v>
      </c>
      <c r="AH26">
        <v>-95</v>
      </c>
      <c r="AI26">
        <v>-95</v>
      </c>
      <c r="AJ26">
        <v>-95</v>
      </c>
      <c r="AK26">
        <v>-95</v>
      </c>
      <c r="AL26">
        <v>-95</v>
      </c>
      <c r="AM26">
        <v>105</v>
      </c>
      <c r="AN26">
        <v>105</v>
      </c>
      <c r="AO26">
        <v>-95</v>
      </c>
      <c r="AP26">
        <v>-220</v>
      </c>
      <c r="AQ26">
        <v>-55</v>
      </c>
      <c r="AR26">
        <v>-335</v>
      </c>
      <c r="AS26">
        <v>-350</v>
      </c>
      <c r="AT26">
        <v>-350</v>
      </c>
    </row>
    <row r="27" spans="1:46">
      <c r="A27" t="s">
        <v>36</v>
      </c>
      <c r="B27">
        <v>-280</v>
      </c>
      <c r="C27">
        <v>120</v>
      </c>
      <c r="D27">
        <v>130</v>
      </c>
      <c r="E27">
        <v>-320</v>
      </c>
      <c r="F27">
        <v>-470</v>
      </c>
      <c r="G27">
        <v>-380</v>
      </c>
      <c r="H27">
        <v>-60</v>
      </c>
      <c r="I27">
        <v>-440</v>
      </c>
      <c r="J27">
        <v>-340</v>
      </c>
      <c r="K27">
        <v>-740</v>
      </c>
      <c r="L27">
        <v>-560</v>
      </c>
      <c r="M27">
        <v>130</v>
      </c>
      <c r="N27">
        <v>-500</v>
      </c>
      <c r="O27">
        <v>-430</v>
      </c>
      <c r="P27">
        <v>-430</v>
      </c>
      <c r="Q27">
        <v>-410</v>
      </c>
      <c r="R27">
        <v>-560</v>
      </c>
      <c r="S27">
        <v>-300</v>
      </c>
      <c r="T27">
        <v>-360</v>
      </c>
      <c r="U27">
        <v>-420</v>
      </c>
      <c r="V27">
        <v>-450</v>
      </c>
      <c r="W27">
        <v>-400</v>
      </c>
      <c r="X27">
        <v>-630</v>
      </c>
      <c r="Y27">
        <v>-460</v>
      </c>
      <c r="Z27">
        <v>-440</v>
      </c>
      <c r="AA27">
        <v>-250</v>
      </c>
      <c r="AB27">
        <v>-240</v>
      </c>
      <c r="AC27">
        <v>-460</v>
      </c>
      <c r="AD27">
        <v>-730</v>
      </c>
      <c r="AE27">
        <v>-400</v>
      </c>
      <c r="AF27">
        <v>-850</v>
      </c>
      <c r="AG27">
        <v>-940</v>
      </c>
      <c r="AH27">
        <v>-230</v>
      </c>
      <c r="AI27">
        <v>-480</v>
      </c>
      <c r="AJ27">
        <v>-330</v>
      </c>
      <c r="AK27">
        <v>-360</v>
      </c>
      <c r="AL27">
        <v>-460</v>
      </c>
      <c r="AM27">
        <v>-410</v>
      </c>
      <c r="AN27">
        <v>-430</v>
      </c>
      <c r="AO27">
        <v>-710</v>
      </c>
      <c r="AP27">
        <v>-140</v>
      </c>
      <c r="AQ27">
        <v>-540</v>
      </c>
      <c r="AR27">
        <v>-480</v>
      </c>
      <c r="AS27">
        <v>-200</v>
      </c>
      <c r="AT27">
        <v>-240</v>
      </c>
    </row>
    <row r="28" spans="1:46">
      <c r="A28" t="s">
        <v>22</v>
      </c>
      <c r="B28">
        <v>-160</v>
      </c>
      <c r="C28">
        <v>-50</v>
      </c>
      <c r="D28">
        <v>-100</v>
      </c>
      <c r="E28">
        <v>-280</v>
      </c>
      <c r="F28">
        <v>-150</v>
      </c>
      <c r="G28">
        <v>-130</v>
      </c>
      <c r="H28">
        <v>-120</v>
      </c>
      <c r="I28">
        <v>-175</v>
      </c>
      <c r="J28">
        <v>-185</v>
      </c>
      <c r="K28">
        <v>-245</v>
      </c>
      <c r="L28">
        <v>-260</v>
      </c>
      <c r="M28">
        <v>-155</v>
      </c>
      <c r="N28">
        <v>-155</v>
      </c>
      <c r="O28">
        <v>-160</v>
      </c>
      <c r="P28">
        <v>-180</v>
      </c>
      <c r="Q28">
        <v>-170</v>
      </c>
      <c r="R28">
        <v>-160</v>
      </c>
      <c r="S28">
        <v>-150</v>
      </c>
      <c r="T28">
        <v>-180</v>
      </c>
      <c r="U28">
        <v>-185</v>
      </c>
      <c r="V28">
        <v>-250</v>
      </c>
      <c r="W28">
        <v>-240</v>
      </c>
      <c r="X28">
        <v>-300</v>
      </c>
      <c r="Y28">
        <v>-280</v>
      </c>
      <c r="Z28">
        <v>-260</v>
      </c>
      <c r="AA28">
        <v>-260</v>
      </c>
      <c r="AB28">
        <v>-275</v>
      </c>
      <c r="AC28">
        <v>-355</v>
      </c>
      <c r="AD28">
        <v>-425</v>
      </c>
      <c r="AE28">
        <v>-380</v>
      </c>
      <c r="AF28">
        <v>80</v>
      </c>
      <c r="AG28">
        <v>110</v>
      </c>
      <c r="AH28">
        <v>-175</v>
      </c>
      <c r="AI28">
        <v>-390</v>
      </c>
      <c r="AJ28">
        <v>-255</v>
      </c>
      <c r="AK28">
        <v>-215</v>
      </c>
      <c r="AL28">
        <v>-165</v>
      </c>
      <c r="AM28">
        <v>-130</v>
      </c>
      <c r="AN28">
        <v>-230</v>
      </c>
      <c r="AO28">
        <v>-190</v>
      </c>
      <c r="AP28">
        <v>-185</v>
      </c>
      <c r="AQ28">
        <v>-210</v>
      </c>
      <c r="AR28">
        <v>-180</v>
      </c>
      <c r="AS28">
        <v>-180</v>
      </c>
      <c r="AT28">
        <v>-175</v>
      </c>
    </row>
    <row r="29" spans="1:46">
      <c r="A29" t="s">
        <v>37</v>
      </c>
      <c r="B29">
        <v>-80</v>
      </c>
      <c r="C29">
        <v>20</v>
      </c>
      <c r="D29">
        <v>-25</v>
      </c>
      <c r="E29">
        <v>-40</v>
      </c>
      <c r="F29">
        <v>-185</v>
      </c>
      <c r="G29">
        <v>-175</v>
      </c>
      <c r="H29">
        <v>175</v>
      </c>
      <c r="I29">
        <v>-40</v>
      </c>
      <c r="J29">
        <v>-90</v>
      </c>
      <c r="K29">
        <v>-160</v>
      </c>
      <c r="L29">
        <v>-115</v>
      </c>
      <c r="M29">
        <v>80</v>
      </c>
      <c r="N29">
        <v>-205</v>
      </c>
      <c r="O29">
        <v>-70</v>
      </c>
      <c r="P29">
        <v>-60</v>
      </c>
      <c r="Q29">
        <v>-190</v>
      </c>
      <c r="R29">
        <v>-105</v>
      </c>
      <c r="S29">
        <v>-145</v>
      </c>
      <c r="T29">
        <v>-35</v>
      </c>
      <c r="U29">
        <v>-110</v>
      </c>
      <c r="V29">
        <v>0</v>
      </c>
      <c r="W29">
        <v>10</v>
      </c>
      <c r="X29">
        <v>-70</v>
      </c>
      <c r="Y29">
        <v>0</v>
      </c>
      <c r="Z29">
        <v>-230</v>
      </c>
      <c r="AA29">
        <v>-100</v>
      </c>
      <c r="AB29">
        <v>-65</v>
      </c>
      <c r="AC29">
        <v>-60</v>
      </c>
      <c r="AD29">
        <v>-170</v>
      </c>
      <c r="AE29">
        <v>-55</v>
      </c>
      <c r="AF29">
        <v>-295</v>
      </c>
      <c r="AG29">
        <v>-625</v>
      </c>
      <c r="AH29">
        <v>-175</v>
      </c>
      <c r="AI29">
        <v>-70</v>
      </c>
      <c r="AJ29">
        <v>-240</v>
      </c>
      <c r="AK29">
        <v>-135</v>
      </c>
      <c r="AL29">
        <v>-130</v>
      </c>
      <c r="AM29">
        <v>-205</v>
      </c>
      <c r="AN29">
        <v>-185</v>
      </c>
      <c r="AO29">
        <v>-200</v>
      </c>
      <c r="AP29">
        <v>20</v>
      </c>
      <c r="AQ29">
        <v>-160</v>
      </c>
      <c r="AR29">
        <v>-175</v>
      </c>
      <c r="AS29">
        <v>35</v>
      </c>
      <c r="AT29">
        <v>-85</v>
      </c>
    </row>
    <row r="30" spans="1:46">
      <c r="A30" t="s">
        <v>38</v>
      </c>
      <c r="B30">
        <v>-1770</v>
      </c>
      <c r="C30">
        <v>-1230</v>
      </c>
      <c r="D30">
        <v>-1630</v>
      </c>
      <c r="E30">
        <v>-1400</v>
      </c>
      <c r="F30">
        <v>-2240</v>
      </c>
      <c r="G30">
        <v>-3150</v>
      </c>
      <c r="H30">
        <v>-200</v>
      </c>
      <c r="I30">
        <v>-1380</v>
      </c>
      <c r="J30">
        <v>-1170</v>
      </c>
      <c r="K30">
        <v>-1930</v>
      </c>
      <c r="L30">
        <v>-1530</v>
      </c>
      <c r="M30">
        <v>-1090</v>
      </c>
      <c r="N30">
        <v>-3010</v>
      </c>
      <c r="O30">
        <v>-1690</v>
      </c>
      <c r="P30">
        <v>-2050</v>
      </c>
      <c r="Q30">
        <v>-2400</v>
      </c>
      <c r="R30">
        <v>-2070</v>
      </c>
      <c r="S30">
        <v>-1660</v>
      </c>
      <c r="T30">
        <v>-1360</v>
      </c>
      <c r="U30">
        <v>-2070</v>
      </c>
      <c r="V30">
        <v>-1540</v>
      </c>
      <c r="W30">
        <v>-1500</v>
      </c>
      <c r="X30">
        <v>-2130</v>
      </c>
      <c r="Y30">
        <v>-1430</v>
      </c>
      <c r="Z30">
        <v>-2210</v>
      </c>
      <c r="AA30">
        <v>-2200</v>
      </c>
      <c r="AB30">
        <v>-1350</v>
      </c>
      <c r="AC30">
        <v>-2430</v>
      </c>
      <c r="AD30">
        <v>-2830</v>
      </c>
      <c r="AE30">
        <v>-2190</v>
      </c>
      <c r="AF30">
        <v>-3440</v>
      </c>
      <c r="AG30">
        <v>-4050</v>
      </c>
      <c r="AH30">
        <v>-1330</v>
      </c>
      <c r="AI30">
        <v>-2790</v>
      </c>
      <c r="AJ30">
        <v>-1720</v>
      </c>
      <c r="AK30">
        <v>-1790</v>
      </c>
      <c r="AL30">
        <v>-2350</v>
      </c>
      <c r="AM30">
        <v>-2210</v>
      </c>
      <c r="AN30">
        <v>-3350</v>
      </c>
      <c r="AO30">
        <v>-1600</v>
      </c>
      <c r="AP30">
        <v>-1440</v>
      </c>
      <c r="AQ30">
        <v>-2260</v>
      </c>
      <c r="AR30">
        <v>-2310</v>
      </c>
      <c r="AS30">
        <v>-1380</v>
      </c>
      <c r="AT30">
        <v>-2980</v>
      </c>
    </row>
    <row r="31" spans="1:46">
      <c r="A31" t="s">
        <v>18</v>
      </c>
      <c r="B31">
        <v>88.650000000000546</v>
      </c>
      <c r="C31">
        <v>83.490000000000691</v>
      </c>
      <c r="D31">
        <v>80.109999999999673</v>
      </c>
      <c r="E31">
        <v>79.960000000000036</v>
      </c>
      <c r="F31">
        <v>54.9399999999996</v>
      </c>
      <c r="G31">
        <v>64.059999999999491</v>
      </c>
      <c r="H31">
        <v>98.539999999999964</v>
      </c>
      <c r="I31">
        <v>77.579999999999927</v>
      </c>
      <c r="J31">
        <v>99.960000000000036</v>
      </c>
      <c r="K31">
        <v>140.95000000000073</v>
      </c>
      <c r="L31">
        <v>112.23000000000047</v>
      </c>
      <c r="M31">
        <v>89.199999999999818</v>
      </c>
      <c r="N31">
        <v>70.5</v>
      </c>
      <c r="O31">
        <v>73.429999999999382</v>
      </c>
      <c r="P31">
        <v>61.710000000000036</v>
      </c>
      <c r="Q31">
        <v>55.510000000000218</v>
      </c>
      <c r="R31">
        <v>54.119999999999891</v>
      </c>
      <c r="S31">
        <v>52.150000000000546</v>
      </c>
      <c r="T31">
        <v>50.579999999999927</v>
      </c>
      <c r="U31">
        <v>44.980000000000473</v>
      </c>
      <c r="V31">
        <v>78.109999999999673</v>
      </c>
      <c r="W31">
        <v>98.089999999999236</v>
      </c>
      <c r="X31">
        <v>313.89999999999964</v>
      </c>
      <c r="Y31">
        <v>408.89999999999964</v>
      </c>
      <c r="Z31">
        <v>402.30000000000018</v>
      </c>
      <c r="AA31">
        <v>364.30000000000018</v>
      </c>
      <c r="AB31">
        <v>446.30000000000018</v>
      </c>
      <c r="AC31">
        <v>442.89999999999964</v>
      </c>
      <c r="AD31">
        <v>423.89999999999964</v>
      </c>
      <c r="AE31">
        <v>592.30000000000018</v>
      </c>
      <c r="AF31">
        <v>569.30000000000018</v>
      </c>
      <c r="AG31">
        <v>686.30000000000018</v>
      </c>
      <c r="AH31">
        <v>706.30000000000018</v>
      </c>
      <c r="AI31">
        <v>756.5</v>
      </c>
      <c r="AJ31">
        <v>908.10000000000036</v>
      </c>
      <c r="AK31">
        <v>675.30000000000018</v>
      </c>
      <c r="AL31">
        <v>758.30000000000018</v>
      </c>
      <c r="AM31">
        <v>728.30000000000018</v>
      </c>
      <c r="AN31">
        <v>443.30000000000018</v>
      </c>
      <c r="AO31">
        <v>434.89999999999964</v>
      </c>
      <c r="AP31">
        <v>443.5</v>
      </c>
      <c r="AQ31">
        <v>238.30000000000018</v>
      </c>
      <c r="AR31">
        <v>112.30000000000018</v>
      </c>
      <c r="AS31">
        <v>101.10000000000036</v>
      </c>
      <c r="AT31">
        <v>5.8999999999996362</v>
      </c>
    </row>
    <row r="32" spans="1:46">
      <c r="A32" t="s">
        <v>19</v>
      </c>
      <c r="B32">
        <v>-0.47000000000025466</v>
      </c>
      <c r="C32">
        <v>9.7699999999999818</v>
      </c>
      <c r="D32">
        <v>4.2699999999999818</v>
      </c>
      <c r="E32">
        <v>18.169999999999618</v>
      </c>
      <c r="F32">
        <v>5.3499999999999091</v>
      </c>
      <c r="G32">
        <v>8.7899999999999636</v>
      </c>
      <c r="H32">
        <v>24.230000000000018</v>
      </c>
      <c r="I32">
        <v>11.389999999999873</v>
      </c>
      <c r="J32">
        <v>18.4699999999998</v>
      </c>
      <c r="K32">
        <v>63.470000000000255</v>
      </c>
      <c r="L32">
        <v>12.4699999999998</v>
      </c>
      <c r="M32">
        <v>10.179999999999836</v>
      </c>
      <c r="N32">
        <v>4.4000000000000909</v>
      </c>
      <c r="O32">
        <v>-0.13999999999987267</v>
      </c>
      <c r="P32">
        <v>6.1300000000001091</v>
      </c>
      <c r="Q32">
        <v>-4.0199999999999818</v>
      </c>
      <c r="R32">
        <v>5.3299999999999272</v>
      </c>
      <c r="S32">
        <v>11.980000000000018</v>
      </c>
      <c r="T32">
        <v>-1.0199999999999818</v>
      </c>
      <c r="U32">
        <v>-0.59999999999990905</v>
      </c>
      <c r="V32">
        <v>-1.5500000000001819</v>
      </c>
      <c r="W32">
        <v>1.3499999999999091</v>
      </c>
      <c r="X32">
        <v>281.73</v>
      </c>
      <c r="Y32">
        <v>324.92999999999984</v>
      </c>
      <c r="Z32">
        <v>315.73</v>
      </c>
      <c r="AA32">
        <v>294.12999999999965</v>
      </c>
      <c r="AB32">
        <v>304.32999999999993</v>
      </c>
      <c r="AC32">
        <v>254.32999999999993</v>
      </c>
      <c r="AD32">
        <v>202.73000000000002</v>
      </c>
      <c r="AE32">
        <v>231.12999999999965</v>
      </c>
      <c r="AF32">
        <v>264.32999999999993</v>
      </c>
      <c r="AG32">
        <v>313.12999999999965</v>
      </c>
      <c r="AH32">
        <v>343.12999999999965</v>
      </c>
      <c r="AI32">
        <v>391.73</v>
      </c>
      <c r="AJ32">
        <v>409.12999999999965</v>
      </c>
      <c r="AK32">
        <v>241.32999999999993</v>
      </c>
      <c r="AL32">
        <v>152.12999999999965</v>
      </c>
      <c r="AM32">
        <v>74.129999999999654</v>
      </c>
      <c r="AN32">
        <v>-24.070000000000164</v>
      </c>
      <c r="AO32">
        <v>8.3299999999999272</v>
      </c>
      <c r="AP32">
        <v>28.329999999999927</v>
      </c>
      <c r="AQ32">
        <v>42.329999999999927</v>
      </c>
      <c r="AR32">
        <v>82.529999999999745</v>
      </c>
      <c r="AS32">
        <v>39.329999999999927</v>
      </c>
      <c r="AT32">
        <v>-22.470000000000255</v>
      </c>
    </row>
    <row r="33" spans="1:46">
      <c r="A33" t="s">
        <v>39</v>
      </c>
      <c r="B33">
        <v>19.730000000000018</v>
      </c>
      <c r="C33">
        <v>21.860000000000127</v>
      </c>
      <c r="D33">
        <v>21.279999999999745</v>
      </c>
      <c r="E33">
        <v>42.519999999999982</v>
      </c>
      <c r="F33">
        <v>26.699999999999818</v>
      </c>
      <c r="G33">
        <v>25.450000000000273</v>
      </c>
      <c r="H33">
        <v>46.519999999999982</v>
      </c>
      <c r="I33">
        <v>29.4699999999998</v>
      </c>
      <c r="J33">
        <v>41.089999999999691</v>
      </c>
      <c r="K33">
        <v>106.53999999999996</v>
      </c>
      <c r="L33">
        <v>46.549999999999727</v>
      </c>
      <c r="M33">
        <v>36.050000000000182</v>
      </c>
      <c r="N33">
        <v>28.100000000000364</v>
      </c>
      <c r="O33">
        <v>25.049999999999727</v>
      </c>
      <c r="P33">
        <v>29.2199999999998</v>
      </c>
      <c r="Q33">
        <v>15.159999999999854</v>
      </c>
      <c r="R33">
        <v>18.940000000000055</v>
      </c>
      <c r="S33">
        <v>24.25</v>
      </c>
      <c r="T33">
        <v>9.6700000000000728</v>
      </c>
      <c r="U33">
        <v>10.470000000000255</v>
      </c>
      <c r="V33">
        <v>18</v>
      </c>
      <c r="W33">
        <v>36.650000000000091</v>
      </c>
      <c r="X33">
        <v>331.89000000000033</v>
      </c>
      <c r="Y33">
        <v>404.09000000000015</v>
      </c>
      <c r="Z33">
        <v>385.49000000000024</v>
      </c>
      <c r="AA33">
        <v>363.49000000000024</v>
      </c>
      <c r="AB33">
        <v>383.09000000000015</v>
      </c>
      <c r="AC33">
        <v>345.89000000000033</v>
      </c>
      <c r="AD33">
        <v>282.89000000000033</v>
      </c>
      <c r="AE33">
        <v>342.89000000000033</v>
      </c>
      <c r="AF33">
        <v>364.49000000000024</v>
      </c>
      <c r="AG33">
        <v>437.49000000000024</v>
      </c>
      <c r="AH33">
        <v>485.29000000000042</v>
      </c>
      <c r="AI33">
        <v>534.89000000000033</v>
      </c>
      <c r="AJ33">
        <v>615.29000000000042</v>
      </c>
      <c r="AK33">
        <v>389.29000000000042</v>
      </c>
      <c r="AL33">
        <v>369.09000000000015</v>
      </c>
      <c r="AM33">
        <v>269.89000000000033</v>
      </c>
      <c r="AN33">
        <v>122.28999999999996</v>
      </c>
      <c r="AO33">
        <v>112.09000000000015</v>
      </c>
      <c r="AP33">
        <v>147.28999999999996</v>
      </c>
      <c r="AQ33">
        <v>106.28999999999996</v>
      </c>
      <c r="AR33">
        <v>113.69000000000051</v>
      </c>
      <c r="AS33">
        <v>66.490000000000691</v>
      </c>
      <c r="AT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33"/>
  <sheetViews>
    <sheetView workbookViewId="0">
      <selection activeCell="B1" sqref="B1:B1048576"/>
    </sheetView>
  </sheetViews>
  <sheetFormatPr defaultRowHeight="13.5"/>
  <cols>
    <col min="46" max="46" width="10.5" customWidth="1"/>
  </cols>
  <sheetData>
    <row r="1" spans="1:46">
      <c r="A1" t="s">
        <v>0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43140</v>
      </c>
      <c r="AK1" s="11">
        <v>43139</v>
      </c>
      <c r="AL1" s="11">
        <v>43138</v>
      </c>
      <c r="AM1" s="11">
        <v>43137</v>
      </c>
      <c r="AN1" s="11">
        <v>43136</v>
      </c>
      <c r="AO1" s="11">
        <v>43133</v>
      </c>
      <c r="AP1" s="11">
        <v>43132</v>
      </c>
      <c r="AQ1" s="11">
        <v>43131</v>
      </c>
      <c r="AR1" s="11">
        <v>43130</v>
      </c>
      <c r="AS1" s="11">
        <v>43129</v>
      </c>
      <c r="AT1" s="11">
        <v>43126</v>
      </c>
    </row>
    <row r="2" spans="1:46">
      <c r="A2" t="s">
        <v>5</v>
      </c>
      <c r="B2">
        <v>23</v>
      </c>
      <c r="C2">
        <v>-29</v>
      </c>
      <c r="D2">
        <v>4.5</v>
      </c>
      <c r="E2">
        <v>24.5</v>
      </c>
      <c r="F2">
        <v>97</v>
      </c>
      <c r="G2">
        <v>136.5</v>
      </c>
      <c r="H2">
        <v>164.5</v>
      </c>
      <c r="I2">
        <v>86</v>
      </c>
      <c r="J2">
        <v>88</v>
      </c>
      <c r="K2">
        <v>173</v>
      </c>
      <c r="L2">
        <v>80.5</v>
      </c>
      <c r="M2">
        <v>91.5</v>
      </c>
      <c r="N2">
        <v>120</v>
      </c>
      <c r="O2">
        <v>67</v>
      </c>
      <c r="P2">
        <v>57</v>
      </c>
      <c r="Q2">
        <v>112</v>
      </c>
      <c r="R2">
        <v>85.5</v>
      </c>
      <c r="S2">
        <v>101</v>
      </c>
      <c r="T2">
        <v>87</v>
      </c>
      <c r="U2">
        <v>47.5</v>
      </c>
      <c r="V2">
        <v>-90</v>
      </c>
      <c r="W2">
        <v>-134.5</v>
      </c>
      <c r="X2">
        <v>-139</v>
      </c>
      <c r="Y2">
        <v>-145</v>
      </c>
      <c r="Z2">
        <v>-175</v>
      </c>
      <c r="AA2">
        <v>-214</v>
      </c>
      <c r="AB2">
        <v>-196</v>
      </c>
      <c r="AC2">
        <v>-211.5</v>
      </c>
      <c r="AD2">
        <v>-223</v>
      </c>
      <c r="AE2">
        <v>-131</v>
      </c>
      <c r="AF2">
        <v>-197</v>
      </c>
      <c r="AG2">
        <v>-190</v>
      </c>
      <c r="AH2">
        <v>-165</v>
      </c>
      <c r="AI2">
        <v>-163.5</v>
      </c>
      <c r="AJ2">
        <v>-178</v>
      </c>
      <c r="AK2">
        <v>-198.5</v>
      </c>
      <c r="AL2">
        <v>-204</v>
      </c>
      <c r="AM2">
        <v>-160.5</v>
      </c>
      <c r="AN2">
        <v>-141</v>
      </c>
      <c r="AO2">
        <v>-87.5</v>
      </c>
      <c r="AP2">
        <v>-63</v>
      </c>
      <c r="AQ2">
        <v>56.5</v>
      </c>
      <c r="AR2">
        <v>27</v>
      </c>
      <c r="AS2">
        <v>2</v>
      </c>
      <c r="AT2">
        <v>6</v>
      </c>
    </row>
    <row r="3" spans="1:46">
      <c r="A3" t="s">
        <v>7</v>
      </c>
      <c r="B3">
        <v>63.5</v>
      </c>
      <c r="C3">
        <v>41</v>
      </c>
      <c r="D3">
        <v>59.5</v>
      </c>
      <c r="E3">
        <v>72</v>
      </c>
      <c r="F3">
        <v>92</v>
      </c>
      <c r="G3">
        <v>147</v>
      </c>
      <c r="H3">
        <v>148.5</v>
      </c>
      <c r="I3">
        <v>117.5</v>
      </c>
      <c r="J3">
        <v>131</v>
      </c>
      <c r="K3">
        <v>144.5</v>
      </c>
      <c r="L3">
        <v>86.5</v>
      </c>
      <c r="M3">
        <v>82.5</v>
      </c>
      <c r="N3">
        <v>100</v>
      </c>
      <c r="O3">
        <v>78</v>
      </c>
      <c r="P3">
        <v>96.5</v>
      </c>
      <c r="Q3">
        <v>97</v>
      </c>
      <c r="R3">
        <v>104</v>
      </c>
      <c r="S3">
        <v>116.5</v>
      </c>
      <c r="T3">
        <v>86</v>
      </c>
      <c r="U3">
        <v>73</v>
      </c>
      <c r="V3">
        <v>37.5</v>
      </c>
      <c r="W3">
        <v>6</v>
      </c>
      <c r="X3">
        <v>-2.5</v>
      </c>
      <c r="Y3">
        <v>5</v>
      </c>
      <c r="Z3">
        <v>0.5</v>
      </c>
      <c r="AA3">
        <v>-27.5</v>
      </c>
      <c r="AB3">
        <v>-37</v>
      </c>
      <c r="AC3">
        <v>-37</v>
      </c>
      <c r="AD3">
        <v>-64</v>
      </c>
      <c r="AE3">
        <v>-29</v>
      </c>
      <c r="AF3">
        <v>-16</v>
      </c>
      <c r="AG3">
        <v>-22</v>
      </c>
      <c r="AH3">
        <v>-11</v>
      </c>
      <c r="AI3">
        <v>-13.5</v>
      </c>
      <c r="AJ3">
        <v>-13</v>
      </c>
      <c r="AK3">
        <v>-10.5</v>
      </c>
      <c r="AL3">
        <v>-18</v>
      </c>
      <c r="AM3">
        <v>-8.5</v>
      </c>
      <c r="AN3">
        <v>-4</v>
      </c>
      <c r="AO3">
        <v>1</v>
      </c>
      <c r="AP3">
        <v>24.5</v>
      </c>
      <c r="AQ3">
        <v>11</v>
      </c>
      <c r="AR3">
        <v>7.5</v>
      </c>
      <c r="AS3">
        <v>64.5</v>
      </c>
      <c r="AT3">
        <v>52.5</v>
      </c>
    </row>
    <row r="4" spans="1:46">
      <c r="A4" t="s">
        <v>4</v>
      </c>
      <c r="B4">
        <v>36.799999999999955</v>
      </c>
      <c r="C4">
        <v>33.199999999999932</v>
      </c>
      <c r="D4">
        <v>36.199999999999932</v>
      </c>
      <c r="E4">
        <v>42.799999999999955</v>
      </c>
      <c r="F4">
        <v>36.600000000000023</v>
      </c>
      <c r="G4">
        <v>46.399999999999977</v>
      </c>
      <c r="H4">
        <v>48.600000000000023</v>
      </c>
      <c r="I4">
        <v>44.799999999999955</v>
      </c>
      <c r="J4">
        <v>46.799999999999955</v>
      </c>
      <c r="K4">
        <v>56.199999999999932</v>
      </c>
      <c r="L4">
        <v>50.199999999999932</v>
      </c>
      <c r="M4">
        <v>52.199999999999932</v>
      </c>
      <c r="N4">
        <v>51.399999999999977</v>
      </c>
      <c r="O4">
        <v>38.199999999999932</v>
      </c>
      <c r="P4">
        <v>32.600000000000023</v>
      </c>
      <c r="Q4">
        <v>30</v>
      </c>
      <c r="R4">
        <v>35</v>
      </c>
      <c r="S4">
        <v>43.199999999999932</v>
      </c>
      <c r="T4">
        <v>40.600000000000023</v>
      </c>
      <c r="U4">
        <v>33</v>
      </c>
      <c r="V4">
        <v>41.399999999999977</v>
      </c>
      <c r="W4">
        <v>51.399999999999977</v>
      </c>
      <c r="X4">
        <v>53.600000000000023</v>
      </c>
      <c r="Y4">
        <v>60.799999999999955</v>
      </c>
      <c r="Z4">
        <v>56.600000000000023</v>
      </c>
      <c r="AA4">
        <v>67.600000000000023</v>
      </c>
      <c r="AB4">
        <v>69</v>
      </c>
      <c r="AC4">
        <v>81.399999999999977</v>
      </c>
      <c r="AD4">
        <v>89.199999999999932</v>
      </c>
      <c r="AE4">
        <v>86.799999999999955</v>
      </c>
      <c r="AF4">
        <v>92.199999999999932</v>
      </c>
      <c r="AG4">
        <v>99</v>
      </c>
      <c r="AH4">
        <v>110</v>
      </c>
      <c r="AI4">
        <v>111.39999999999998</v>
      </c>
      <c r="AJ4">
        <v>96.199999999999932</v>
      </c>
      <c r="AK4">
        <v>103.19999999999993</v>
      </c>
      <c r="AL4">
        <v>92.399999999999977</v>
      </c>
      <c r="AM4">
        <v>91.799999999999955</v>
      </c>
      <c r="AN4">
        <v>107.39999999999998</v>
      </c>
      <c r="AO4">
        <v>93.199999999999932</v>
      </c>
      <c r="AP4">
        <v>99.799999999999955</v>
      </c>
      <c r="AQ4">
        <v>95</v>
      </c>
      <c r="AR4">
        <v>95.799999999999955</v>
      </c>
      <c r="AS4">
        <v>72.399999999999977</v>
      </c>
      <c r="AT4">
        <v>79.799999999999955</v>
      </c>
    </row>
    <row r="5" spans="1:46">
      <c r="A5" t="s">
        <v>20</v>
      </c>
      <c r="B5">
        <v>16.699999999999989</v>
      </c>
      <c r="C5">
        <v>11.399999999999977</v>
      </c>
      <c r="D5">
        <v>12.899999999999977</v>
      </c>
      <c r="E5">
        <v>14.399999999999977</v>
      </c>
      <c r="F5">
        <v>19</v>
      </c>
      <c r="G5">
        <v>17</v>
      </c>
      <c r="H5">
        <v>19.300000000000011</v>
      </c>
      <c r="I5">
        <v>8.5</v>
      </c>
      <c r="J5">
        <v>20.399999999999977</v>
      </c>
      <c r="K5">
        <v>38.399999999999977</v>
      </c>
      <c r="L5">
        <v>10.899999999999977</v>
      </c>
      <c r="M5">
        <v>20.899999999999977</v>
      </c>
      <c r="N5">
        <v>29.300000000000011</v>
      </c>
      <c r="O5">
        <v>37.100000000000023</v>
      </c>
      <c r="P5">
        <v>23.800000000000011</v>
      </c>
      <c r="Q5">
        <v>17.800000000000011</v>
      </c>
      <c r="R5">
        <v>11.300000000000011</v>
      </c>
      <c r="S5">
        <v>21.300000000000011</v>
      </c>
      <c r="T5">
        <v>31.399999999999977</v>
      </c>
      <c r="U5">
        <v>43.899999999999977</v>
      </c>
      <c r="V5">
        <v>34</v>
      </c>
      <c r="W5">
        <v>25.5</v>
      </c>
      <c r="X5">
        <v>40.5</v>
      </c>
      <c r="Y5">
        <v>29</v>
      </c>
      <c r="Z5">
        <v>30.5</v>
      </c>
      <c r="AA5">
        <v>21</v>
      </c>
      <c r="AB5">
        <v>27.100000000000023</v>
      </c>
      <c r="AC5">
        <v>29.700000000000045</v>
      </c>
      <c r="AD5">
        <v>18.399999999999977</v>
      </c>
      <c r="AE5">
        <v>18.799999999999955</v>
      </c>
      <c r="AF5">
        <v>16.399999999999977</v>
      </c>
      <c r="AG5">
        <v>12.799999999999955</v>
      </c>
      <c r="AH5">
        <v>21.200000000000045</v>
      </c>
      <c r="AI5">
        <v>23.399999999999977</v>
      </c>
      <c r="AJ5">
        <v>14.899999999999977</v>
      </c>
      <c r="AK5">
        <v>22.899999999999977</v>
      </c>
      <c r="AL5">
        <v>19.899999999999977</v>
      </c>
      <c r="AM5">
        <v>26.5</v>
      </c>
      <c r="AN5">
        <v>19.600000000000023</v>
      </c>
      <c r="AO5">
        <v>22.299999999999955</v>
      </c>
      <c r="AP5">
        <v>24.700000000000045</v>
      </c>
      <c r="AQ5">
        <v>30.899999999999977</v>
      </c>
      <c r="AR5">
        <v>21.399999999999977</v>
      </c>
      <c r="AS5">
        <v>18.700000000000045</v>
      </c>
      <c r="AT5">
        <v>21.600000000000023</v>
      </c>
    </row>
    <row r="6" spans="1:46">
      <c r="A6" t="s">
        <v>12</v>
      </c>
      <c r="B6">
        <v>170.5</v>
      </c>
      <c r="C6">
        <v>184</v>
      </c>
      <c r="D6">
        <v>210</v>
      </c>
      <c r="E6">
        <v>251</v>
      </c>
      <c r="F6">
        <v>212</v>
      </c>
      <c r="G6">
        <v>214</v>
      </c>
      <c r="H6">
        <v>231</v>
      </c>
      <c r="I6">
        <v>215</v>
      </c>
      <c r="J6">
        <v>291</v>
      </c>
      <c r="K6">
        <v>305</v>
      </c>
      <c r="L6">
        <v>244</v>
      </c>
      <c r="M6">
        <v>260.59999999999991</v>
      </c>
      <c r="N6">
        <v>263.59999999999991</v>
      </c>
      <c r="O6">
        <v>282</v>
      </c>
      <c r="P6">
        <v>237</v>
      </c>
      <c r="Q6">
        <v>232</v>
      </c>
      <c r="R6">
        <v>244</v>
      </c>
      <c r="S6">
        <v>288</v>
      </c>
      <c r="T6">
        <v>283</v>
      </c>
      <c r="U6">
        <v>287</v>
      </c>
      <c r="V6">
        <v>224</v>
      </c>
      <c r="W6">
        <v>206</v>
      </c>
      <c r="X6">
        <v>194</v>
      </c>
      <c r="Y6">
        <v>232</v>
      </c>
      <c r="Z6">
        <v>224</v>
      </c>
      <c r="AA6">
        <v>179</v>
      </c>
      <c r="AB6">
        <v>215</v>
      </c>
      <c r="AC6">
        <v>234</v>
      </c>
      <c r="AD6">
        <v>183</v>
      </c>
      <c r="AE6">
        <v>148</v>
      </c>
      <c r="AF6">
        <v>150</v>
      </c>
      <c r="AG6">
        <v>67</v>
      </c>
      <c r="AH6">
        <v>80</v>
      </c>
      <c r="AI6">
        <v>100</v>
      </c>
      <c r="AJ6">
        <v>88</v>
      </c>
      <c r="AK6">
        <v>73</v>
      </c>
      <c r="AL6">
        <v>65</v>
      </c>
      <c r="AM6">
        <v>72</v>
      </c>
      <c r="AN6">
        <v>55</v>
      </c>
      <c r="AO6">
        <v>63</v>
      </c>
      <c r="AP6">
        <v>58</v>
      </c>
      <c r="AQ6">
        <v>104</v>
      </c>
      <c r="AR6">
        <v>102</v>
      </c>
      <c r="AS6">
        <v>78</v>
      </c>
      <c r="AT6">
        <v>76</v>
      </c>
    </row>
    <row r="7" spans="1:46">
      <c r="A7" t="s">
        <v>9</v>
      </c>
      <c r="B7">
        <v>84</v>
      </c>
      <c r="C7">
        <v>73</v>
      </c>
      <c r="D7">
        <v>124</v>
      </c>
      <c r="E7">
        <v>113</v>
      </c>
      <c r="F7">
        <v>136</v>
      </c>
      <c r="G7">
        <v>164</v>
      </c>
      <c r="H7">
        <v>205</v>
      </c>
      <c r="I7">
        <v>142</v>
      </c>
      <c r="J7">
        <v>263</v>
      </c>
      <c r="K7">
        <v>266</v>
      </c>
      <c r="L7">
        <v>158</v>
      </c>
      <c r="M7">
        <v>222</v>
      </c>
      <c r="N7">
        <v>147</v>
      </c>
      <c r="O7">
        <v>145</v>
      </c>
      <c r="P7">
        <v>90</v>
      </c>
      <c r="Q7">
        <v>92</v>
      </c>
      <c r="R7">
        <v>65</v>
      </c>
      <c r="S7">
        <v>98</v>
      </c>
      <c r="T7">
        <v>103</v>
      </c>
      <c r="U7">
        <v>165</v>
      </c>
      <c r="V7">
        <v>100</v>
      </c>
      <c r="W7">
        <v>88</v>
      </c>
      <c r="X7">
        <v>52</v>
      </c>
      <c r="Y7">
        <v>67</v>
      </c>
      <c r="Z7">
        <v>71</v>
      </c>
      <c r="AA7">
        <v>64</v>
      </c>
      <c r="AB7">
        <v>92</v>
      </c>
      <c r="AC7">
        <v>127</v>
      </c>
      <c r="AD7">
        <v>125</v>
      </c>
      <c r="AE7">
        <v>235</v>
      </c>
      <c r="AF7">
        <v>146</v>
      </c>
      <c r="AG7">
        <v>85</v>
      </c>
      <c r="AH7">
        <v>64</v>
      </c>
      <c r="AI7">
        <v>104</v>
      </c>
      <c r="AJ7">
        <v>62</v>
      </c>
      <c r="AK7">
        <v>41</v>
      </c>
      <c r="AL7">
        <v>65</v>
      </c>
      <c r="AM7">
        <v>77</v>
      </c>
      <c r="AN7">
        <v>48</v>
      </c>
      <c r="AO7">
        <v>63</v>
      </c>
      <c r="AP7">
        <v>101</v>
      </c>
      <c r="AQ7">
        <v>164</v>
      </c>
      <c r="AR7">
        <v>167</v>
      </c>
      <c r="AS7">
        <v>159</v>
      </c>
      <c r="AT7">
        <v>157</v>
      </c>
    </row>
    <row r="8" spans="1:46">
      <c r="A8" t="s">
        <v>31</v>
      </c>
      <c r="B8">
        <v>-800</v>
      </c>
      <c r="C8">
        <v>-800</v>
      </c>
      <c r="D8">
        <v>-800</v>
      </c>
      <c r="E8">
        <v>-455</v>
      </c>
      <c r="F8">
        <v>-715</v>
      </c>
      <c r="G8">
        <v>-700</v>
      </c>
      <c r="H8">
        <v>-800</v>
      </c>
      <c r="I8">
        <v>-800</v>
      </c>
      <c r="J8">
        <v>-800</v>
      </c>
      <c r="K8">
        <v>-805</v>
      </c>
      <c r="L8">
        <v>-850</v>
      </c>
      <c r="M8">
        <v>-850</v>
      </c>
      <c r="N8">
        <v>-800</v>
      </c>
      <c r="O8">
        <v>-850</v>
      </c>
      <c r="P8">
        <v>-850</v>
      </c>
      <c r="Q8">
        <v>-850</v>
      </c>
      <c r="R8">
        <v>-1050</v>
      </c>
      <c r="S8">
        <v>-850</v>
      </c>
      <c r="T8">
        <v>-850</v>
      </c>
      <c r="U8">
        <v>-800</v>
      </c>
      <c r="V8">
        <v>-800</v>
      </c>
      <c r="W8">
        <v>-800</v>
      </c>
      <c r="X8">
        <v>-800</v>
      </c>
      <c r="Y8">
        <v>-800</v>
      </c>
      <c r="Z8">
        <v>-800</v>
      </c>
      <c r="AA8">
        <v>-800</v>
      </c>
      <c r="AB8">
        <v>-900</v>
      </c>
      <c r="AC8">
        <v>-900</v>
      </c>
      <c r="AD8">
        <v>-900</v>
      </c>
      <c r="AE8">
        <v>-900</v>
      </c>
      <c r="AF8">
        <v>-1000</v>
      </c>
      <c r="AG8">
        <v>-1000</v>
      </c>
      <c r="AH8">
        <v>-1000</v>
      </c>
      <c r="AI8">
        <v>-1000</v>
      </c>
      <c r="AJ8">
        <v>-1000</v>
      </c>
      <c r="AK8">
        <v>-1200</v>
      </c>
      <c r="AL8">
        <v>-1200</v>
      </c>
      <c r="AM8">
        <v>-1300</v>
      </c>
      <c r="AN8">
        <v>-1520</v>
      </c>
      <c r="AO8">
        <v>-1500</v>
      </c>
      <c r="AP8">
        <v>-1500</v>
      </c>
      <c r="AQ8">
        <v>-1700</v>
      </c>
      <c r="AR8">
        <v>-1800</v>
      </c>
      <c r="AS8">
        <v>-1800</v>
      </c>
      <c r="AT8">
        <v>-1900</v>
      </c>
    </row>
    <row r="9" spans="1:46">
      <c r="A9" t="s">
        <v>17</v>
      </c>
      <c r="B9">
        <v>164</v>
      </c>
      <c r="C9">
        <v>161</v>
      </c>
      <c r="D9">
        <v>156</v>
      </c>
      <c r="E9">
        <v>152</v>
      </c>
      <c r="F9">
        <v>151</v>
      </c>
      <c r="G9">
        <v>161</v>
      </c>
      <c r="H9">
        <v>171</v>
      </c>
      <c r="I9">
        <v>155</v>
      </c>
      <c r="J9">
        <v>153</v>
      </c>
      <c r="K9">
        <v>170</v>
      </c>
      <c r="L9">
        <v>86</v>
      </c>
      <c r="M9">
        <v>81</v>
      </c>
      <c r="N9">
        <v>74</v>
      </c>
      <c r="O9">
        <v>32</v>
      </c>
      <c r="P9">
        <v>54</v>
      </c>
      <c r="Q9">
        <v>59</v>
      </c>
      <c r="R9">
        <v>35</v>
      </c>
      <c r="S9">
        <v>5</v>
      </c>
      <c r="T9">
        <v>5</v>
      </c>
      <c r="U9">
        <v>12</v>
      </c>
      <c r="V9">
        <v>2</v>
      </c>
      <c r="W9">
        <v>-4</v>
      </c>
      <c r="X9">
        <v>-4</v>
      </c>
      <c r="Y9">
        <v>-7</v>
      </c>
      <c r="Z9">
        <v>-16</v>
      </c>
      <c r="AA9">
        <v>-20</v>
      </c>
      <c r="AB9">
        <v>-14</v>
      </c>
      <c r="AC9">
        <v>-8</v>
      </c>
      <c r="AD9">
        <v>-35</v>
      </c>
      <c r="AE9">
        <v>-13</v>
      </c>
      <c r="AF9">
        <v>-1</v>
      </c>
      <c r="AG9">
        <v>-5</v>
      </c>
      <c r="AH9">
        <v>-1</v>
      </c>
      <c r="AI9">
        <v>3</v>
      </c>
      <c r="AJ9">
        <v>-14</v>
      </c>
      <c r="AK9">
        <v>-55</v>
      </c>
      <c r="AL9">
        <v>-39</v>
      </c>
      <c r="AM9">
        <v>-35</v>
      </c>
      <c r="AN9">
        <v>-41</v>
      </c>
      <c r="AO9">
        <v>-21</v>
      </c>
      <c r="AP9">
        <v>-18</v>
      </c>
      <c r="AQ9">
        <v>-26</v>
      </c>
      <c r="AR9">
        <v>-39</v>
      </c>
      <c r="AS9">
        <v>-45</v>
      </c>
      <c r="AT9">
        <v>-38</v>
      </c>
    </row>
    <row r="10" spans="1:46">
      <c r="A10" t="s">
        <v>32</v>
      </c>
      <c r="B10">
        <v>-70</v>
      </c>
      <c r="C10">
        <v>-55</v>
      </c>
      <c r="D10">
        <v>-70</v>
      </c>
      <c r="E10">
        <v>-70</v>
      </c>
      <c r="F10">
        <v>-25</v>
      </c>
      <c r="G10">
        <v>30</v>
      </c>
      <c r="H10">
        <v>-10</v>
      </c>
      <c r="I10">
        <v>-50</v>
      </c>
      <c r="J10">
        <v>-55</v>
      </c>
      <c r="K10">
        <v>-30</v>
      </c>
      <c r="L10">
        <v>-75</v>
      </c>
      <c r="M10">
        <v>-45</v>
      </c>
      <c r="N10">
        <v>-25</v>
      </c>
      <c r="O10">
        <v>-70</v>
      </c>
      <c r="P10">
        <v>-25</v>
      </c>
      <c r="Q10">
        <v>-55</v>
      </c>
      <c r="R10">
        <v>-85</v>
      </c>
      <c r="S10">
        <v>-40</v>
      </c>
      <c r="T10">
        <v>-5</v>
      </c>
      <c r="U10">
        <v>-45</v>
      </c>
      <c r="V10">
        <v>-15</v>
      </c>
      <c r="W10">
        <v>-35</v>
      </c>
      <c r="X10">
        <v>-10</v>
      </c>
      <c r="Y10">
        <v>-55</v>
      </c>
      <c r="Z10">
        <v>-120</v>
      </c>
      <c r="AA10">
        <v>-115</v>
      </c>
      <c r="AB10">
        <v>-15</v>
      </c>
      <c r="AC10">
        <v>-20</v>
      </c>
      <c r="AD10">
        <v>30</v>
      </c>
      <c r="AE10">
        <v>35</v>
      </c>
      <c r="AF10">
        <v>110</v>
      </c>
      <c r="AG10">
        <v>-70</v>
      </c>
      <c r="AH10">
        <v>-65</v>
      </c>
      <c r="AI10">
        <v>-65</v>
      </c>
      <c r="AJ10">
        <v>-75</v>
      </c>
      <c r="AK10">
        <v>-65</v>
      </c>
      <c r="AL10">
        <v>-140</v>
      </c>
      <c r="AM10">
        <v>-125</v>
      </c>
      <c r="AN10">
        <v>-75</v>
      </c>
      <c r="AO10">
        <v>-105</v>
      </c>
      <c r="AP10">
        <v>-30</v>
      </c>
      <c r="AQ10">
        <v>-205</v>
      </c>
      <c r="AR10">
        <v>-125</v>
      </c>
      <c r="AS10">
        <v>-120</v>
      </c>
      <c r="AT10">
        <v>-280</v>
      </c>
    </row>
    <row r="11" spans="1:46">
      <c r="A11" t="s">
        <v>21</v>
      </c>
      <c r="B11">
        <v>-30</v>
      </c>
      <c r="C11">
        <v>-80</v>
      </c>
      <c r="D11">
        <v>-80</v>
      </c>
      <c r="E11">
        <v>-40</v>
      </c>
      <c r="F11">
        <v>-40</v>
      </c>
      <c r="G11">
        <v>-40</v>
      </c>
      <c r="H11">
        <v>-50</v>
      </c>
      <c r="I11">
        <v>-120</v>
      </c>
      <c r="J11">
        <v>-125</v>
      </c>
      <c r="K11">
        <v>-80</v>
      </c>
      <c r="L11">
        <v>-100</v>
      </c>
      <c r="M11">
        <v>-100</v>
      </c>
      <c r="N11">
        <v>-100</v>
      </c>
      <c r="O11">
        <v>-100</v>
      </c>
      <c r="P11">
        <v>-125</v>
      </c>
      <c r="Q11">
        <v>-125</v>
      </c>
      <c r="R11">
        <v>-100</v>
      </c>
      <c r="S11">
        <v>-100</v>
      </c>
      <c r="T11">
        <v>-115</v>
      </c>
      <c r="U11">
        <v>-100</v>
      </c>
      <c r="V11">
        <v>-100</v>
      </c>
      <c r="W11">
        <v>-130</v>
      </c>
      <c r="X11">
        <v>-135</v>
      </c>
      <c r="Y11">
        <v>-150</v>
      </c>
      <c r="Z11">
        <v>-200</v>
      </c>
      <c r="AA11">
        <v>-200</v>
      </c>
      <c r="AB11">
        <v>-150</v>
      </c>
      <c r="AC11">
        <v>-150</v>
      </c>
      <c r="AD11">
        <v>-140</v>
      </c>
      <c r="AE11">
        <v>-70</v>
      </c>
      <c r="AF11">
        <v>-100</v>
      </c>
      <c r="AG11">
        <v>-70</v>
      </c>
      <c r="AH11">
        <v>-70</v>
      </c>
      <c r="AI11">
        <v>-70</v>
      </c>
      <c r="AJ11">
        <v>-170</v>
      </c>
      <c r="AK11">
        <v>-85</v>
      </c>
      <c r="AL11">
        <v>-40</v>
      </c>
      <c r="AM11">
        <v>-70</v>
      </c>
      <c r="AN11">
        <v>-115</v>
      </c>
      <c r="AO11">
        <v>-90</v>
      </c>
      <c r="AP11">
        <v>-75</v>
      </c>
      <c r="AQ11">
        <v>-80</v>
      </c>
      <c r="AR11">
        <v>-70</v>
      </c>
      <c r="AS11">
        <v>-100</v>
      </c>
      <c r="AT11">
        <v>-145</v>
      </c>
    </row>
    <row r="12" spans="1:46">
      <c r="A12" t="s">
        <v>33</v>
      </c>
      <c r="B12">
        <v>-100</v>
      </c>
      <c r="C12">
        <v>-100</v>
      </c>
      <c r="D12">
        <v>-110</v>
      </c>
      <c r="E12">
        <v>-110</v>
      </c>
      <c r="F12">
        <v>-110</v>
      </c>
      <c r="G12">
        <v>-110</v>
      </c>
      <c r="H12">
        <v>-120</v>
      </c>
      <c r="I12">
        <v>-125</v>
      </c>
      <c r="J12">
        <v>-125</v>
      </c>
      <c r="K12">
        <v>-100</v>
      </c>
      <c r="L12">
        <v>-130</v>
      </c>
      <c r="M12">
        <v>-130</v>
      </c>
      <c r="N12">
        <v>-150</v>
      </c>
      <c r="O12">
        <v>-150</v>
      </c>
      <c r="P12">
        <v>-125</v>
      </c>
      <c r="Q12">
        <v>-140</v>
      </c>
      <c r="R12">
        <v>-140</v>
      </c>
      <c r="S12">
        <v>-140</v>
      </c>
      <c r="T12">
        <v>-150</v>
      </c>
      <c r="U12">
        <v>-120</v>
      </c>
      <c r="V12">
        <v>-180</v>
      </c>
      <c r="W12">
        <v>-150</v>
      </c>
      <c r="X12">
        <v>-160</v>
      </c>
      <c r="Y12">
        <v>-135</v>
      </c>
      <c r="Z12">
        <v>-150</v>
      </c>
      <c r="AA12">
        <v>-181</v>
      </c>
      <c r="AB12">
        <v>-100</v>
      </c>
      <c r="AC12">
        <v>-100</v>
      </c>
      <c r="AD12">
        <v>-129</v>
      </c>
      <c r="AE12">
        <v>-132</v>
      </c>
      <c r="AF12">
        <v>-125</v>
      </c>
      <c r="AG12">
        <v>-70</v>
      </c>
      <c r="AH12">
        <v>-75</v>
      </c>
      <c r="AI12">
        <v>-75</v>
      </c>
      <c r="AJ12">
        <v>-74</v>
      </c>
      <c r="AK12">
        <v>-75</v>
      </c>
      <c r="AL12">
        <v>-75</v>
      </c>
      <c r="AM12">
        <v>-65</v>
      </c>
      <c r="AN12">
        <v>-77</v>
      </c>
      <c r="AO12">
        <v>-83</v>
      </c>
      <c r="AP12">
        <v>-75</v>
      </c>
      <c r="AQ12">
        <v>-60</v>
      </c>
      <c r="AR12">
        <v>-70</v>
      </c>
      <c r="AS12">
        <v>-65</v>
      </c>
      <c r="AT12">
        <v>-68</v>
      </c>
    </row>
    <row r="13" spans="1:46">
      <c r="A13" t="s">
        <v>13</v>
      </c>
      <c r="B13">
        <v>-12</v>
      </c>
      <c r="C13">
        <v>4</v>
      </c>
      <c r="D13">
        <v>2</v>
      </c>
      <c r="E13">
        <v>-2</v>
      </c>
      <c r="F13">
        <v>14</v>
      </c>
      <c r="G13">
        <v>10</v>
      </c>
      <c r="H13">
        <v>0</v>
      </c>
      <c r="I13">
        <v>-30</v>
      </c>
      <c r="J13">
        <v>-2</v>
      </c>
      <c r="K13">
        <v>16</v>
      </c>
      <c r="L13">
        <v>-15</v>
      </c>
      <c r="M13">
        <v>12</v>
      </c>
      <c r="N13">
        <v>50</v>
      </c>
      <c r="O13">
        <v>41</v>
      </c>
      <c r="P13">
        <v>80</v>
      </c>
      <c r="Q13">
        <v>100</v>
      </c>
      <c r="R13">
        <v>86</v>
      </c>
      <c r="S13">
        <v>60</v>
      </c>
      <c r="T13">
        <v>92</v>
      </c>
      <c r="U13">
        <v>110</v>
      </c>
      <c r="V13">
        <v>175</v>
      </c>
      <c r="W13">
        <v>208</v>
      </c>
      <c r="X13">
        <v>179</v>
      </c>
      <c r="Y13">
        <v>120</v>
      </c>
      <c r="Z13">
        <v>194</v>
      </c>
      <c r="AA13">
        <v>105</v>
      </c>
      <c r="AB13">
        <v>115</v>
      </c>
      <c r="AC13">
        <v>135</v>
      </c>
      <c r="AD13">
        <v>150</v>
      </c>
      <c r="AE13">
        <v>150</v>
      </c>
      <c r="AF13">
        <v>150</v>
      </c>
      <c r="AG13">
        <v>0</v>
      </c>
      <c r="AH13">
        <v>10</v>
      </c>
      <c r="AI13">
        <v>10</v>
      </c>
      <c r="AJ13">
        <v>5</v>
      </c>
      <c r="AK13">
        <v>-10</v>
      </c>
      <c r="AL13">
        <v>-15</v>
      </c>
      <c r="AM13">
        <v>-20</v>
      </c>
      <c r="AN13">
        <v>-41</v>
      </c>
      <c r="AO13">
        <v>-45</v>
      </c>
      <c r="AP13">
        <v>-60</v>
      </c>
      <c r="AQ13">
        <v>-75</v>
      </c>
      <c r="AR13">
        <v>-75</v>
      </c>
      <c r="AS13">
        <v>-60</v>
      </c>
      <c r="AT13">
        <v>-45</v>
      </c>
    </row>
    <row r="14" spans="1:46">
      <c r="A14" t="s">
        <v>26</v>
      </c>
      <c r="B14">
        <v>26</v>
      </c>
      <c r="C14">
        <v>-69</v>
      </c>
      <c r="D14">
        <v>-71</v>
      </c>
      <c r="E14">
        <v>-117</v>
      </c>
      <c r="F14">
        <v>-157</v>
      </c>
      <c r="G14">
        <v>-109</v>
      </c>
      <c r="H14">
        <v>-103</v>
      </c>
      <c r="I14">
        <v>-131</v>
      </c>
      <c r="J14">
        <v>-133</v>
      </c>
      <c r="K14">
        <v>-75</v>
      </c>
      <c r="L14">
        <v>-75</v>
      </c>
      <c r="M14">
        <v>-61</v>
      </c>
      <c r="N14">
        <v>-27</v>
      </c>
      <c r="O14">
        <v>-33</v>
      </c>
      <c r="P14">
        <v>12</v>
      </c>
      <c r="Q14">
        <v>22</v>
      </c>
      <c r="R14">
        <v>16</v>
      </c>
      <c r="S14">
        <v>10</v>
      </c>
      <c r="T14">
        <v>-34</v>
      </c>
      <c r="U14">
        <v>-4</v>
      </c>
      <c r="V14">
        <v>-12</v>
      </c>
      <c r="W14">
        <v>-16</v>
      </c>
      <c r="X14">
        <v>-24</v>
      </c>
      <c r="Y14">
        <v>-22</v>
      </c>
      <c r="Z14">
        <v>-72</v>
      </c>
      <c r="AA14">
        <v>-82</v>
      </c>
      <c r="AB14">
        <v>-96</v>
      </c>
      <c r="AC14">
        <v>-76</v>
      </c>
      <c r="AD14">
        <v>-90</v>
      </c>
      <c r="AE14">
        <v>-68</v>
      </c>
      <c r="AF14">
        <v>-24</v>
      </c>
      <c r="AG14">
        <v>-8</v>
      </c>
      <c r="AH14">
        <v>4</v>
      </c>
      <c r="AI14">
        <v>-8</v>
      </c>
      <c r="AJ14">
        <v>-60</v>
      </c>
      <c r="AK14">
        <v>-122</v>
      </c>
      <c r="AL14">
        <v>-164</v>
      </c>
      <c r="AM14">
        <v>-154</v>
      </c>
      <c r="AN14">
        <v>-202</v>
      </c>
      <c r="AO14">
        <v>-308</v>
      </c>
      <c r="AP14">
        <v>-274</v>
      </c>
      <c r="AQ14">
        <v>-292</v>
      </c>
      <c r="AR14">
        <v>-286</v>
      </c>
      <c r="AS14">
        <v>-342</v>
      </c>
      <c r="AT14">
        <v>-512</v>
      </c>
    </row>
    <row r="15" spans="1:46">
      <c r="A15" t="s">
        <v>6</v>
      </c>
      <c r="B15">
        <v>-48</v>
      </c>
      <c r="C15">
        <v>79</v>
      </c>
      <c r="D15">
        <v>92</v>
      </c>
      <c r="E15">
        <v>96</v>
      </c>
      <c r="F15">
        <v>93</v>
      </c>
      <c r="G15">
        <v>98</v>
      </c>
      <c r="H15">
        <v>109</v>
      </c>
      <c r="I15">
        <v>161</v>
      </c>
      <c r="J15">
        <v>122</v>
      </c>
      <c r="K15">
        <v>83</v>
      </c>
      <c r="L15">
        <v>28</v>
      </c>
      <c r="M15">
        <v>74</v>
      </c>
      <c r="N15">
        <v>80</v>
      </c>
      <c r="O15">
        <v>21</v>
      </c>
      <c r="P15">
        <v>98</v>
      </c>
      <c r="Q15">
        <v>29</v>
      </c>
      <c r="R15">
        <v>-37</v>
      </c>
      <c r="S15">
        <v>-67</v>
      </c>
      <c r="T15">
        <v>-194</v>
      </c>
      <c r="U15">
        <v>-256</v>
      </c>
      <c r="V15">
        <v>-228</v>
      </c>
      <c r="W15">
        <v>-117</v>
      </c>
      <c r="X15">
        <v>-120</v>
      </c>
      <c r="Y15">
        <v>-64</v>
      </c>
      <c r="Z15">
        <v>-41</v>
      </c>
      <c r="AA15">
        <v>-17</v>
      </c>
      <c r="AB15">
        <v>23</v>
      </c>
      <c r="AC15">
        <v>26</v>
      </c>
      <c r="AD15">
        <v>-47</v>
      </c>
      <c r="AE15">
        <v>8</v>
      </c>
      <c r="AF15">
        <v>20</v>
      </c>
      <c r="AG15">
        <v>100</v>
      </c>
      <c r="AH15">
        <v>82</v>
      </c>
      <c r="AI15">
        <v>86</v>
      </c>
      <c r="AJ15">
        <v>9</v>
      </c>
      <c r="AK15">
        <v>24</v>
      </c>
      <c r="AL15">
        <v>7</v>
      </c>
      <c r="AM15">
        <v>32</v>
      </c>
      <c r="AN15">
        <v>167</v>
      </c>
      <c r="AO15">
        <v>199</v>
      </c>
      <c r="AP15">
        <v>213</v>
      </c>
      <c r="AQ15">
        <v>232</v>
      </c>
      <c r="AR15">
        <v>231</v>
      </c>
      <c r="AS15">
        <v>253</v>
      </c>
      <c r="AT15">
        <v>278</v>
      </c>
    </row>
    <row r="16" spans="1:46">
      <c r="A16" t="s">
        <v>15</v>
      </c>
      <c r="B16">
        <v>-246</v>
      </c>
      <c r="C16">
        <v>-155</v>
      </c>
      <c r="D16">
        <v>-96</v>
      </c>
      <c r="E16">
        <v>-69</v>
      </c>
      <c r="F16">
        <v>-118</v>
      </c>
      <c r="G16">
        <v>-56</v>
      </c>
      <c r="H16">
        <v>-92</v>
      </c>
      <c r="I16">
        <v>-46</v>
      </c>
      <c r="J16">
        <v>-92</v>
      </c>
      <c r="K16">
        <v>-101</v>
      </c>
      <c r="L16">
        <v>-59</v>
      </c>
      <c r="M16">
        <v>-61</v>
      </c>
      <c r="N16">
        <v>-61</v>
      </c>
      <c r="O16">
        <v>-65</v>
      </c>
      <c r="P16">
        <v>-60</v>
      </c>
      <c r="Q16">
        <v>24</v>
      </c>
      <c r="R16">
        <v>26</v>
      </c>
      <c r="S16">
        <v>45</v>
      </c>
      <c r="T16">
        <v>40</v>
      </c>
      <c r="U16">
        <v>-6</v>
      </c>
      <c r="V16">
        <v>-44</v>
      </c>
      <c r="W16">
        <v>-61</v>
      </c>
      <c r="X16">
        <v>-41</v>
      </c>
      <c r="Y16">
        <v>-32</v>
      </c>
      <c r="Z16">
        <v>-80</v>
      </c>
      <c r="AA16">
        <v>-20</v>
      </c>
      <c r="AB16">
        <v>-10</v>
      </c>
      <c r="AC16">
        <v>19</v>
      </c>
      <c r="AD16">
        <v>12</v>
      </c>
      <c r="AE16">
        <v>26</v>
      </c>
      <c r="AF16">
        <v>56</v>
      </c>
      <c r="AG16">
        <v>100</v>
      </c>
      <c r="AH16">
        <v>96</v>
      </c>
      <c r="AI16">
        <v>90</v>
      </c>
      <c r="AJ16">
        <v>89</v>
      </c>
      <c r="AK16">
        <v>126</v>
      </c>
      <c r="AL16">
        <v>135</v>
      </c>
      <c r="AM16">
        <v>147</v>
      </c>
      <c r="AN16">
        <v>157</v>
      </c>
      <c r="AO16">
        <v>186</v>
      </c>
      <c r="AP16">
        <v>186</v>
      </c>
      <c r="AQ16">
        <v>114</v>
      </c>
      <c r="AR16">
        <v>126</v>
      </c>
      <c r="AS16">
        <v>117</v>
      </c>
      <c r="AT16">
        <v>127</v>
      </c>
    </row>
    <row r="17" spans="1:46">
      <c r="A17" t="s">
        <v>11</v>
      </c>
      <c r="B17">
        <v>89</v>
      </c>
      <c r="C17">
        <v>106</v>
      </c>
      <c r="D17">
        <v>85</v>
      </c>
      <c r="E17">
        <v>90</v>
      </c>
      <c r="F17">
        <v>57</v>
      </c>
      <c r="G17">
        <v>123</v>
      </c>
      <c r="H17">
        <v>92</v>
      </c>
      <c r="I17">
        <v>122</v>
      </c>
      <c r="J17">
        <v>89</v>
      </c>
      <c r="K17">
        <v>82</v>
      </c>
      <c r="L17">
        <v>97</v>
      </c>
      <c r="M17">
        <v>83</v>
      </c>
      <c r="N17">
        <v>97</v>
      </c>
      <c r="O17">
        <v>126</v>
      </c>
      <c r="P17">
        <v>107</v>
      </c>
      <c r="Q17">
        <v>113</v>
      </c>
      <c r="R17">
        <v>115</v>
      </c>
      <c r="S17">
        <v>109</v>
      </c>
      <c r="T17">
        <v>123</v>
      </c>
      <c r="U17">
        <v>123</v>
      </c>
      <c r="V17">
        <v>111</v>
      </c>
      <c r="W17">
        <v>93</v>
      </c>
      <c r="X17">
        <v>125</v>
      </c>
      <c r="Y17">
        <v>154</v>
      </c>
      <c r="Z17">
        <v>86</v>
      </c>
      <c r="AA17">
        <v>55</v>
      </c>
      <c r="AB17">
        <v>67</v>
      </c>
      <c r="AC17">
        <v>91</v>
      </c>
      <c r="AD17">
        <v>88</v>
      </c>
      <c r="AE17">
        <v>54</v>
      </c>
      <c r="AF17">
        <v>69</v>
      </c>
      <c r="AG17">
        <v>65</v>
      </c>
      <c r="AH17">
        <v>74</v>
      </c>
      <c r="AI17">
        <v>55</v>
      </c>
      <c r="AJ17">
        <v>57</v>
      </c>
      <c r="AK17">
        <v>57</v>
      </c>
      <c r="AL17">
        <v>54</v>
      </c>
      <c r="AM17">
        <v>55</v>
      </c>
      <c r="AN17">
        <v>59</v>
      </c>
      <c r="AO17">
        <v>70</v>
      </c>
      <c r="AP17">
        <v>52</v>
      </c>
      <c r="AQ17">
        <v>33</v>
      </c>
      <c r="AR17">
        <v>55</v>
      </c>
      <c r="AS17">
        <v>26</v>
      </c>
      <c r="AT17">
        <v>65</v>
      </c>
    </row>
    <row r="18" spans="1:46">
      <c r="A18" t="s">
        <v>23</v>
      </c>
      <c r="B18">
        <v>14</v>
      </c>
      <c r="C18">
        <v>-16</v>
      </c>
      <c r="D18">
        <v>-25</v>
      </c>
      <c r="E18">
        <v>-7</v>
      </c>
      <c r="F18">
        <v>-1</v>
      </c>
      <c r="G18">
        <v>23</v>
      </c>
      <c r="H18">
        <v>3</v>
      </c>
      <c r="I18">
        <v>29</v>
      </c>
      <c r="J18">
        <v>-24</v>
      </c>
      <c r="K18">
        <v>-8</v>
      </c>
      <c r="L18">
        <v>5</v>
      </c>
      <c r="M18">
        <v>-25</v>
      </c>
      <c r="N18">
        <v>-4</v>
      </c>
      <c r="O18">
        <v>-31</v>
      </c>
      <c r="P18">
        <v>7</v>
      </c>
      <c r="Q18">
        <v>20</v>
      </c>
      <c r="R18">
        <v>20</v>
      </c>
      <c r="S18">
        <v>-10</v>
      </c>
      <c r="T18">
        <v>7</v>
      </c>
      <c r="U18">
        <v>-10</v>
      </c>
      <c r="V18">
        <v>-10</v>
      </c>
      <c r="W18">
        <v>-10</v>
      </c>
      <c r="X18">
        <v>-10</v>
      </c>
      <c r="Y18">
        <v>0</v>
      </c>
      <c r="Z18">
        <v>0</v>
      </c>
      <c r="AA18">
        <v>-30</v>
      </c>
      <c r="AB18">
        <v>-30</v>
      </c>
      <c r="AC18">
        <v>-30</v>
      </c>
      <c r="AD18">
        <v>-30</v>
      </c>
      <c r="AE18">
        <v>-33</v>
      </c>
      <c r="AF18">
        <v>-172</v>
      </c>
      <c r="AG18">
        <v>-91</v>
      </c>
      <c r="AH18">
        <v>-87</v>
      </c>
      <c r="AI18">
        <v>-86</v>
      </c>
      <c r="AJ18">
        <v>-49</v>
      </c>
      <c r="AK18">
        <v>-47</v>
      </c>
      <c r="AL18">
        <v>-68</v>
      </c>
      <c r="AM18">
        <v>-26</v>
      </c>
      <c r="AN18">
        <v>-36</v>
      </c>
      <c r="AO18">
        <v>-27</v>
      </c>
      <c r="AP18">
        <v>-34</v>
      </c>
      <c r="AQ18">
        <v>-48</v>
      </c>
      <c r="AR18">
        <v>-39</v>
      </c>
      <c r="AS18">
        <v>-65</v>
      </c>
      <c r="AT18">
        <v>-47</v>
      </c>
    </row>
    <row r="19" spans="1:46">
      <c r="A19" t="s">
        <v>14</v>
      </c>
      <c r="B19">
        <v>49</v>
      </c>
      <c r="C19">
        <v>53</v>
      </c>
      <c r="D19">
        <v>64</v>
      </c>
      <c r="E19">
        <v>67</v>
      </c>
      <c r="F19">
        <v>102</v>
      </c>
      <c r="G19">
        <v>105</v>
      </c>
      <c r="H19">
        <v>99</v>
      </c>
      <c r="I19">
        <v>104</v>
      </c>
      <c r="J19">
        <v>102</v>
      </c>
      <c r="K19">
        <v>130</v>
      </c>
      <c r="L19">
        <v>133</v>
      </c>
      <c r="M19">
        <v>129</v>
      </c>
      <c r="N19">
        <v>131</v>
      </c>
      <c r="O19">
        <v>115</v>
      </c>
      <c r="P19">
        <v>115</v>
      </c>
      <c r="Q19">
        <v>123</v>
      </c>
      <c r="R19">
        <v>118</v>
      </c>
      <c r="S19">
        <v>134</v>
      </c>
      <c r="T19">
        <v>127</v>
      </c>
      <c r="U19">
        <v>126</v>
      </c>
      <c r="V19">
        <v>118</v>
      </c>
      <c r="W19">
        <v>87</v>
      </c>
      <c r="X19">
        <v>65</v>
      </c>
      <c r="Y19">
        <v>75</v>
      </c>
      <c r="Z19">
        <v>57</v>
      </c>
      <c r="AA19">
        <v>68</v>
      </c>
      <c r="AB19">
        <v>63</v>
      </c>
      <c r="AC19">
        <v>64</v>
      </c>
      <c r="AD19">
        <v>43</v>
      </c>
      <c r="AE19">
        <v>58</v>
      </c>
      <c r="AF19">
        <v>54</v>
      </c>
      <c r="AG19">
        <v>70</v>
      </c>
      <c r="AH19">
        <v>68</v>
      </c>
      <c r="AI19">
        <v>50</v>
      </c>
      <c r="AJ19">
        <v>44</v>
      </c>
      <c r="AK19">
        <v>43</v>
      </c>
      <c r="AL19">
        <v>43</v>
      </c>
      <c r="AM19">
        <v>57</v>
      </c>
      <c r="AN19">
        <v>53</v>
      </c>
      <c r="AO19">
        <v>47</v>
      </c>
      <c r="AP19">
        <v>50</v>
      </c>
      <c r="AQ19">
        <v>62</v>
      </c>
      <c r="AR19">
        <v>60</v>
      </c>
      <c r="AS19">
        <v>55</v>
      </c>
      <c r="AT19">
        <v>59</v>
      </c>
    </row>
    <row r="20" spans="1:46">
      <c r="A20" t="s">
        <v>8</v>
      </c>
      <c r="B20">
        <v>76</v>
      </c>
      <c r="C20">
        <v>38</v>
      </c>
      <c r="D20">
        <v>109</v>
      </c>
      <c r="E20">
        <v>121</v>
      </c>
      <c r="F20">
        <v>102</v>
      </c>
      <c r="G20">
        <v>108</v>
      </c>
      <c r="H20">
        <v>82</v>
      </c>
      <c r="I20">
        <v>124</v>
      </c>
      <c r="J20">
        <v>115</v>
      </c>
      <c r="K20">
        <v>126</v>
      </c>
      <c r="L20">
        <v>170</v>
      </c>
      <c r="M20">
        <v>146</v>
      </c>
      <c r="N20">
        <v>168</v>
      </c>
      <c r="O20">
        <v>156</v>
      </c>
      <c r="P20">
        <v>165</v>
      </c>
      <c r="Q20">
        <v>173</v>
      </c>
      <c r="R20">
        <v>148</v>
      </c>
      <c r="S20">
        <v>154</v>
      </c>
      <c r="T20">
        <v>155</v>
      </c>
      <c r="U20">
        <v>121</v>
      </c>
      <c r="V20">
        <v>120</v>
      </c>
      <c r="W20">
        <v>107</v>
      </c>
      <c r="X20">
        <v>105</v>
      </c>
      <c r="Y20">
        <v>106</v>
      </c>
      <c r="Z20">
        <v>106</v>
      </c>
      <c r="AA20">
        <v>146</v>
      </c>
      <c r="AB20">
        <v>135</v>
      </c>
      <c r="AC20">
        <v>132</v>
      </c>
      <c r="AD20">
        <v>77</v>
      </c>
      <c r="AE20">
        <v>90</v>
      </c>
      <c r="AF20">
        <v>85</v>
      </c>
      <c r="AG20">
        <v>113</v>
      </c>
      <c r="AH20">
        <v>106</v>
      </c>
      <c r="AI20">
        <v>77</v>
      </c>
      <c r="AJ20">
        <v>79</v>
      </c>
      <c r="AK20">
        <v>76</v>
      </c>
      <c r="AL20">
        <v>72</v>
      </c>
      <c r="AM20">
        <v>97</v>
      </c>
      <c r="AN20">
        <v>95</v>
      </c>
      <c r="AO20">
        <v>106</v>
      </c>
      <c r="AP20">
        <v>104</v>
      </c>
      <c r="AQ20">
        <v>131</v>
      </c>
      <c r="AR20">
        <v>133</v>
      </c>
      <c r="AS20">
        <v>130</v>
      </c>
      <c r="AT20">
        <v>163</v>
      </c>
    </row>
    <row r="21" spans="1:46">
      <c r="A21" t="s">
        <v>34</v>
      </c>
      <c r="B21">
        <v>140</v>
      </c>
      <c r="C21">
        <v>-20</v>
      </c>
      <c r="D21">
        <v>4</v>
      </c>
      <c r="E21">
        <v>-70</v>
      </c>
      <c r="F21">
        <v>4</v>
      </c>
      <c r="G21">
        <v>50</v>
      </c>
      <c r="H21">
        <v>36</v>
      </c>
      <c r="I21">
        <v>70</v>
      </c>
      <c r="J21">
        <v>62</v>
      </c>
      <c r="K21">
        <v>30</v>
      </c>
      <c r="L21">
        <v>28</v>
      </c>
      <c r="M21">
        <v>60</v>
      </c>
      <c r="N21">
        <v>26</v>
      </c>
      <c r="O21">
        <v>2</v>
      </c>
      <c r="P21">
        <v>2</v>
      </c>
      <c r="Q21">
        <v>16</v>
      </c>
      <c r="R21">
        <v>-6</v>
      </c>
      <c r="S21">
        <v>12</v>
      </c>
      <c r="T21">
        <v>-12</v>
      </c>
      <c r="U21">
        <v>26</v>
      </c>
      <c r="V21">
        <v>2</v>
      </c>
      <c r="W21">
        <v>26</v>
      </c>
      <c r="X21">
        <v>-28</v>
      </c>
      <c r="Y21">
        <v>-18</v>
      </c>
      <c r="Z21">
        <v>-52</v>
      </c>
      <c r="AA21">
        <v>-66</v>
      </c>
      <c r="AB21">
        <v>-66</v>
      </c>
      <c r="AC21">
        <v>-32</v>
      </c>
      <c r="AD21">
        <v>-50</v>
      </c>
      <c r="AE21">
        <v>-66</v>
      </c>
      <c r="AF21">
        <v>-28</v>
      </c>
      <c r="AG21">
        <v>-38</v>
      </c>
      <c r="AH21">
        <v>-58</v>
      </c>
      <c r="AI21">
        <v>-38</v>
      </c>
      <c r="AJ21">
        <v>-44</v>
      </c>
      <c r="AK21">
        <v>-62</v>
      </c>
      <c r="AL21">
        <v>-66</v>
      </c>
      <c r="AM21">
        <v>-124</v>
      </c>
      <c r="AN21">
        <v>-132</v>
      </c>
      <c r="AO21">
        <v>-166</v>
      </c>
      <c r="AP21">
        <v>-172</v>
      </c>
      <c r="AQ21">
        <v>-196</v>
      </c>
      <c r="AR21">
        <v>-178</v>
      </c>
      <c r="AS21">
        <v>-200</v>
      </c>
      <c r="AT21">
        <v>-210</v>
      </c>
    </row>
    <row r="22" spans="1:46">
      <c r="A22" t="s">
        <v>25</v>
      </c>
      <c r="B22">
        <v>0</v>
      </c>
      <c r="C22">
        <v>-44</v>
      </c>
      <c r="D22">
        <v>-54</v>
      </c>
      <c r="E22">
        <v>-40</v>
      </c>
      <c r="F22">
        <v>-54</v>
      </c>
      <c r="G22">
        <v>-46</v>
      </c>
      <c r="H22">
        <v>-58</v>
      </c>
      <c r="I22">
        <v>-78</v>
      </c>
      <c r="J22">
        <v>-66</v>
      </c>
      <c r="K22">
        <v>-68</v>
      </c>
      <c r="L22">
        <v>-72</v>
      </c>
      <c r="M22">
        <v>-66</v>
      </c>
      <c r="N22">
        <v>-78</v>
      </c>
      <c r="O22">
        <v>-74</v>
      </c>
      <c r="P22">
        <v>-74</v>
      </c>
      <c r="Q22">
        <v>-66</v>
      </c>
      <c r="R22">
        <v>-72</v>
      </c>
      <c r="S22">
        <v>-64</v>
      </c>
      <c r="T22">
        <v>-78</v>
      </c>
      <c r="U22">
        <v>-10</v>
      </c>
      <c r="V22">
        <v>-62</v>
      </c>
      <c r="W22">
        <v>-84</v>
      </c>
      <c r="X22">
        <v>-88</v>
      </c>
      <c r="Y22">
        <v>-76</v>
      </c>
      <c r="Z22">
        <v>-72</v>
      </c>
      <c r="AA22">
        <v>-98</v>
      </c>
      <c r="AB22">
        <v>-78</v>
      </c>
      <c r="AC22">
        <v>-74</v>
      </c>
      <c r="AD22">
        <v>-60</v>
      </c>
      <c r="AE22">
        <v>-74</v>
      </c>
      <c r="AF22">
        <v>-64</v>
      </c>
      <c r="AG22">
        <v>-78</v>
      </c>
      <c r="AH22">
        <v>-108</v>
      </c>
      <c r="AI22">
        <v>-76</v>
      </c>
      <c r="AJ22">
        <v>-60</v>
      </c>
      <c r="AK22">
        <v>-78</v>
      </c>
      <c r="AL22">
        <v>-80</v>
      </c>
      <c r="AM22">
        <v>-82</v>
      </c>
      <c r="AN22">
        <v>-74</v>
      </c>
      <c r="AO22">
        <v>-104</v>
      </c>
      <c r="AP22">
        <v>-104</v>
      </c>
      <c r="AQ22">
        <v>-96</v>
      </c>
      <c r="AR22">
        <v>-102</v>
      </c>
      <c r="AS22">
        <v>-102</v>
      </c>
      <c r="AT22">
        <v>-100</v>
      </c>
    </row>
    <row r="23" spans="1:46">
      <c r="A23" t="s">
        <v>16</v>
      </c>
      <c r="B23">
        <v>194</v>
      </c>
      <c r="C23">
        <v>306</v>
      </c>
      <c r="D23">
        <v>318</v>
      </c>
      <c r="E23">
        <v>280</v>
      </c>
      <c r="F23">
        <v>250</v>
      </c>
      <c r="G23">
        <v>260</v>
      </c>
      <c r="H23">
        <v>278</v>
      </c>
      <c r="I23">
        <v>352</v>
      </c>
      <c r="J23">
        <v>304</v>
      </c>
      <c r="K23">
        <v>284</v>
      </c>
      <c r="L23">
        <v>264</v>
      </c>
      <c r="M23">
        <v>308</v>
      </c>
      <c r="N23">
        <v>276</v>
      </c>
      <c r="O23">
        <v>258</v>
      </c>
      <c r="P23">
        <v>62</v>
      </c>
      <c r="Q23">
        <v>134</v>
      </c>
      <c r="R23">
        <v>46</v>
      </c>
      <c r="S23">
        <v>120</v>
      </c>
      <c r="T23">
        <v>168</v>
      </c>
      <c r="U23">
        <v>168</v>
      </c>
      <c r="V23">
        <v>202</v>
      </c>
      <c r="W23">
        <v>160</v>
      </c>
      <c r="X23">
        <v>200</v>
      </c>
      <c r="Y23">
        <v>218</v>
      </c>
      <c r="Z23">
        <v>156</v>
      </c>
      <c r="AA23">
        <v>122</v>
      </c>
      <c r="AB23">
        <v>140</v>
      </c>
      <c r="AC23">
        <v>-858</v>
      </c>
      <c r="AD23">
        <v>154</v>
      </c>
      <c r="AE23">
        <v>194</v>
      </c>
      <c r="AF23">
        <v>166</v>
      </c>
      <c r="AG23">
        <v>288</v>
      </c>
      <c r="AH23">
        <v>212</v>
      </c>
      <c r="AI23">
        <v>226</v>
      </c>
      <c r="AJ23">
        <v>196</v>
      </c>
      <c r="AK23">
        <v>202</v>
      </c>
      <c r="AL23">
        <v>162</v>
      </c>
      <c r="AM23">
        <v>154</v>
      </c>
      <c r="AN23">
        <v>172</v>
      </c>
      <c r="AO23">
        <v>98</v>
      </c>
      <c r="AP23">
        <v>92</v>
      </c>
      <c r="AQ23">
        <v>70</v>
      </c>
      <c r="AR23">
        <v>112</v>
      </c>
      <c r="AS23">
        <v>80</v>
      </c>
      <c r="AT23">
        <v>90</v>
      </c>
    </row>
    <row r="24" spans="1:46">
      <c r="A24" t="s">
        <v>10</v>
      </c>
      <c r="B24">
        <v>72</v>
      </c>
      <c r="C24">
        <v>72</v>
      </c>
      <c r="D24">
        <v>51</v>
      </c>
      <c r="E24">
        <v>35</v>
      </c>
      <c r="F24">
        <v>52</v>
      </c>
      <c r="G24">
        <v>12</v>
      </c>
      <c r="H24">
        <v>-24</v>
      </c>
      <c r="I24">
        <v>-28</v>
      </c>
      <c r="J24">
        <v>-20</v>
      </c>
      <c r="K24">
        <v>-6</v>
      </c>
      <c r="L24">
        <v>13</v>
      </c>
      <c r="M24">
        <v>22</v>
      </c>
      <c r="N24">
        <v>3</v>
      </c>
      <c r="O24">
        <v>19</v>
      </c>
      <c r="P24">
        <v>67</v>
      </c>
      <c r="Q24">
        <v>60</v>
      </c>
      <c r="R24">
        <v>76</v>
      </c>
      <c r="S24">
        <v>89</v>
      </c>
      <c r="T24">
        <v>234</v>
      </c>
      <c r="U24">
        <v>145</v>
      </c>
      <c r="V24">
        <v>127</v>
      </c>
      <c r="W24">
        <v>105</v>
      </c>
      <c r="X24">
        <v>128</v>
      </c>
      <c r="Y24">
        <v>88</v>
      </c>
      <c r="Z24">
        <v>235</v>
      </c>
      <c r="AA24">
        <v>235</v>
      </c>
      <c r="AB24">
        <v>255</v>
      </c>
      <c r="AC24">
        <v>114</v>
      </c>
      <c r="AD24">
        <v>111</v>
      </c>
      <c r="AE24">
        <v>125</v>
      </c>
      <c r="AF24">
        <v>178</v>
      </c>
      <c r="AG24">
        <v>159</v>
      </c>
      <c r="AH24">
        <v>126</v>
      </c>
      <c r="AI24">
        <v>140</v>
      </c>
      <c r="AJ24">
        <v>153</v>
      </c>
      <c r="AK24">
        <v>145</v>
      </c>
      <c r="AL24">
        <v>150</v>
      </c>
      <c r="AM24">
        <v>135</v>
      </c>
      <c r="AN24">
        <v>142</v>
      </c>
      <c r="AO24">
        <v>3</v>
      </c>
      <c r="AP24">
        <v>204</v>
      </c>
      <c r="AQ24">
        <v>135</v>
      </c>
      <c r="AR24">
        <v>209</v>
      </c>
      <c r="AS24">
        <v>209</v>
      </c>
      <c r="AT24">
        <v>163</v>
      </c>
    </row>
    <row r="25" spans="1:46">
      <c r="A25" t="s">
        <v>35</v>
      </c>
      <c r="B25">
        <v>590</v>
      </c>
      <c r="C25">
        <v>645</v>
      </c>
      <c r="D25">
        <v>575</v>
      </c>
      <c r="E25">
        <v>555</v>
      </c>
      <c r="F25">
        <v>560</v>
      </c>
      <c r="G25">
        <v>620</v>
      </c>
      <c r="H25">
        <v>570</v>
      </c>
      <c r="I25">
        <v>430</v>
      </c>
      <c r="J25">
        <v>530</v>
      </c>
      <c r="K25">
        <v>545</v>
      </c>
      <c r="L25">
        <v>475</v>
      </c>
      <c r="M25">
        <v>470</v>
      </c>
      <c r="N25">
        <v>620</v>
      </c>
      <c r="O25">
        <v>600</v>
      </c>
      <c r="P25">
        <v>580</v>
      </c>
      <c r="Q25">
        <v>590</v>
      </c>
      <c r="R25">
        <v>520</v>
      </c>
      <c r="S25">
        <v>485</v>
      </c>
      <c r="T25">
        <v>395</v>
      </c>
      <c r="U25">
        <v>360</v>
      </c>
      <c r="V25">
        <v>325</v>
      </c>
      <c r="W25">
        <v>280</v>
      </c>
      <c r="X25">
        <v>85</v>
      </c>
      <c r="Y25">
        <v>115</v>
      </c>
      <c r="Z25">
        <v>325</v>
      </c>
      <c r="AA25">
        <v>230</v>
      </c>
      <c r="AB25">
        <v>275</v>
      </c>
      <c r="AC25">
        <v>265</v>
      </c>
      <c r="AD25">
        <v>220</v>
      </c>
      <c r="AE25">
        <v>400</v>
      </c>
      <c r="AF25">
        <v>435</v>
      </c>
      <c r="AG25">
        <v>530</v>
      </c>
      <c r="AH25">
        <v>555</v>
      </c>
      <c r="AI25">
        <v>530</v>
      </c>
      <c r="AJ25">
        <v>520</v>
      </c>
      <c r="AK25">
        <v>435</v>
      </c>
      <c r="AL25">
        <v>395</v>
      </c>
      <c r="AM25">
        <v>390</v>
      </c>
      <c r="AN25">
        <v>355</v>
      </c>
      <c r="AO25">
        <v>240</v>
      </c>
      <c r="AP25">
        <v>265</v>
      </c>
      <c r="AQ25">
        <v>260</v>
      </c>
      <c r="AR25">
        <v>175</v>
      </c>
      <c r="AS25">
        <v>5</v>
      </c>
      <c r="AT25">
        <v>-65</v>
      </c>
    </row>
    <row r="26" spans="1:46">
      <c r="A26" t="s">
        <v>24</v>
      </c>
      <c r="B26">
        <v>-150</v>
      </c>
      <c r="C26">
        <v>-150</v>
      </c>
      <c r="D26">
        <v>-280</v>
      </c>
      <c r="E26">
        <v>110</v>
      </c>
      <c r="F26">
        <v>30</v>
      </c>
      <c r="G26">
        <v>30</v>
      </c>
      <c r="H26">
        <v>30</v>
      </c>
      <c r="I26">
        <v>-215</v>
      </c>
      <c r="J26">
        <v>65</v>
      </c>
      <c r="K26">
        <v>-110</v>
      </c>
      <c r="L26">
        <v>120</v>
      </c>
      <c r="M26">
        <v>-50</v>
      </c>
      <c r="N26">
        <v>-150</v>
      </c>
      <c r="O26">
        <v>-150</v>
      </c>
      <c r="P26">
        <v>-185</v>
      </c>
      <c r="Q26">
        <v>-185</v>
      </c>
      <c r="R26">
        <v>-130</v>
      </c>
      <c r="S26">
        <v>-130</v>
      </c>
      <c r="T26">
        <v>-350</v>
      </c>
      <c r="U26">
        <v>-350</v>
      </c>
      <c r="V26">
        <v>-45</v>
      </c>
      <c r="W26">
        <v>-350</v>
      </c>
      <c r="X26">
        <v>-120</v>
      </c>
      <c r="Y26">
        <v>-120</v>
      </c>
      <c r="Z26">
        <v>-450</v>
      </c>
      <c r="AA26">
        <v>-450</v>
      </c>
      <c r="AB26">
        <v>-450</v>
      </c>
      <c r="AC26">
        <v>-450</v>
      </c>
      <c r="AD26">
        <v>-450</v>
      </c>
      <c r="AE26">
        <v>-450</v>
      </c>
      <c r="AF26">
        <v>-450</v>
      </c>
      <c r="AG26">
        <v>-55</v>
      </c>
      <c r="AH26">
        <v>-170</v>
      </c>
      <c r="AI26">
        <v>-450</v>
      </c>
      <c r="AJ26">
        <v>-275</v>
      </c>
      <c r="AK26">
        <v>-350</v>
      </c>
      <c r="AL26">
        <v>-360</v>
      </c>
      <c r="AM26">
        <v>-425</v>
      </c>
      <c r="AN26">
        <v>-125</v>
      </c>
      <c r="AO26">
        <v>-475</v>
      </c>
      <c r="AP26">
        <v>-405</v>
      </c>
      <c r="AQ26">
        <v>-430</v>
      </c>
      <c r="AR26">
        <v>-485</v>
      </c>
      <c r="AS26">
        <v>-435</v>
      </c>
      <c r="AT26">
        <v>-510</v>
      </c>
    </row>
    <row r="27" spans="1:46">
      <c r="A27" t="s">
        <v>36</v>
      </c>
      <c r="B27">
        <v>-10</v>
      </c>
      <c r="C27">
        <v>80</v>
      </c>
      <c r="D27">
        <v>-210</v>
      </c>
      <c r="E27">
        <v>-180</v>
      </c>
      <c r="F27">
        <v>-210</v>
      </c>
      <c r="G27">
        <v>-310</v>
      </c>
      <c r="H27">
        <v>-30</v>
      </c>
      <c r="I27">
        <v>-230</v>
      </c>
      <c r="J27">
        <v>30</v>
      </c>
      <c r="K27">
        <v>-200</v>
      </c>
      <c r="L27">
        <v>-60</v>
      </c>
      <c r="M27">
        <v>-970</v>
      </c>
      <c r="N27">
        <v>-590</v>
      </c>
      <c r="O27">
        <v>-600</v>
      </c>
      <c r="P27">
        <v>-70</v>
      </c>
      <c r="Q27">
        <v>280</v>
      </c>
      <c r="R27">
        <v>-170</v>
      </c>
      <c r="S27">
        <v>110</v>
      </c>
      <c r="T27">
        <v>20</v>
      </c>
      <c r="U27">
        <v>270</v>
      </c>
      <c r="V27">
        <v>-10</v>
      </c>
      <c r="W27">
        <v>-110</v>
      </c>
      <c r="X27">
        <v>-90</v>
      </c>
      <c r="Y27">
        <v>-130</v>
      </c>
      <c r="Z27">
        <v>-180</v>
      </c>
      <c r="AA27">
        <v>-210</v>
      </c>
      <c r="AB27">
        <v>0</v>
      </c>
      <c r="AC27">
        <v>-100</v>
      </c>
      <c r="AD27">
        <v>-200</v>
      </c>
      <c r="AE27">
        <v>1870</v>
      </c>
      <c r="AF27">
        <v>1220</v>
      </c>
      <c r="AG27">
        <v>1180</v>
      </c>
      <c r="AH27">
        <v>620</v>
      </c>
      <c r="AI27">
        <v>250</v>
      </c>
      <c r="AJ27">
        <v>260</v>
      </c>
      <c r="AK27">
        <v>80</v>
      </c>
      <c r="AL27">
        <v>190</v>
      </c>
      <c r="AM27">
        <v>80</v>
      </c>
      <c r="AN27">
        <v>20</v>
      </c>
      <c r="AO27">
        <v>-40</v>
      </c>
      <c r="AP27">
        <v>-40</v>
      </c>
      <c r="AQ27">
        <v>-290</v>
      </c>
      <c r="AR27">
        <v>300</v>
      </c>
      <c r="AS27">
        <v>-60</v>
      </c>
      <c r="AT27">
        <v>-100</v>
      </c>
    </row>
    <row r="28" spans="1:46">
      <c r="A28" t="s">
        <v>22</v>
      </c>
      <c r="B28">
        <v>-85</v>
      </c>
      <c r="C28">
        <v>-50</v>
      </c>
      <c r="D28">
        <v>-120</v>
      </c>
      <c r="E28">
        <v>-185</v>
      </c>
      <c r="F28">
        <v>-100</v>
      </c>
      <c r="G28">
        <v>-145</v>
      </c>
      <c r="H28">
        <v>-105</v>
      </c>
      <c r="I28">
        <v>-120</v>
      </c>
      <c r="J28">
        <v>-110</v>
      </c>
      <c r="K28">
        <v>-140</v>
      </c>
      <c r="L28">
        <v>-130</v>
      </c>
      <c r="M28">
        <v>-130</v>
      </c>
      <c r="N28">
        <v>-40</v>
      </c>
      <c r="O28">
        <v>-100</v>
      </c>
      <c r="P28">
        <v>-90</v>
      </c>
      <c r="Q28">
        <v>-90</v>
      </c>
      <c r="R28">
        <v>-75</v>
      </c>
      <c r="S28">
        <v>40</v>
      </c>
      <c r="T28">
        <v>-120</v>
      </c>
      <c r="U28">
        <v>-55</v>
      </c>
      <c r="V28">
        <v>-120</v>
      </c>
      <c r="W28">
        <v>-100</v>
      </c>
      <c r="X28">
        <v>-125</v>
      </c>
      <c r="Y28">
        <v>-225</v>
      </c>
      <c r="Z28">
        <v>-170</v>
      </c>
      <c r="AA28">
        <v>-150</v>
      </c>
      <c r="AB28">
        <v>-185</v>
      </c>
      <c r="AC28">
        <v>-245</v>
      </c>
      <c r="AD28">
        <v>-235</v>
      </c>
      <c r="AE28">
        <v>-240</v>
      </c>
      <c r="AF28">
        <v>-490</v>
      </c>
      <c r="AG28">
        <v>-150</v>
      </c>
      <c r="AH28">
        <v>-30</v>
      </c>
      <c r="AI28">
        <v>-320</v>
      </c>
      <c r="AJ28">
        <v>-180</v>
      </c>
      <c r="AK28">
        <v>-185</v>
      </c>
      <c r="AL28">
        <v>-50</v>
      </c>
      <c r="AM28">
        <v>-105</v>
      </c>
      <c r="AN28">
        <v>-105</v>
      </c>
      <c r="AO28">
        <v>-105</v>
      </c>
      <c r="AP28">
        <v>-145</v>
      </c>
      <c r="AQ28">
        <v>-145</v>
      </c>
      <c r="AR28">
        <v>-35</v>
      </c>
      <c r="AS28">
        <v>-140</v>
      </c>
      <c r="AT28">
        <v>-75</v>
      </c>
    </row>
    <row r="29" spans="1:46">
      <c r="A29" t="s">
        <v>37</v>
      </c>
      <c r="B29">
        <v>-50</v>
      </c>
      <c r="C29">
        <v>-80</v>
      </c>
      <c r="D29">
        <v>-165</v>
      </c>
      <c r="E29">
        <v>-75</v>
      </c>
      <c r="F29">
        <v>-155</v>
      </c>
      <c r="G29">
        <v>-70</v>
      </c>
      <c r="H29">
        <v>85</v>
      </c>
      <c r="I29">
        <v>-65</v>
      </c>
      <c r="J29">
        <v>70</v>
      </c>
      <c r="K29">
        <v>25</v>
      </c>
      <c r="L29">
        <v>30</v>
      </c>
      <c r="M29">
        <v>-260</v>
      </c>
      <c r="N29">
        <v>-50</v>
      </c>
      <c r="O29">
        <v>100</v>
      </c>
      <c r="P29">
        <v>70</v>
      </c>
      <c r="Q29">
        <v>30</v>
      </c>
      <c r="R29">
        <v>35</v>
      </c>
      <c r="S29">
        <v>95</v>
      </c>
      <c r="T29">
        <v>105</v>
      </c>
      <c r="U29">
        <v>180</v>
      </c>
      <c r="V29">
        <v>40</v>
      </c>
      <c r="W29">
        <v>30</v>
      </c>
      <c r="X29">
        <v>15</v>
      </c>
      <c r="Y29">
        <v>-25</v>
      </c>
      <c r="Z29">
        <v>-60</v>
      </c>
      <c r="AA29">
        <v>-80</v>
      </c>
      <c r="AB29">
        <v>-35</v>
      </c>
      <c r="AC29">
        <v>-15</v>
      </c>
      <c r="AD29">
        <v>-85</v>
      </c>
      <c r="AE29">
        <v>460</v>
      </c>
      <c r="AF29">
        <v>200</v>
      </c>
      <c r="AG29">
        <v>430</v>
      </c>
      <c r="AH29">
        <v>10</v>
      </c>
      <c r="AI29">
        <v>40</v>
      </c>
      <c r="AJ29">
        <v>40</v>
      </c>
      <c r="AK29">
        <v>50</v>
      </c>
      <c r="AL29">
        <v>150</v>
      </c>
      <c r="AM29">
        <v>20</v>
      </c>
      <c r="AN29">
        <v>5</v>
      </c>
      <c r="AO29">
        <v>-30</v>
      </c>
      <c r="AP29">
        <v>15</v>
      </c>
      <c r="AQ29">
        <v>-160</v>
      </c>
      <c r="AR29">
        <v>70</v>
      </c>
      <c r="AS29">
        <v>60</v>
      </c>
      <c r="AT29">
        <v>-40</v>
      </c>
    </row>
    <row r="30" spans="1:46">
      <c r="A30" t="s">
        <v>38</v>
      </c>
      <c r="B30">
        <v>-100</v>
      </c>
      <c r="C30">
        <v>-770</v>
      </c>
      <c r="D30">
        <v>-1300</v>
      </c>
      <c r="E30">
        <v>-700</v>
      </c>
      <c r="F30">
        <v>-550</v>
      </c>
      <c r="G30">
        <v>-370</v>
      </c>
      <c r="H30">
        <v>220</v>
      </c>
      <c r="I30">
        <v>-660</v>
      </c>
      <c r="J30">
        <v>310</v>
      </c>
      <c r="K30">
        <v>-170</v>
      </c>
      <c r="L30">
        <v>-190</v>
      </c>
      <c r="M30">
        <v>-130</v>
      </c>
      <c r="N30">
        <v>460</v>
      </c>
      <c r="O30">
        <v>-680</v>
      </c>
      <c r="P30">
        <v>-140</v>
      </c>
      <c r="Q30">
        <v>-170</v>
      </c>
      <c r="R30">
        <v>-910</v>
      </c>
      <c r="S30">
        <v>60</v>
      </c>
      <c r="T30">
        <v>-350</v>
      </c>
      <c r="U30">
        <v>-590</v>
      </c>
      <c r="V30">
        <v>-1260</v>
      </c>
      <c r="W30">
        <v>-520</v>
      </c>
      <c r="X30">
        <v>-260</v>
      </c>
      <c r="Y30">
        <v>-340</v>
      </c>
      <c r="Z30">
        <v>-450</v>
      </c>
      <c r="AA30">
        <v>-1900</v>
      </c>
      <c r="AB30">
        <v>-500</v>
      </c>
      <c r="AC30">
        <v>-600</v>
      </c>
      <c r="AD30">
        <v>-1430</v>
      </c>
      <c r="AE30">
        <v>-930</v>
      </c>
      <c r="AF30">
        <v>-950</v>
      </c>
      <c r="AG30">
        <v>-720</v>
      </c>
      <c r="AH30">
        <v>-670</v>
      </c>
      <c r="AI30">
        <v>-280</v>
      </c>
      <c r="AJ30">
        <v>-680</v>
      </c>
      <c r="AK30">
        <v>-400</v>
      </c>
      <c r="AL30">
        <v>-410</v>
      </c>
      <c r="AM30">
        <v>-590</v>
      </c>
      <c r="AN30">
        <v>-1260</v>
      </c>
      <c r="AO30">
        <v>-500</v>
      </c>
      <c r="AP30">
        <v>-1020</v>
      </c>
      <c r="AQ30">
        <v>-1310</v>
      </c>
      <c r="AR30">
        <v>290</v>
      </c>
      <c r="AS30">
        <v>-1260</v>
      </c>
      <c r="AT30">
        <v>-1080</v>
      </c>
    </row>
    <row r="31" spans="1:46">
      <c r="A31" t="s">
        <v>18</v>
      </c>
      <c r="B31">
        <v>16.470000000000255</v>
      </c>
      <c r="C31">
        <v>47.5600000000004</v>
      </c>
      <c r="D31">
        <v>51.669999999999163</v>
      </c>
      <c r="E31">
        <v>27.119999999999891</v>
      </c>
      <c r="F31">
        <v>35.380000000000109</v>
      </c>
      <c r="G31">
        <v>69.390000000000327</v>
      </c>
      <c r="H31">
        <v>62.299999999999272</v>
      </c>
      <c r="I31">
        <v>49.530000000000655</v>
      </c>
      <c r="J31">
        <v>52.170000000000073</v>
      </c>
      <c r="K31">
        <v>77.960000000000036</v>
      </c>
      <c r="L31">
        <v>56.890000000000327</v>
      </c>
      <c r="M31">
        <v>38.8100000000004</v>
      </c>
      <c r="N31">
        <v>-43.339999999999236</v>
      </c>
      <c r="O31">
        <v>5.9000000000005457</v>
      </c>
      <c r="P31">
        <v>-0.2999999999992724</v>
      </c>
      <c r="Q31">
        <v>18.890000000000327</v>
      </c>
      <c r="R31">
        <v>8.3400000000001455</v>
      </c>
      <c r="S31">
        <v>18.840000000000146</v>
      </c>
      <c r="T31">
        <v>12.019999999999527</v>
      </c>
      <c r="U31">
        <v>9.4699999999993452</v>
      </c>
      <c r="V31">
        <v>32.630000000000109</v>
      </c>
      <c r="W31">
        <v>39.339999999999236</v>
      </c>
      <c r="X31">
        <v>14.119999999999891</v>
      </c>
      <c r="Y31">
        <v>40.920000000000073</v>
      </c>
      <c r="Z31">
        <v>47.159999999999854</v>
      </c>
      <c r="AA31">
        <v>19.760000000000218</v>
      </c>
      <c r="AB31">
        <v>36.349999999999454</v>
      </c>
      <c r="AC31">
        <v>33.579999999999927</v>
      </c>
      <c r="AD31">
        <v>52.090000000000146</v>
      </c>
      <c r="AE31">
        <v>69.390000000000327</v>
      </c>
      <c r="AF31">
        <v>4.3800000000001091</v>
      </c>
      <c r="AG31">
        <v>11.609999999999673</v>
      </c>
      <c r="AH31">
        <v>5.5100000000002183</v>
      </c>
      <c r="AI31">
        <v>6.4799999999995634</v>
      </c>
      <c r="AJ31">
        <v>16.25</v>
      </c>
      <c r="AK31">
        <v>-3.3099999999994907</v>
      </c>
      <c r="AL31">
        <v>17.720000000000255</v>
      </c>
      <c r="AM31">
        <v>9.999999999308784E-3</v>
      </c>
      <c r="AN31">
        <v>11.289999999999964</v>
      </c>
      <c r="AO31">
        <v>13.699999999999818</v>
      </c>
      <c r="AP31">
        <v>-6.7900000000008731</v>
      </c>
      <c r="AQ31">
        <v>15.869999999999891</v>
      </c>
      <c r="AR31">
        <v>-7.7799999999997453</v>
      </c>
      <c r="AS31">
        <v>6.6100000000005821</v>
      </c>
      <c r="AT31">
        <v>-0.68000000000029104</v>
      </c>
    </row>
    <row r="32" spans="1:46">
      <c r="A32" t="s">
        <v>19</v>
      </c>
      <c r="B32">
        <v>1.1799999999998363</v>
      </c>
      <c r="C32">
        <v>4.3899999999998727</v>
      </c>
      <c r="D32">
        <v>3.7599999999997635</v>
      </c>
      <c r="E32">
        <v>2.25</v>
      </c>
      <c r="F32">
        <v>4.3699999999998909</v>
      </c>
      <c r="G32">
        <v>15.940000000000055</v>
      </c>
      <c r="H32">
        <v>16.480000000000018</v>
      </c>
      <c r="I32">
        <v>2.2399999999997817</v>
      </c>
      <c r="J32">
        <v>9.4699999999997999</v>
      </c>
      <c r="K32">
        <v>22.9399999999996</v>
      </c>
      <c r="L32">
        <v>1.680000000000291</v>
      </c>
      <c r="M32">
        <v>33.5</v>
      </c>
      <c r="N32">
        <v>-1.5399999999999636</v>
      </c>
      <c r="O32">
        <v>-10.880000000000109</v>
      </c>
      <c r="P32">
        <v>0.51999999999998181</v>
      </c>
      <c r="Q32">
        <v>-3.7899999999999636</v>
      </c>
      <c r="R32">
        <v>0.76999999999998181</v>
      </c>
      <c r="S32">
        <v>-2.1599999999998545</v>
      </c>
      <c r="T32">
        <v>-0.10999999999967258</v>
      </c>
      <c r="U32">
        <v>0.5500000000001819</v>
      </c>
      <c r="V32">
        <v>-0.57000000000016371</v>
      </c>
      <c r="W32">
        <v>-2.4800000000000182</v>
      </c>
      <c r="X32">
        <v>1.4099999999998545</v>
      </c>
      <c r="Y32">
        <v>-0.51999999999998181</v>
      </c>
      <c r="Z32">
        <v>1.069999999999709</v>
      </c>
      <c r="AA32">
        <v>4.9099999999998545</v>
      </c>
      <c r="AB32">
        <v>2.1100000000001273</v>
      </c>
      <c r="AC32">
        <v>-2.2699999999999818</v>
      </c>
      <c r="AD32">
        <v>2.8200000000001637</v>
      </c>
      <c r="AE32">
        <v>4.6999999999998181</v>
      </c>
      <c r="AF32">
        <v>1.2200000000002547</v>
      </c>
      <c r="AG32">
        <v>-1.1500000000000909</v>
      </c>
      <c r="AH32">
        <v>5.4400000000000546</v>
      </c>
      <c r="AI32">
        <v>9.9000000000000909</v>
      </c>
      <c r="AJ32">
        <v>8.6799999999998363</v>
      </c>
      <c r="AK32">
        <v>-4.4100000000003092</v>
      </c>
      <c r="AL32">
        <v>-3.4200000000000728</v>
      </c>
      <c r="AM32">
        <v>-16.420000000000073</v>
      </c>
      <c r="AN32">
        <v>-7.4099999999998545</v>
      </c>
      <c r="AO32">
        <v>-16.570000000000164</v>
      </c>
      <c r="AP32">
        <v>-7.1799999999998363</v>
      </c>
      <c r="AQ32">
        <v>-8.9099999999998545</v>
      </c>
      <c r="AR32">
        <v>-12.820000000000164</v>
      </c>
      <c r="AS32">
        <v>-13.980000000000018</v>
      </c>
      <c r="AT32">
        <v>-10.569999999999709</v>
      </c>
    </row>
    <row r="33" spans="1:46">
      <c r="A33" t="s">
        <v>39</v>
      </c>
      <c r="B33">
        <v>4.2999999999997272</v>
      </c>
      <c r="C33">
        <v>11.7199999999998</v>
      </c>
      <c r="D33">
        <v>15.519999999999982</v>
      </c>
      <c r="E33">
        <v>6.3000000000001819</v>
      </c>
      <c r="F33">
        <v>14.429999999999836</v>
      </c>
      <c r="G33">
        <v>29.269999999999982</v>
      </c>
      <c r="H33">
        <v>28.069999999999709</v>
      </c>
      <c r="I33">
        <v>13.7199999999998</v>
      </c>
      <c r="J33">
        <v>24.529999999999745</v>
      </c>
      <c r="K33">
        <v>55.230000000000018</v>
      </c>
      <c r="L33">
        <v>24.75</v>
      </c>
      <c r="M33">
        <v>23.149999999999636</v>
      </c>
      <c r="N33">
        <v>-28.639999999999873</v>
      </c>
      <c r="O33">
        <v>-16.329999999999927</v>
      </c>
      <c r="P33">
        <v>-3.4499999999998181</v>
      </c>
      <c r="Q33">
        <v>0.90999999999985448</v>
      </c>
      <c r="R33">
        <v>2.8700000000003456</v>
      </c>
      <c r="S33">
        <v>2.8000000000001819</v>
      </c>
      <c r="T33">
        <v>3.9800000000004729</v>
      </c>
      <c r="U33">
        <v>7.5599999999999454</v>
      </c>
      <c r="V33">
        <v>11.639999999999873</v>
      </c>
      <c r="W33">
        <v>9.6199999999998909</v>
      </c>
      <c r="X33">
        <v>9</v>
      </c>
      <c r="Y33">
        <v>16.360000000000127</v>
      </c>
      <c r="Z33">
        <v>15.5</v>
      </c>
      <c r="AA33">
        <v>11.080000000000382</v>
      </c>
      <c r="AB33">
        <v>7.1399999999998727</v>
      </c>
      <c r="AC33">
        <v>9.0899999999996908</v>
      </c>
      <c r="AD33">
        <v>20.509999999999764</v>
      </c>
      <c r="AE33">
        <v>21.590000000000146</v>
      </c>
      <c r="AF33">
        <v>4.9600000000000364</v>
      </c>
      <c r="AG33">
        <v>3.8600000000001273</v>
      </c>
      <c r="AH33">
        <v>10.419999999999618</v>
      </c>
      <c r="AI33">
        <v>14.809999999999945</v>
      </c>
      <c r="AJ33">
        <v>18.650000000000091</v>
      </c>
      <c r="AK33">
        <v>-4.6399999999998727</v>
      </c>
      <c r="AL33">
        <v>6.7200000000002547</v>
      </c>
      <c r="AM33">
        <v>-2.2299999999995634</v>
      </c>
      <c r="AN33">
        <v>5.9600000000000364</v>
      </c>
      <c r="AO33">
        <v>-17.149999999999636</v>
      </c>
      <c r="AP33">
        <v>-7.6700000000000728</v>
      </c>
      <c r="AQ33">
        <v>-7.0200000000004366</v>
      </c>
      <c r="AR33">
        <v>-20.329999999999927</v>
      </c>
      <c r="AS33">
        <v>-8.6899999999995998</v>
      </c>
      <c r="AT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T33"/>
  <sheetViews>
    <sheetView workbookViewId="0">
      <selection activeCell="B1" sqref="B1:B1048576"/>
    </sheetView>
  </sheetViews>
  <sheetFormatPr defaultRowHeight="13.5"/>
  <cols>
    <col min="1" max="45" width="9.125" customWidth="1"/>
    <col min="46" max="46" width="10.125" customWidth="1"/>
  </cols>
  <sheetData>
    <row r="1" spans="1:46">
      <c r="A1" t="s">
        <v>0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43140</v>
      </c>
      <c r="AK1" s="11">
        <v>43139</v>
      </c>
      <c r="AL1" s="11">
        <v>43138</v>
      </c>
      <c r="AM1" s="11">
        <v>43137</v>
      </c>
      <c r="AN1" s="11">
        <v>43136</v>
      </c>
      <c r="AO1" s="11">
        <v>43133</v>
      </c>
      <c r="AP1" s="11">
        <v>43132</v>
      </c>
      <c r="AQ1" s="11">
        <v>43131</v>
      </c>
      <c r="AR1" s="11">
        <v>43130</v>
      </c>
      <c r="AS1" s="11">
        <v>43129</v>
      </c>
      <c r="AT1" s="11">
        <v>43126</v>
      </c>
    </row>
    <row r="2" spans="1:46">
      <c r="A2" t="s">
        <v>5</v>
      </c>
      <c r="B2">
        <v>129</v>
      </c>
      <c r="C2">
        <v>62.5</v>
      </c>
      <c r="D2">
        <v>87.5</v>
      </c>
      <c r="E2">
        <v>85</v>
      </c>
      <c r="F2">
        <v>135.5</v>
      </c>
      <c r="G2">
        <v>171</v>
      </c>
      <c r="H2">
        <v>230</v>
      </c>
      <c r="I2">
        <v>157</v>
      </c>
      <c r="J2">
        <v>157</v>
      </c>
      <c r="K2">
        <v>241.5</v>
      </c>
      <c r="L2">
        <v>180.5</v>
      </c>
      <c r="M2">
        <v>189</v>
      </c>
      <c r="N2">
        <v>203.5</v>
      </c>
      <c r="O2">
        <v>143.5</v>
      </c>
      <c r="P2">
        <v>120</v>
      </c>
      <c r="Q2">
        <v>175.5</v>
      </c>
      <c r="R2">
        <v>139</v>
      </c>
      <c r="S2">
        <v>127.5</v>
      </c>
      <c r="T2">
        <v>130.5</v>
      </c>
      <c r="U2">
        <v>93</v>
      </c>
      <c r="V2">
        <v>-18</v>
      </c>
      <c r="W2">
        <v>-50</v>
      </c>
      <c r="X2">
        <v>-27</v>
      </c>
      <c r="Y2">
        <v>-15</v>
      </c>
      <c r="Z2">
        <v>-54.5</v>
      </c>
      <c r="AA2">
        <v>-94</v>
      </c>
      <c r="AB2">
        <v>-80.5</v>
      </c>
      <c r="AC2">
        <v>-92</v>
      </c>
      <c r="AD2">
        <v>-96.5</v>
      </c>
      <c r="AE2">
        <v>-31.5</v>
      </c>
      <c r="AF2">
        <v>-95.5</v>
      </c>
      <c r="AG2">
        <v>-95</v>
      </c>
      <c r="AH2">
        <v>-79.5</v>
      </c>
      <c r="AI2">
        <v>-82.5</v>
      </c>
      <c r="AJ2">
        <v>-103</v>
      </c>
      <c r="AK2">
        <v>-125.5</v>
      </c>
      <c r="AL2">
        <v>-126</v>
      </c>
      <c r="AM2">
        <v>-97</v>
      </c>
      <c r="AN2">
        <v>-58.5</v>
      </c>
      <c r="AO2">
        <v>-29.5</v>
      </c>
      <c r="AP2">
        <v>-4</v>
      </c>
      <c r="AQ2">
        <v>116</v>
      </c>
      <c r="AR2">
        <v>89</v>
      </c>
      <c r="AS2">
        <v>61.5</v>
      </c>
      <c r="AT2">
        <v>172</v>
      </c>
    </row>
    <row r="3" spans="1:46">
      <c r="A3" t="s">
        <v>7</v>
      </c>
      <c r="B3">
        <v>205</v>
      </c>
      <c r="C3">
        <v>165</v>
      </c>
      <c r="D3">
        <v>179</v>
      </c>
      <c r="E3">
        <v>183</v>
      </c>
      <c r="F3">
        <v>194.5</v>
      </c>
      <c r="G3">
        <v>224.5</v>
      </c>
      <c r="H3">
        <v>246</v>
      </c>
      <c r="I3">
        <v>215</v>
      </c>
      <c r="J3">
        <v>220.5</v>
      </c>
      <c r="K3">
        <v>224.5</v>
      </c>
      <c r="L3">
        <v>184</v>
      </c>
      <c r="M3">
        <v>175.5</v>
      </c>
      <c r="N3">
        <v>189.5</v>
      </c>
      <c r="O3">
        <v>162</v>
      </c>
      <c r="P3">
        <v>156.5</v>
      </c>
      <c r="Q3">
        <v>158</v>
      </c>
      <c r="R3">
        <v>160</v>
      </c>
      <c r="S3">
        <v>151.5</v>
      </c>
      <c r="T3">
        <v>142</v>
      </c>
      <c r="U3">
        <v>134.5</v>
      </c>
      <c r="V3">
        <v>97.5</v>
      </c>
      <c r="W3">
        <v>69</v>
      </c>
      <c r="X3">
        <v>73</v>
      </c>
      <c r="Y3">
        <v>84</v>
      </c>
      <c r="Z3">
        <v>70.5</v>
      </c>
      <c r="AA3">
        <v>47</v>
      </c>
      <c r="AB3">
        <v>50</v>
      </c>
      <c r="AC3">
        <v>46</v>
      </c>
      <c r="AD3">
        <v>23.5</v>
      </c>
      <c r="AE3">
        <v>41.5</v>
      </c>
      <c r="AF3">
        <v>60</v>
      </c>
      <c r="AG3">
        <v>54.5</v>
      </c>
      <c r="AH3">
        <v>65.5</v>
      </c>
      <c r="AI3">
        <v>69</v>
      </c>
      <c r="AJ3">
        <v>61</v>
      </c>
      <c r="AK3">
        <v>57</v>
      </c>
      <c r="AL3">
        <v>57</v>
      </c>
      <c r="AM3">
        <v>61.5</v>
      </c>
      <c r="AN3">
        <v>69.5</v>
      </c>
      <c r="AO3">
        <v>48</v>
      </c>
      <c r="AP3">
        <v>56.5</v>
      </c>
      <c r="AQ3">
        <v>46</v>
      </c>
      <c r="AR3">
        <v>42</v>
      </c>
      <c r="AS3">
        <v>91</v>
      </c>
      <c r="AT3">
        <v>94</v>
      </c>
    </row>
    <row r="4" spans="1:46">
      <c r="A4" t="s">
        <v>4</v>
      </c>
      <c r="B4">
        <v>38.600000000000023</v>
      </c>
      <c r="C4">
        <v>34.799999999999955</v>
      </c>
      <c r="D4">
        <v>36.799999999999955</v>
      </c>
      <c r="E4">
        <v>47.600000000000023</v>
      </c>
      <c r="F4">
        <v>45.799999999999955</v>
      </c>
      <c r="G4">
        <v>53</v>
      </c>
      <c r="H4">
        <v>56.799999999999955</v>
      </c>
      <c r="I4">
        <v>53.799999999999955</v>
      </c>
      <c r="J4">
        <v>60.199999999999932</v>
      </c>
      <c r="K4">
        <v>69.399999999999977</v>
      </c>
      <c r="L4">
        <v>64.799999999999955</v>
      </c>
      <c r="M4">
        <v>64.600000000000023</v>
      </c>
      <c r="N4">
        <v>54</v>
      </c>
      <c r="O4">
        <v>36.600000000000023</v>
      </c>
      <c r="P4">
        <v>35</v>
      </c>
      <c r="Q4">
        <v>33.399999999999977</v>
      </c>
      <c r="R4">
        <v>37.199999999999932</v>
      </c>
      <c r="S4">
        <v>42</v>
      </c>
      <c r="T4">
        <v>40.600000000000023</v>
      </c>
      <c r="U4">
        <v>36</v>
      </c>
      <c r="V4">
        <v>43.199999999999932</v>
      </c>
      <c r="W4">
        <v>48.600000000000023</v>
      </c>
      <c r="X4">
        <v>53.799999999999955</v>
      </c>
      <c r="Y4">
        <v>65.399999999999977</v>
      </c>
      <c r="Z4">
        <v>69</v>
      </c>
      <c r="AA4">
        <v>82</v>
      </c>
      <c r="AB4">
        <v>89.600000000000023</v>
      </c>
      <c r="AC4">
        <v>105.79999999999995</v>
      </c>
      <c r="AD4">
        <v>114</v>
      </c>
      <c r="AE4">
        <v>118.19999999999993</v>
      </c>
      <c r="AF4">
        <v>124.79999999999995</v>
      </c>
      <c r="AG4">
        <v>126.39999999999998</v>
      </c>
      <c r="AH4">
        <v>131.19999999999993</v>
      </c>
      <c r="AI4">
        <v>133.60000000000002</v>
      </c>
      <c r="AJ4">
        <v>129</v>
      </c>
      <c r="AK4">
        <v>132.60000000000002</v>
      </c>
      <c r="AL4">
        <v>127.79999999999995</v>
      </c>
      <c r="AM4">
        <v>127.60000000000002</v>
      </c>
      <c r="AN4">
        <v>146.79999999999995</v>
      </c>
      <c r="AO4">
        <v>135.19999999999993</v>
      </c>
      <c r="AP4">
        <v>137</v>
      </c>
      <c r="AQ4">
        <v>130.79999999999995</v>
      </c>
      <c r="AR4">
        <v>131.19999999999993</v>
      </c>
      <c r="AS4">
        <v>113.60000000000002</v>
      </c>
      <c r="AT4">
        <v>115.39999999999998</v>
      </c>
    </row>
    <row r="5" spans="1:46">
      <c r="A5" t="s">
        <v>20</v>
      </c>
      <c r="B5">
        <v>13.199999999999989</v>
      </c>
      <c r="C5">
        <v>1.8999999999999773</v>
      </c>
      <c r="D5">
        <v>7.8999999999999773</v>
      </c>
      <c r="E5">
        <v>-7.1000000000000227</v>
      </c>
      <c r="F5">
        <v>1.5</v>
      </c>
      <c r="G5">
        <v>7</v>
      </c>
      <c r="H5">
        <v>6.8000000000000114</v>
      </c>
      <c r="I5">
        <v>-0.5</v>
      </c>
      <c r="J5">
        <v>8.3999999999999773</v>
      </c>
      <c r="K5">
        <v>28.399999999999977</v>
      </c>
      <c r="L5">
        <v>11.899999999999977</v>
      </c>
      <c r="M5">
        <v>7.8999999999999773</v>
      </c>
      <c r="N5">
        <v>16.300000000000011</v>
      </c>
      <c r="O5">
        <v>29.600000000000023</v>
      </c>
      <c r="P5">
        <v>13.300000000000011</v>
      </c>
      <c r="Q5">
        <v>7.3000000000000114</v>
      </c>
      <c r="R5">
        <v>1.3000000000000114</v>
      </c>
      <c r="S5">
        <v>3.3000000000000114</v>
      </c>
      <c r="T5">
        <v>15.899999999999977</v>
      </c>
      <c r="U5">
        <v>26.399999999999977</v>
      </c>
      <c r="V5">
        <v>19</v>
      </c>
      <c r="W5">
        <v>15.5</v>
      </c>
      <c r="X5">
        <v>22.5</v>
      </c>
      <c r="Y5">
        <v>20</v>
      </c>
      <c r="Z5">
        <v>9</v>
      </c>
      <c r="AA5">
        <v>7</v>
      </c>
      <c r="AB5">
        <v>10.100000000000023</v>
      </c>
      <c r="AC5">
        <v>8.7000000000000455</v>
      </c>
      <c r="AD5">
        <v>5.8999999999999773</v>
      </c>
      <c r="AE5">
        <v>8.7999999999999545</v>
      </c>
      <c r="AF5">
        <v>2.3999999999999773</v>
      </c>
      <c r="AG5">
        <v>1.2999999999999545</v>
      </c>
      <c r="AH5">
        <v>15.200000000000045</v>
      </c>
      <c r="AI5">
        <v>10.899999999999977</v>
      </c>
      <c r="AJ5">
        <v>7.3999999999999773</v>
      </c>
      <c r="AK5">
        <v>8.3999999999999773</v>
      </c>
      <c r="AL5">
        <v>0.89999999999997726</v>
      </c>
      <c r="AM5">
        <v>2</v>
      </c>
      <c r="AN5">
        <v>6.1000000000000227</v>
      </c>
      <c r="AO5">
        <v>3.2999999999999545</v>
      </c>
      <c r="AP5">
        <v>-12.799999999999955</v>
      </c>
      <c r="AQ5">
        <v>-9.6000000000000227</v>
      </c>
      <c r="AR5">
        <v>-9.6000000000000227</v>
      </c>
      <c r="AS5">
        <v>-12.799999999999955</v>
      </c>
      <c r="AT5">
        <v>1.2000000000000455</v>
      </c>
    </row>
    <row r="6" spans="1:46">
      <c r="A6" t="s">
        <v>12</v>
      </c>
      <c r="B6">
        <v>427.5</v>
      </c>
      <c r="C6">
        <v>437</v>
      </c>
      <c r="D6">
        <v>502</v>
      </c>
      <c r="E6">
        <v>479</v>
      </c>
      <c r="F6">
        <v>397</v>
      </c>
      <c r="G6">
        <v>410</v>
      </c>
      <c r="H6">
        <v>432</v>
      </c>
      <c r="I6">
        <v>429</v>
      </c>
      <c r="J6">
        <v>470</v>
      </c>
      <c r="K6">
        <v>447</v>
      </c>
      <c r="L6">
        <v>411</v>
      </c>
      <c r="M6">
        <v>444.59999999999991</v>
      </c>
      <c r="N6">
        <v>445.59999999999991</v>
      </c>
      <c r="O6">
        <v>442</v>
      </c>
      <c r="P6">
        <v>387</v>
      </c>
      <c r="Q6">
        <v>369</v>
      </c>
      <c r="R6">
        <v>360</v>
      </c>
      <c r="S6">
        <v>381</v>
      </c>
      <c r="T6">
        <v>364</v>
      </c>
      <c r="U6">
        <v>340</v>
      </c>
      <c r="V6">
        <v>314</v>
      </c>
      <c r="W6">
        <v>320</v>
      </c>
      <c r="X6">
        <v>322</v>
      </c>
      <c r="Y6">
        <v>367</v>
      </c>
      <c r="Z6">
        <v>372</v>
      </c>
      <c r="AA6">
        <v>345</v>
      </c>
      <c r="AB6">
        <v>355</v>
      </c>
      <c r="AC6">
        <v>361</v>
      </c>
      <c r="AD6">
        <v>312</v>
      </c>
      <c r="AE6">
        <v>249</v>
      </c>
      <c r="AF6">
        <v>257</v>
      </c>
      <c r="AG6">
        <v>207</v>
      </c>
      <c r="AH6">
        <v>217</v>
      </c>
      <c r="AI6">
        <v>245</v>
      </c>
      <c r="AJ6">
        <v>226</v>
      </c>
      <c r="AK6">
        <v>217</v>
      </c>
      <c r="AL6">
        <v>227</v>
      </c>
      <c r="AM6">
        <v>227</v>
      </c>
      <c r="AN6">
        <v>219</v>
      </c>
      <c r="AO6">
        <v>237</v>
      </c>
      <c r="AP6">
        <v>236</v>
      </c>
      <c r="AQ6">
        <v>257</v>
      </c>
      <c r="AR6">
        <v>250</v>
      </c>
      <c r="AS6">
        <v>234</v>
      </c>
      <c r="AT6">
        <v>263</v>
      </c>
    </row>
    <row r="7" spans="1:46">
      <c r="A7" t="s">
        <v>9</v>
      </c>
      <c r="B7">
        <v>299</v>
      </c>
      <c r="C7">
        <v>245</v>
      </c>
      <c r="D7">
        <v>281</v>
      </c>
      <c r="E7">
        <v>223</v>
      </c>
      <c r="F7">
        <v>235</v>
      </c>
      <c r="G7">
        <v>259</v>
      </c>
      <c r="H7">
        <v>283</v>
      </c>
      <c r="I7">
        <v>264</v>
      </c>
      <c r="J7">
        <v>307</v>
      </c>
      <c r="K7">
        <v>310</v>
      </c>
      <c r="L7">
        <v>265</v>
      </c>
      <c r="M7">
        <v>342</v>
      </c>
      <c r="N7">
        <v>273</v>
      </c>
      <c r="O7">
        <v>258</v>
      </c>
      <c r="P7">
        <v>193</v>
      </c>
      <c r="Q7">
        <v>195</v>
      </c>
      <c r="R7">
        <v>181</v>
      </c>
      <c r="S7">
        <v>171</v>
      </c>
      <c r="T7">
        <v>163</v>
      </c>
      <c r="U7">
        <v>214</v>
      </c>
      <c r="V7">
        <v>160</v>
      </c>
      <c r="W7">
        <v>167</v>
      </c>
      <c r="X7">
        <v>138</v>
      </c>
      <c r="Y7">
        <v>150</v>
      </c>
      <c r="Z7">
        <v>177</v>
      </c>
      <c r="AA7">
        <v>141</v>
      </c>
      <c r="AB7">
        <v>188</v>
      </c>
      <c r="AC7">
        <v>208</v>
      </c>
      <c r="AD7">
        <v>208</v>
      </c>
      <c r="AE7">
        <v>272</v>
      </c>
      <c r="AF7">
        <v>162</v>
      </c>
      <c r="AG7">
        <v>162</v>
      </c>
      <c r="AH7">
        <v>165</v>
      </c>
      <c r="AI7">
        <v>165</v>
      </c>
      <c r="AJ7">
        <v>152</v>
      </c>
      <c r="AK7">
        <v>152</v>
      </c>
      <c r="AL7">
        <v>155</v>
      </c>
      <c r="AM7">
        <v>155</v>
      </c>
      <c r="AN7">
        <v>155</v>
      </c>
      <c r="AO7">
        <v>182</v>
      </c>
      <c r="AP7">
        <v>184</v>
      </c>
      <c r="AQ7">
        <v>227</v>
      </c>
      <c r="AR7">
        <v>243</v>
      </c>
      <c r="AS7">
        <v>254</v>
      </c>
      <c r="AT7">
        <v>214</v>
      </c>
    </row>
    <row r="8" spans="1:46">
      <c r="A8" t="s">
        <v>31</v>
      </c>
      <c r="B8">
        <v>-1180</v>
      </c>
      <c r="C8">
        <v>-1155</v>
      </c>
      <c r="D8">
        <v>-1150</v>
      </c>
      <c r="E8">
        <v>-800</v>
      </c>
      <c r="F8">
        <v>-1050</v>
      </c>
      <c r="G8">
        <v>-1075</v>
      </c>
      <c r="H8">
        <v>-1175</v>
      </c>
      <c r="I8">
        <v>-1185</v>
      </c>
      <c r="J8">
        <v>-1190</v>
      </c>
      <c r="K8">
        <v>-1170</v>
      </c>
      <c r="L8">
        <v>-1180</v>
      </c>
      <c r="M8">
        <v>-1215</v>
      </c>
      <c r="N8">
        <v>-1170</v>
      </c>
      <c r="O8">
        <v>-1165</v>
      </c>
      <c r="P8">
        <v>-1170</v>
      </c>
      <c r="Q8">
        <v>-1175</v>
      </c>
      <c r="R8">
        <v>-1385</v>
      </c>
      <c r="S8">
        <v>-1220</v>
      </c>
      <c r="T8">
        <v>-1220</v>
      </c>
      <c r="U8">
        <v>-1180</v>
      </c>
      <c r="V8">
        <v>-1165</v>
      </c>
      <c r="W8">
        <v>-1175</v>
      </c>
      <c r="X8">
        <v>-1170</v>
      </c>
      <c r="Y8">
        <v>-1165</v>
      </c>
      <c r="Z8">
        <v>-1150</v>
      </c>
      <c r="AA8">
        <v>-1155</v>
      </c>
      <c r="AB8">
        <v>-1275</v>
      </c>
      <c r="AC8">
        <v>-1295</v>
      </c>
      <c r="AD8">
        <v>-1290</v>
      </c>
      <c r="AE8">
        <v>-1280</v>
      </c>
      <c r="AF8">
        <v>-1390</v>
      </c>
      <c r="AG8">
        <v>-1380</v>
      </c>
      <c r="AH8">
        <v>-1380</v>
      </c>
      <c r="AI8">
        <v>-1380</v>
      </c>
      <c r="AJ8">
        <v>-1360</v>
      </c>
      <c r="AK8">
        <v>-1590</v>
      </c>
      <c r="AL8">
        <v>-1575</v>
      </c>
      <c r="AM8">
        <v>-1675</v>
      </c>
      <c r="AN8">
        <v>-1855</v>
      </c>
      <c r="AO8">
        <v>-1845</v>
      </c>
      <c r="AP8">
        <v>-1835</v>
      </c>
      <c r="AQ8">
        <v>-2055</v>
      </c>
      <c r="AR8">
        <v>-2055</v>
      </c>
      <c r="AS8">
        <v>-2060</v>
      </c>
      <c r="AT8">
        <v>-2215</v>
      </c>
    </row>
    <row r="9" spans="1:46">
      <c r="A9" t="s">
        <v>17</v>
      </c>
      <c r="B9">
        <v>208</v>
      </c>
      <c r="C9">
        <v>196</v>
      </c>
      <c r="D9">
        <v>197</v>
      </c>
      <c r="E9">
        <v>176</v>
      </c>
      <c r="F9">
        <v>165</v>
      </c>
      <c r="G9">
        <v>184</v>
      </c>
      <c r="H9">
        <v>190</v>
      </c>
      <c r="I9">
        <v>182</v>
      </c>
      <c r="J9">
        <v>181</v>
      </c>
      <c r="K9">
        <v>184</v>
      </c>
      <c r="L9">
        <v>138</v>
      </c>
      <c r="M9">
        <v>130</v>
      </c>
      <c r="N9">
        <v>113</v>
      </c>
      <c r="O9">
        <v>76</v>
      </c>
      <c r="P9">
        <v>87</v>
      </c>
      <c r="Q9">
        <v>90</v>
      </c>
      <c r="R9">
        <v>64</v>
      </c>
      <c r="S9">
        <v>29</v>
      </c>
      <c r="T9">
        <v>28</v>
      </c>
      <c r="U9">
        <v>14</v>
      </c>
      <c r="V9">
        <v>-19</v>
      </c>
      <c r="W9">
        <v>-27</v>
      </c>
      <c r="X9">
        <v>-23</v>
      </c>
      <c r="Y9">
        <v>-30</v>
      </c>
      <c r="Z9">
        <v>-40</v>
      </c>
      <c r="AA9">
        <v>-45</v>
      </c>
      <c r="AB9">
        <v>-39</v>
      </c>
      <c r="AC9">
        <v>-36</v>
      </c>
      <c r="AD9">
        <v>-65</v>
      </c>
      <c r="AE9">
        <v>-52</v>
      </c>
      <c r="AF9">
        <v>-48</v>
      </c>
      <c r="AG9">
        <v>-48</v>
      </c>
      <c r="AH9">
        <v>-38</v>
      </c>
      <c r="AI9">
        <v>-40</v>
      </c>
      <c r="AJ9">
        <v>-55</v>
      </c>
      <c r="AK9">
        <v>-89</v>
      </c>
      <c r="AL9">
        <v>-73</v>
      </c>
      <c r="AM9">
        <v>-69</v>
      </c>
      <c r="AN9">
        <v>-73</v>
      </c>
      <c r="AO9">
        <v>-63</v>
      </c>
      <c r="AP9">
        <v>-61</v>
      </c>
      <c r="AQ9">
        <v>-64</v>
      </c>
      <c r="AR9">
        <v>-70</v>
      </c>
      <c r="AS9">
        <v>-70</v>
      </c>
      <c r="AT9">
        <v>-49</v>
      </c>
    </row>
    <row r="10" spans="1:46">
      <c r="A10" t="s">
        <v>32</v>
      </c>
      <c r="B10">
        <v>-110</v>
      </c>
      <c r="C10">
        <v>-110</v>
      </c>
      <c r="D10">
        <v>-110</v>
      </c>
      <c r="E10">
        <v>-105</v>
      </c>
      <c r="F10">
        <v>-60</v>
      </c>
      <c r="G10">
        <v>-15</v>
      </c>
      <c r="H10">
        <v>-90</v>
      </c>
      <c r="I10">
        <v>-105</v>
      </c>
      <c r="J10">
        <v>-110</v>
      </c>
      <c r="K10">
        <v>-120</v>
      </c>
      <c r="L10">
        <v>-140</v>
      </c>
      <c r="M10">
        <v>-125</v>
      </c>
      <c r="N10">
        <v>-120</v>
      </c>
      <c r="O10">
        <v>-135</v>
      </c>
      <c r="P10">
        <v>-100</v>
      </c>
      <c r="Q10">
        <v>-135</v>
      </c>
      <c r="R10">
        <v>-160</v>
      </c>
      <c r="S10">
        <v>-120</v>
      </c>
      <c r="T10">
        <v>-65</v>
      </c>
      <c r="U10">
        <v>-85</v>
      </c>
      <c r="V10">
        <v>-75</v>
      </c>
      <c r="W10">
        <v>-90</v>
      </c>
      <c r="X10">
        <v>-85</v>
      </c>
      <c r="Y10">
        <v>-105</v>
      </c>
      <c r="Z10">
        <v>-170</v>
      </c>
      <c r="AA10">
        <v>-140</v>
      </c>
      <c r="AB10">
        <v>-65</v>
      </c>
      <c r="AC10">
        <v>-60</v>
      </c>
      <c r="AD10">
        <v>-40</v>
      </c>
      <c r="AE10">
        <v>-5</v>
      </c>
      <c r="AF10">
        <v>60</v>
      </c>
      <c r="AG10">
        <v>-120</v>
      </c>
      <c r="AH10">
        <v>-115</v>
      </c>
      <c r="AI10">
        <v>-95</v>
      </c>
      <c r="AJ10">
        <v>-100</v>
      </c>
      <c r="AK10">
        <v>-85</v>
      </c>
      <c r="AL10">
        <v>-150</v>
      </c>
      <c r="AM10">
        <v>-150</v>
      </c>
      <c r="AN10">
        <v>-120</v>
      </c>
      <c r="AO10">
        <v>-165</v>
      </c>
      <c r="AP10">
        <v>-75</v>
      </c>
      <c r="AQ10">
        <v>-245</v>
      </c>
      <c r="AR10">
        <v>-160</v>
      </c>
      <c r="AS10">
        <v>-175</v>
      </c>
      <c r="AT10">
        <v>-335</v>
      </c>
    </row>
    <row r="11" spans="1:46">
      <c r="A11" t="s">
        <v>21</v>
      </c>
      <c r="B11">
        <v>40</v>
      </c>
      <c r="C11">
        <v>-45</v>
      </c>
      <c r="D11">
        <v>-5</v>
      </c>
      <c r="E11">
        <v>10</v>
      </c>
      <c r="F11">
        <v>40</v>
      </c>
      <c r="G11">
        <v>65</v>
      </c>
      <c r="H11">
        <v>50</v>
      </c>
      <c r="I11">
        <v>-50</v>
      </c>
      <c r="J11">
        <v>-40</v>
      </c>
      <c r="K11">
        <v>-5</v>
      </c>
      <c r="L11">
        <v>-35</v>
      </c>
      <c r="M11">
        <v>-50</v>
      </c>
      <c r="N11">
        <v>-95</v>
      </c>
      <c r="O11">
        <v>-50</v>
      </c>
      <c r="P11">
        <v>-150</v>
      </c>
      <c r="Q11">
        <v>-160</v>
      </c>
      <c r="R11">
        <v>-135</v>
      </c>
      <c r="S11">
        <v>-165</v>
      </c>
      <c r="T11">
        <v>-195</v>
      </c>
      <c r="U11">
        <v>-155</v>
      </c>
      <c r="V11">
        <v>-175</v>
      </c>
      <c r="W11">
        <v>-170</v>
      </c>
      <c r="X11">
        <v>-165</v>
      </c>
      <c r="Y11">
        <v>-90</v>
      </c>
      <c r="Z11">
        <v>-80</v>
      </c>
      <c r="AA11">
        <v>-55</v>
      </c>
      <c r="AB11">
        <v>-30</v>
      </c>
      <c r="AC11">
        <v>-40</v>
      </c>
      <c r="AD11">
        <v>15</v>
      </c>
      <c r="AE11">
        <v>90</v>
      </c>
      <c r="AF11">
        <v>85</v>
      </c>
      <c r="AG11">
        <v>110</v>
      </c>
      <c r="AH11">
        <v>110</v>
      </c>
      <c r="AI11">
        <v>90</v>
      </c>
      <c r="AJ11">
        <v>15</v>
      </c>
      <c r="AK11">
        <v>80</v>
      </c>
      <c r="AL11">
        <v>115</v>
      </c>
      <c r="AM11">
        <v>100</v>
      </c>
      <c r="AN11">
        <v>40</v>
      </c>
      <c r="AO11">
        <v>35</v>
      </c>
      <c r="AP11">
        <v>55</v>
      </c>
      <c r="AQ11">
        <v>65</v>
      </c>
      <c r="AR11">
        <v>70</v>
      </c>
      <c r="AS11">
        <v>30</v>
      </c>
      <c r="AT11">
        <v>65</v>
      </c>
    </row>
    <row r="12" spans="1:46">
      <c r="A12" t="s">
        <v>33</v>
      </c>
      <c r="B12">
        <v>-193</v>
      </c>
      <c r="C12">
        <v>-182</v>
      </c>
      <c r="D12">
        <v>-181</v>
      </c>
      <c r="E12">
        <v>-213</v>
      </c>
      <c r="F12">
        <v>-245</v>
      </c>
      <c r="G12">
        <v>-211</v>
      </c>
      <c r="H12">
        <v>-228</v>
      </c>
      <c r="I12">
        <v>-254</v>
      </c>
      <c r="J12">
        <v>-268</v>
      </c>
      <c r="K12">
        <v>-242</v>
      </c>
      <c r="L12">
        <v>-265</v>
      </c>
      <c r="M12">
        <v>-268</v>
      </c>
      <c r="N12">
        <v>-318</v>
      </c>
      <c r="O12">
        <v>-287</v>
      </c>
      <c r="P12">
        <v>-261</v>
      </c>
      <c r="Q12">
        <v>-255</v>
      </c>
      <c r="R12">
        <v>-249</v>
      </c>
      <c r="S12">
        <v>-260</v>
      </c>
      <c r="T12">
        <v>-288</v>
      </c>
      <c r="U12">
        <v>-241</v>
      </c>
      <c r="V12">
        <v>-312</v>
      </c>
      <c r="W12">
        <v>-266</v>
      </c>
      <c r="X12">
        <v>-253</v>
      </c>
      <c r="Y12">
        <v>-190</v>
      </c>
      <c r="Z12">
        <v>-165</v>
      </c>
      <c r="AA12">
        <v>-173</v>
      </c>
      <c r="AB12">
        <v>-106</v>
      </c>
      <c r="AC12">
        <v>-111</v>
      </c>
      <c r="AD12">
        <v>-142</v>
      </c>
      <c r="AE12">
        <v>-115</v>
      </c>
      <c r="AF12">
        <v>-113</v>
      </c>
      <c r="AG12">
        <v>-43</v>
      </c>
      <c r="AH12">
        <v>-53</v>
      </c>
      <c r="AI12">
        <v>-60</v>
      </c>
      <c r="AJ12">
        <v>-52</v>
      </c>
      <c r="AK12">
        <v>-66</v>
      </c>
      <c r="AL12">
        <v>-48</v>
      </c>
      <c r="AM12">
        <v>-17</v>
      </c>
      <c r="AN12">
        <v>-40</v>
      </c>
      <c r="AO12">
        <v>-67</v>
      </c>
      <c r="AP12">
        <v>-62</v>
      </c>
      <c r="AQ12">
        <v>-24</v>
      </c>
      <c r="AR12">
        <v>-51</v>
      </c>
      <c r="AS12">
        <v>-44</v>
      </c>
      <c r="AT12">
        <v>18</v>
      </c>
    </row>
    <row r="13" spans="1:46">
      <c r="A13" t="s">
        <v>13</v>
      </c>
      <c r="B13">
        <v>20</v>
      </c>
      <c r="C13">
        <v>22</v>
      </c>
      <c r="D13">
        <v>26</v>
      </c>
      <c r="E13">
        <v>20</v>
      </c>
      <c r="F13">
        <v>0</v>
      </c>
      <c r="G13">
        <v>20</v>
      </c>
      <c r="H13">
        <v>10</v>
      </c>
      <c r="I13">
        <v>-24</v>
      </c>
      <c r="J13">
        <v>-6</v>
      </c>
      <c r="K13">
        <v>-14</v>
      </c>
      <c r="L13">
        <v>-19</v>
      </c>
      <c r="M13">
        <v>62</v>
      </c>
      <c r="N13">
        <v>88</v>
      </c>
      <c r="O13">
        <v>95</v>
      </c>
      <c r="P13">
        <v>126</v>
      </c>
      <c r="Q13">
        <v>170</v>
      </c>
      <c r="R13">
        <v>132</v>
      </c>
      <c r="S13">
        <v>132</v>
      </c>
      <c r="T13">
        <v>176</v>
      </c>
      <c r="U13">
        <v>190</v>
      </c>
      <c r="V13">
        <v>251</v>
      </c>
      <c r="W13">
        <v>296</v>
      </c>
      <c r="X13">
        <v>319</v>
      </c>
      <c r="Y13">
        <v>282</v>
      </c>
      <c r="Z13">
        <v>352</v>
      </c>
      <c r="AA13">
        <v>243</v>
      </c>
      <c r="AB13">
        <v>263</v>
      </c>
      <c r="AC13">
        <v>289</v>
      </c>
      <c r="AD13">
        <v>324</v>
      </c>
      <c r="AE13">
        <v>302</v>
      </c>
      <c r="AF13">
        <v>262</v>
      </c>
      <c r="AG13">
        <v>84</v>
      </c>
      <c r="AH13">
        <v>84</v>
      </c>
      <c r="AI13">
        <v>58</v>
      </c>
      <c r="AJ13">
        <v>37</v>
      </c>
      <c r="AK13">
        <v>26</v>
      </c>
      <c r="AL13">
        <v>15</v>
      </c>
      <c r="AM13">
        <v>6</v>
      </c>
      <c r="AN13">
        <v>-9</v>
      </c>
      <c r="AO13">
        <v>-7</v>
      </c>
      <c r="AP13">
        <v>-12</v>
      </c>
      <c r="AQ13">
        <v>-53</v>
      </c>
      <c r="AR13">
        <v>-67</v>
      </c>
      <c r="AS13">
        <v>-52</v>
      </c>
      <c r="AT13">
        <v>-38</v>
      </c>
    </row>
    <row r="14" spans="1:46">
      <c r="A14" t="s">
        <v>26</v>
      </c>
      <c r="B14">
        <v>-38</v>
      </c>
      <c r="C14">
        <v>-111</v>
      </c>
      <c r="D14">
        <v>-113</v>
      </c>
      <c r="E14">
        <v>-151</v>
      </c>
      <c r="F14">
        <v>-185</v>
      </c>
      <c r="G14">
        <v>-153</v>
      </c>
      <c r="H14">
        <v>-147</v>
      </c>
      <c r="I14">
        <v>-179</v>
      </c>
      <c r="J14">
        <v>-163</v>
      </c>
      <c r="K14">
        <v>-101</v>
      </c>
      <c r="L14">
        <v>-111</v>
      </c>
      <c r="M14">
        <v>-99</v>
      </c>
      <c r="N14">
        <v>-69</v>
      </c>
      <c r="O14">
        <v>-79</v>
      </c>
      <c r="P14">
        <v>-40</v>
      </c>
      <c r="Q14">
        <v>-38</v>
      </c>
      <c r="R14">
        <v>-38</v>
      </c>
      <c r="S14">
        <v>-34</v>
      </c>
      <c r="T14">
        <v>-70</v>
      </c>
      <c r="U14">
        <v>-40</v>
      </c>
      <c r="V14">
        <v>-50</v>
      </c>
      <c r="W14">
        <v>-60</v>
      </c>
      <c r="X14">
        <v>-74</v>
      </c>
      <c r="Y14">
        <v>-52</v>
      </c>
      <c r="Z14">
        <v>-100</v>
      </c>
      <c r="AA14">
        <v>-106</v>
      </c>
      <c r="AB14">
        <v>-120</v>
      </c>
      <c r="AC14">
        <v>-96</v>
      </c>
      <c r="AD14">
        <v>-114</v>
      </c>
      <c r="AE14">
        <v>-86</v>
      </c>
      <c r="AF14">
        <v>-40</v>
      </c>
      <c r="AG14">
        <v>-36</v>
      </c>
      <c r="AH14">
        <v>-42</v>
      </c>
      <c r="AI14">
        <v>-68</v>
      </c>
      <c r="AJ14">
        <v>-110</v>
      </c>
      <c r="AK14">
        <v>-174</v>
      </c>
      <c r="AL14">
        <v>-220</v>
      </c>
      <c r="AM14">
        <v>-206</v>
      </c>
      <c r="AN14">
        <v>-248</v>
      </c>
      <c r="AO14">
        <v>-360</v>
      </c>
      <c r="AP14">
        <v>-322</v>
      </c>
      <c r="AQ14">
        <v>-342</v>
      </c>
      <c r="AR14">
        <v>-334</v>
      </c>
      <c r="AS14">
        <v>-390</v>
      </c>
      <c r="AT14">
        <v>-508</v>
      </c>
    </row>
    <row r="15" spans="1:46">
      <c r="A15" t="s">
        <v>6</v>
      </c>
      <c r="B15">
        <v>109</v>
      </c>
      <c r="C15">
        <v>197</v>
      </c>
      <c r="D15">
        <v>211</v>
      </c>
      <c r="E15">
        <v>208</v>
      </c>
      <c r="F15">
        <v>201</v>
      </c>
      <c r="G15">
        <v>224</v>
      </c>
      <c r="H15">
        <v>245</v>
      </c>
      <c r="I15">
        <v>285</v>
      </c>
      <c r="J15">
        <v>284</v>
      </c>
      <c r="K15">
        <v>213</v>
      </c>
      <c r="L15">
        <v>165</v>
      </c>
      <c r="M15">
        <v>190</v>
      </c>
      <c r="N15">
        <v>209</v>
      </c>
      <c r="O15">
        <v>147</v>
      </c>
      <c r="P15">
        <v>184</v>
      </c>
      <c r="Q15">
        <v>114</v>
      </c>
      <c r="R15">
        <v>33</v>
      </c>
      <c r="S15">
        <v>4</v>
      </c>
      <c r="T15">
        <v>-154</v>
      </c>
      <c r="U15">
        <v>-217</v>
      </c>
      <c r="V15">
        <v>-231</v>
      </c>
      <c r="W15">
        <v>-146</v>
      </c>
      <c r="X15">
        <v>-137</v>
      </c>
      <c r="Y15">
        <v>-83</v>
      </c>
      <c r="Z15">
        <v>-34</v>
      </c>
      <c r="AA15">
        <v>-2</v>
      </c>
      <c r="AB15">
        <v>39</v>
      </c>
      <c r="AC15">
        <v>52</v>
      </c>
      <c r="AD15">
        <v>26</v>
      </c>
      <c r="AE15">
        <v>89</v>
      </c>
      <c r="AF15">
        <v>97</v>
      </c>
      <c r="AG15">
        <v>172</v>
      </c>
      <c r="AH15">
        <v>167</v>
      </c>
      <c r="AI15">
        <v>168</v>
      </c>
      <c r="AJ15">
        <v>111</v>
      </c>
      <c r="AK15">
        <v>121</v>
      </c>
      <c r="AL15">
        <v>102</v>
      </c>
      <c r="AM15">
        <v>127</v>
      </c>
      <c r="AN15">
        <v>252</v>
      </c>
      <c r="AO15">
        <v>275</v>
      </c>
      <c r="AP15">
        <v>290</v>
      </c>
      <c r="AQ15">
        <v>310</v>
      </c>
      <c r="AR15">
        <v>313</v>
      </c>
      <c r="AS15">
        <v>348</v>
      </c>
      <c r="AT15">
        <v>580</v>
      </c>
    </row>
    <row r="16" spans="1:46">
      <c r="A16" t="s">
        <v>15</v>
      </c>
      <c r="B16">
        <v>-357</v>
      </c>
      <c r="C16">
        <v>-255</v>
      </c>
      <c r="D16">
        <v>-195</v>
      </c>
      <c r="E16">
        <v>-164</v>
      </c>
      <c r="F16">
        <v>-209</v>
      </c>
      <c r="G16">
        <v>-127</v>
      </c>
      <c r="H16">
        <v>-147</v>
      </c>
      <c r="I16">
        <v>-114</v>
      </c>
      <c r="J16">
        <v>-147</v>
      </c>
      <c r="K16">
        <v>-147</v>
      </c>
      <c r="L16">
        <v>-97</v>
      </c>
      <c r="M16">
        <v>-101</v>
      </c>
      <c r="N16">
        <v>-101</v>
      </c>
      <c r="O16">
        <v>-117</v>
      </c>
      <c r="P16">
        <v>-111</v>
      </c>
      <c r="Q16">
        <v>-54</v>
      </c>
      <c r="R16">
        <v>-55</v>
      </c>
      <c r="S16">
        <v>-40</v>
      </c>
      <c r="T16">
        <v>-37</v>
      </c>
      <c r="U16">
        <v>-75</v>
      </c>
      <c r="V16">
        <v>-100</v>
      </c>
      <c r="W16">
        <v>-115</v>
      </c>
      <c r="X16">
        <v>-106</v>
      </c>
      <c r="Y16">
        <v>-76</v>
      </c>
      <c r="Z16">
        <v>-128</v>
      </c>
      <c r="AA16">
        <v>-91</v>
      </c>
      <c r="AB16">
        <v>-87</v>
      </c>
      <c r="AC16">
        <v>-57</v>
      </c>
      <c r="AD16">
        <v>-66</v>
      </c>
      <c r="AE16">
        <v>-44</v>
      </c>
      <c r="AF16">
        <v>-11</v>
      </c>
      <c r="AG16">
        <v>26</v>
      </c>
      <c r="AH16">
        <v>22</v>
      </c>
      <c r="AI16">
        <v>22</v>
      </c>
      <c r="AJ16">
        <v>20</v>
      </c>
      <c r="AK16">
        <v>59</v>
      </c>
      <c r="AL16">
        <v>65</v>
      </c>
      <c r="AM16">
        <v>74</v>
      </c>
      <c r="AN16">
        <v>81</v>
      </c>
      <c r="AO16">
        <v>95</v>
      </c>
      <c r="AP16">
        <v>98</v>
      </c>
      <c r="AQ16">
        <v>41</v>
      </c>
      <c r="AR16">
        <v>48</v>
      </c>
      <c r="AS16">
        <v>35</v>
      </c>
      <c r="AT16">
        <v>201</v>
      </c>
    </row>
    <row r="17" spans="1:46">
      <c r="A17" t="s">
        <v>11</v>
      </c>
      <c r="B17">
        <v>42</v>
      </c>
      <c r="C17">
        <v>61</v>
      </c>
      <c r="D17">
        <v>63</v>
      </c>
      <c r="E17">
        <v>65</v>
      </c>
      <c r="F17">
        <v>48</v>
      </c>
      <c r="G17">
        <v>131</v>
      </c>
      <c r="H17">
        <v>100</v>
      </c>
      <c r="I17">
        <v>131</v>
      </c>
      <c r="J17">
        <v>98</v>
      </c>
      <c r="K17">
        <v>87</v>
      </c>
      <c r="L17">
        <v>119</v>
      </c>
      <c r="M17">
        <v>108</v>
      </c>
      <c r="N17">
        <v>126</v>
      </c>
      <c r="O17">
        <v>154</v>
      </c>
      <c r="P17">
        <v>133</v>
      </c>
      <c r="Q17">
        <v>156</v>
      </c>
      <c r="R17">
        <v>160</v>
      </c>
      <c r="S17">
        <v>159</v>
      </c>
      <c r="T17">
        <v>170</v>
      </c>
      <c r="U17">
        <v>167</v>
      </c>
      <c r="V17">
        <v>153</v>
      </c>
      <c r="W17">
        <v>133</v>
      </c>
      <c r="X17">
        <v>179</v>
      </c>
      <c r="Y17">
        <v>222</v>
      </c>
      <c r="Z17">
        <v>150</v>
      </c>
      <c r="AA17">
        <v>117</v>
      </c>
      <c r="AB17">
        <v>112</v>
      </c>
      <c r="AC17">
        <v>139</v>
      </c>
      <c r="AD17">
        <v>122</v>
      </c>
      <c r="AE17">
        <v>87</v>
      </c>
      <c r="AF17">
        <v>105</v>
      </c>
      <c r="AG17">
        <v>87</v>
      </c>
      <c r="AH17">
        <v>98</v>
      </c>
      <c r="AI17">
        <v>81</v>
      </c>
      <c r="AJ17">
        <v>84</v>
      </c>
      <c r="AK17">
        <v>83</v>
      </c>
      <c r="AL17">
        <v>82</v>
      </c>
      <c r="AM17">
        <v>76</v>
      </c>
      <c r="AN17">
        <v>79</v>
      </c>
      <c r="AO17">
        <v>86</v>
      </c>
      <c r="AP17">
        <v>76</v>
      </c>
      <c r="AQ17">
        <v>55</v>
      </c>
      <c r="AR17">
        <v>71</v>
      </c>
      <c r="AS17">
        <v>39</v>
      </c>
      <c r="AT17">
        <v>103</v>
      </c>
    </row>
    <row r="18" spans="1:46">
      <c r="A18" t="s">
        <v>23</v>
      </c>
      <c r="B18">
        <v>-4</v>
      </c>
      <c r="C18">
        <v>-35</v>
      </c>
      <c r="D18">
        <v>-35</v>
      </c>
      <c r="E18">
        <v>-15</v>
      </c>
      <c r="F18">
        <v>-15</v>
      </c>
      <c r="G18">
        <v>28</v>
      </c>
      <c r="H18">
        <v>-4</v>
      </c>
      <c r="I18">
        <v>12</v>
      </c>
      <c r="J18">
        <v>-36</v>
      </c>
      <c r="K18">
        <v>-22</v>
      </c>
      <c r="L18">
        <v>-1</v>
      </c>
      <c r="M18">
        <v>-28</v>
      </c>
      <c r="N18">
        <v>-4</v>
      </c>
      <c r="O18">
        <v>-35</v>
      </c>
      <c r="P18">
        <v>0</v>
      </c>
      <c r="Q18">
        <v>31</v>
      </c>
      <c r="R18">
        <v>42</v>
      </c>
      <c r="S18">
        <v>13</v>
      </c>
      <c r="T18">
        <v>37</v>
      </c>
      <c r="U18">
        <v>10</v>
      </c>
      <c r="V18">
        <v>11</v>
      </c>
      <c r="W18">
        <v>10</v>
      </c>
      <c r="X18">
        <v>20</v>
      </c>
      <c r="Y18">
        <v>39</v>
      </c>
      <c r="Z18">
        <v>31</v>
      </c>
      <c r="AA18">
        <v>-3</v>
      </c>
      <c r="AB18">
        <v>-3</v>
      </c>
      <c r="AC18">
        <v>-4</v>
      </c>
      <c r="AD18">
        <v>-4</v>
      </c>
      <c r="AE18">
        <v>-8</v>
      </c>
      <c r="AF18">
        <v>-145</v>
      </c>
      <c r="AG18">
        <v>-85</v>
      </c>
      <c r="AH18">
        <v>-78</v>
      </c>
      <c r="AI18">
        <v>-80</v>
      </c>
      <c r="AJ18">
        <v>-45</v>
      </c>
      <c r="AK18">
        <v>-40</v>
      </c>
      <c r="AL18">
        <v>-64</v>
      </c>
      <c r="AM18">
        <v>-29</v>
      </c>
      <c r="AN18">
        <v>-38</v>
      </c>
      <c r="AO18">
        <v>-33</v>
      </c>
      <c r="AP18">
        <v>-40</v>
      </c>
      <c r="AQ18">
        <v>-56</v>
      </c>
      <c r="AR18">
        <v>-48</v>
      </c>
      <c r="AS18">
        <v>-78</v>
      </c>
      <c r="AT18">
        <v>-40</v>
      </c>
    </row>
    <row r="19" spans="1:46">
      <c r="A19" t="s">
        <v>14</v>
      </c>
      <c r="B19">
        <v>57</v>
      </c>
      <c r="C19">
        <v>83</v>
      </c>
      <c r="D19">
        <v>92</v>
      </c>
      <c r="E19">
        <v>97</v>
      </c>
      <c r="F19">
        <v>142</v>
      </c>
      <c r="G19">
        <v>147</v>
      </c>
      <c r="H19">
        <v>142</v>
      </c>
      <c r="I19">
        <v>139</v>
      </c>
      <c r="J19">
        <v>141</v>
      </c>
      <c r="K19">
        <v>189</v>
      </c>
      <c r="L19">
        <v>188</v>
      </c>
      <c r="M19">
        <v>182</v>
      </c>
      <c r="N19">
        <v>178</v>
      </c>
      <c r="O19">
        <v>161</v>
      </c>
      <c r="P19">
        <v>161</v>
      </c>
      <c r="Q19">
        <v>165</v>
      </c>
      <c r="R19">
        <v>171</v>
      </c>
      <c r="S19">
        <v>181</v>
      </c>
      <c r="T19">
        <v>181</v>
      </c>
      <c r="U19">
        <v>190</v>
      </c>
      <c r="V19">
        <v>182</v>
      </c>
      <c r="W19">
        <v>160</v>
      </c>
      <c r="X19">
        <v>135</v>
      </c>
      <c r="Y19">
        <v>142</v>
      </c>
      <c r="Z19">
        <v>103</v>
      </c>
      <c r="AA19">
        <v>116</v>
      </c>
      <c r="AB19">
        <v>101</v>
      </c>
      <c r="AC19">
        <v>103</v>
      </c>
      <c r="AD19">
        <v>84</v>
      </c>
      <c r="AE19">
        <v>90</v>
      </c>
      <c r="AF19">
        <v>84</v>
      </c>
      <c r="AG19">
        <v>99</v>
      </c>
      <c r="AH19">
        <v>96</v>
      </c>
      <c r="AI19">
        <v>83</v>
      </c>
      <c r="AJ19">
        <v>79</v>
      </c>
      <c r="AK19">
        <v>76</v>
      </c>
      <c r="AL19">
        <v>70</v>
      </c>
      <c r="AM19">
        <v>78</v>
      </c>
      <c r="AN19">
        <v>73</v>
      </c>
      <c r="AO19">
        <v>64</v>
      </c>
      <c r="AP19">
        <v>71</v>
      </c>
      <c r="AQ19">
        <v>79</v>
      </c>
      <c r="AR19">
        <v>76</v>
      </c>
      <c r="AS19">
        <v>74</v>
      </c>
      <c r="AT19">
        <v>69</v>
      </c>
    </row>
    <row r="20" spans="1:46">
      <c r="A20" t="s">
        <v>8</v>
      </c>
      <c r="B20">
        <v>44</v>
      </c>
      <c r="C20">
        <v>48</v>
      </c>
      <c r="D20">
        <v>113</v>
      </c>
      <c r="E20">
        <v>117</v>
      </c>
      <c r="F20">
        <v>109</v>
      </c>
      <c r="G20">
        <v>117</v>
      </c>
      <c r="H20">
        <v>108</v>
      </c>
      <c r="I20">
        <v>114</v>
      </c>
      <c r="J20">
        <v>102</v>
      </c>
      <c r="K20">
        <v>121</v>
      </c>
      <c r="L20">
        <v>161</v>
      </c>
      <c r="M20">
        <v>148</v>
      </c>
      <c r="N20">
        <v>153</v>
      </c>
      <c r="O20">
        <v>142</v>
      </c>
      <c r="P20">
        <v>141</v>
      </c>
      <c r="Q20">
        <v>149</v>
      </c>
      <c r="R20">
        <v>135</v>
      </c>
      <c r="S20">
        <v>135</v>
      </c>
      <c r="T20">
        <v>139</v>
      </c>
      <c r="U20">
        <v>126</v>
      </c>
      <c r="V20">
        <v>120</v>
      </c>
      <c r="W20">
        <v>104</v>
      </c>
      <c r="X20">
        <v>95</v>
      </c>
      <c r="Y20">
        <v>96</v>
      </c>
      <c r="Z20">
        <v>93</v>
      </c>
      <c r="AA20">
        <v>117</v>
      </c>
      <c r="AB20">
        <v>116</v>
      </c>
      <c r="AC20">
        <v>114</v>
      </c>
      <c r="AD20">
        <v>62</v>
      </c>
      <c r="AE20">
        <v>59</v>
      </c>
      <c r="AF20">
        <v>54</v>
      </c>
      <c r="AG20">
        <v>75</v>
      </c>
      <c r="AH20">
        <v>67</v>
      </c>
      <c r="AI20">
        <v>46</v>
      </c>
      <c r="AJ20">
        <v>49</v>
      </c>
      <c r="AK20">
        <v>42</v>
      </c>
      <c r="AL20">
        <v>37</v>
      </c>
      <c r="AM20">
        <v>53</v>
      </c>
      <c r="AN20">
        <v>51</v>
      </c>
      <c r="AO20">
        <v>59</v>
      </c>
      <c r="AP20">
        <v>64</v>
      </c>
      <c r="AQ20">
        <v>82</v>
      </c>
      <c r="AR20">
        <v>85</v>
      </c>
      <c r="AS20">
        <v>80</v>
      </c>
      <c r="AT20">
        <v>114</v>
      </c>
    </row>
    <row r="21" spans="1:46">
      <c r="A21" t="s">
        <v>34</v>
      </c>
      <c r="B21">
        <v>-36</v>
      </c>
      <c r="C21">
        <v>-192</v>
      </c>
      <c r="D21">
        <v>-174</v>
      </c>
      <c r="E21">
        <v>-244</v>
      </c>
      <c r="F21">
        <v>-178</v>
      </c>
      <c r="G21">
        <v>-112</v>
      </c>
      <c r="H21">
        <v>-132</v>
      </c>
      <c r="I21">
        <v>-100</v>
      </c>
      <c r="J21">
        <v>-114</v>
      </c>
      <c r="K21">
        <v>-142</v>
      </c>
      <c r="L21">
        <v>-132</v>
      </c>
      <c r="M21">
        <v>-94</v>
      </c>
      <c r="N21">
        <v>-128</v>
      </c>
      <c r="O21">
        <v>-144</v>
      </c>
      <c r="P21">
        <v>-138</v>
      </c>
      <c r="Q21">
        <v>-130</v>
      </c>
      <c r="R21">
        <v>-154</v>
      </c>
      <c r="S21">
        <v>-132</v>
      </c>
      <c r="T21">
        <v>-148</v>
      </c>
      <c r="U21">
        <v>-116</v>
      </c>
      <c r="V21">
        <v>-152</v>
      </c>
      <c r="W21">
        <v>-132</v>
      </c>
      <c r="X21">
        <v>-184</v>
      </c>
      <c r="Y21">
        <v>-172</v>
      </c>
      <c r="Z21">
        <v>-212</v>
      </c>
      <c r="AA21">
        <v>-212</v>
      </c>
      <c r="AB21">
        <v>-216</v>
      </c>
      <c r="AC21">
        <v>-180</v>
      </c>
      <c r="AD21">
        <v>-198</v>
      </c>
      <c r="AE21">
        <v>-210</v>
      </c>
      <c r="AF21">
        <v>-174</v>
      </c>
      <c r="AG21">
        <v>-182</v>
      </c>
      <c r="AH21">
        <v>-194</v>
      </c>
      <c r="AI21">
        <v>-176</v>
      </c>
      <c r="AJ21">
        <v>-188</v>
      </c>
      <c r="AK21">
        <v>-208</v>
      </c>
      <c r="AL21">
        <v>-208</v>
      </c>
      <c r="AM21">
        <v>-264</v>
      </c>
      <c r="AN21">
        <v>-276</v>
      </c>
      <c r="AO21">
        <v>-306</v>
      </c>
      <c r="AP21">
        <v>-316</v>
      </c>
      <c r="AQ21">
        <v>-340</v>
      </c>
      <c r="AR21">
        <v>-320</v>
      </c>
      <c r="AS21">
        <v>-340</v>
      </c>
      <c r="AT21">
        <v>-342</v>
      </c>
    </row>
    <row r="22" spans="1:46">
      <c r="A22" t="s">
        <v>25</v>
      </c>
      <c r="B22">
        <v>-44</v>
      </c>
      <c r="C22">
        <v>-58</v>
      </c>
      <c r="D22">
        <v>-66</v>
      </c>
      <c r="E22">
        <v>-60</v>
      </c>
      <c r="F22">
        <v>-62</v>
      </c>
      <c r="G22">
        <v>-42</v>
      </c>
      <c r="H22">
        <v>-70</v>
      </c>
      <c r="I22">
        <v>-84</v>
      </c>
      <c r="J22">
        <v>-72</v>
      </c>
      <c r="K22">
        <v>-72</v>
      </c>
      <c r="L22">
        <v>-60</v>
      </c>
      <c r="M22">
        <v>-56</v>
      </c>
      <c r="N22">
        <v>-92</v>
      </c>
      <c r="O22">
        <v>-90</v>
      </c>
      <c r="P22">
        <v>-88</v>
      </c>
      <c r="Q22">
        <v>-86</v>
      </c>
      <c r="R22">
        <v>-88</v>
      </c>
      <c r="S22">
        <v>-76</v>
      </c>
      <c r="T22">
        <v>-70</v>
      </c>
      <c r="U22">
        <v>-44</v>
      </c>
      <c r="V22">
        <v>-80</v>
      </c>
      <c r="W22">
        <v>-64</v>
      </c>
      <c r="X22">
        <v>-56</v>
      </c>
      <c r="Y22">
        <v>-68</v>
      </c>
      <c r="Z22">
        <v>-58</v>
      </c>
      <c r="AA22">
        <v>-76</v>
      </c>
      <c r="AB22">
        <v>-62</v>
      </c>
      <c r="AC22">
        <v>-70</v>
      </c>
      <c r="AD22">
        <v>-82</v>
      </c>
      <c r="AE22">
        <v>-98</v>
      </c>
      <c r="AF22">
        <v>-106</v>
      </c>
      <c r="AG22">
        <v>-118</v>
      </c>
      <c r="AH22">
        <v>-146</v>
      </c>
      <c r="AI22">
        <v>-122</v>
      </c>
      <c r="AJ22">
        <v>-108</v>
      </c>
      <c r="AK22">
        <v>-130</v>
      </c>
      <c r="AL22">
        <v>-138</v>
      </c>
      <c r="AM22">
        <v>-140</v>
      </c>
      <c r="AN22">
        <v>-146</v>
      </c>
      <c r="AO22">
        <v>-178</v>
      </c>
      <c r="AP22">
        <v>-186</v>
      </c>
      <c r="AQ22">
        <v>-170</v>
      </c>
      <c r="AR22">
        <v>-176</v>
      </c>
      <c r="AS22">
        <v>-172</v>
      </c>
      <c r="AT22">
        <v>-210</v>
      </c>
    </row>
    <row r="23" spans="1:46">
      <c r="A23" t="s">
        <v>16</v>
      </c>
      <c r="B23">
        <v>-72</v>
      </c>
      <c r="C23">
        <v>66</v>
      </c>
      <c r="D23">
        <v>94</v>
      </c>
      <c r="E23">
        <v>84</v>
      </c>
      <c r="F23">
        <v>54</v>
      </c>
      <c r="G23">
        <v>72</v>
      </c>
      <c r="H23">
        <v>90</v>
      </c>
      <c r="I23">
        <v>152</v>
      </c>
      <c r="J23">
        <v>112</v>
      </c>
      <c r="K23">
        <v>100</v>
      </c>
      <c r="L23">
        <v>68</v>
      </c>
      <c r="M23">
        <v>112</v>
      </c>
      <c r="N23">
        <v>100</v>
      </c>
      <c r="O23">
        <v>80</v>
      </c>
      <c r="P23">
        <v>-100</v>
      </c>
      <c r="Q23">
        <v>-56</v>
      </c>
      <c r="R23">
        <v>-140</v>
      </c>
      <c r="S23">
        <v>-88</v>
      </c>
      <c r="T23">
        <v>-52</v>
      </c>
      <c r="U23">
        <v>-56</v>
      </c>
      <c r="V23">
        <v>-36</v>
      </c>
      <c r="W23">
        <v>-84</v>
      </c>
      <c r="X23">
        <v>-52</v>
      </c>
      <c r="Y23">
        <v>-38</v>
      </c>
      <c r="Z23">
        <v>-86</v>
      </c>
      <c r="AA23">
        <v>-134</v>
      </c>
      <c r="AB23">
        <v>-124</v>
      </c>
      <c r="AC23">
        <v>-1130</v>
      </c>
      <c r="AD23">
        <v>-114</v>
      </c>
      <c r="AE23">
        <v>-78</v>
      </c>
      <c r="AF23">
        <v>-100</v>
      </c>
      <c r="AG23">
        <v>24</v>
      </c>
      <c r="AH23">
        <v>-42</v>
      </c>
      <c r="AI23">
        <v>-36</v>
      </c>
      <c r="AJ23">
        <v>-52</v>
      </c>
      <c r="AK23">
        <v>-58</v>
      </c>
      <c r="AL23">
        <v>-100</v>
      </c>
      <c r="AM23">
        <v>-100</v>
      </c>
      <c r="AN23">
        <v>-78</v>
      </c>
      <c r="AO23">
        <v>-132</v>
      </c>
      <c r="AP23">
        <v>-142</v>
      </c>
      <c r="AQ23">
        <v>-168</v>
      </c>
      <c r="AR23">
        <v>-130</v>
      </c>
      <c r="AS23">
        <v>-138</v>
      </c>
      <c r="AT23">
        <v>40</v>
      </c>
    </row>
    <row r="24" spans="1:46">
      <c r="A24" t="s">
        <v>10</v>
      </c>
      <c r="B24">
        <v>116</v>
      </c>
      <c r="C24">
        <v>130</v>
      </c>
      <c r="D24">
        <v>125</v>
      </c>
      <c r="E24">
        <v>114</v>
      </c>
      <c r="F24">
        <v>142</v>
      </c>
      <c r="G24">
        <v>88</v>
      </c>
      <c r="H24">
        <v>39</v>
      </c>
      <c r="I24">
        <v>3</v>
      </c>
      <c r="J24">
        <v>-7</v>
      </c>
      <c r="K24">
        <v>-10</v>
      </c>
      <c r="L24">
        <v>17</v>
      </c>
      <c r="M24">
        <v>13</v>
      </c>
      <c r="N24">
        <v>12</v>
      </c>
      <c r="O24">
        <v>39</v>
      </c>
      <c r="P24">
        <v>40</v>
      </c>
      <c r="Q24">
        <v>38</v>
      </c>
      <c r="R24">
        <v>51</v>
      </c>
      <c r="S24">
        <v>43</v>
      </c>
      <c r="T24">
        <v>205</v>
      </c>
      <c r="U24">
        <v>102</v>
      </c>
      <c r="V24">
        <v>115</v>
      </c>
      <c r="W24">
        <v>98</v>
      </c>
      <c r="X24">
        <v>111</v>
      </c>
      <c r="Y24">
        <v>108</v>
      </c>
      <c r="Z24">
        <v>272</v>
      </c>
      <c r="AA24">
        <v>280</v>
      </c>
      <c r="AB24">
        <v>304</v>
      </c>
      <c r="AC24">
        <v>164</v>
      </c>
      <c r="AD24">
        <v>159</v>
      </c>
      <c r="AE24">
        <v>169</v>
      </c>
      <c r="AF24">
        <v>197</v>
      </c>
      <c r="AG24">
        <v>174</v>
      </c>
      <c r="AH24">
        <v>140</v>
      </c>
      <c r="AI24">
        <v>152</v>
      </c>
      <c r="AJ24">
        <v>176</v>
      </c>
      <c r="AK24">
        <v>168</v>
      </c>
      <c r="AL24">
        <v>168</v>
      </c>
      <c r="AM24">
        <v>152</v>
      </c>
      <c r="AN24">
        <v>163</v>
      </c>
      <c r="AO24">
        <v>21</v>
      </c>
      <c r="AP24">
        <v>223</v>
      </c>
      <c r="AQ24">
        <v>180</v>
      </c>
      <c r="AR24">
        <v>248</v>
      </c>
      <c r="AS24">
        <v>252</v>
      </c>
      <c r="AT24">
        <v>255</v>
      </c>
    </row>
    <row r="25" spans="1:46">
      <c r="A25" t="s">
        <v>35</v>
      </c>
      <c r="B25">
        <v>115</v>
      </c>
      <c r="C25">
        <v>160</v>
      </c>
      <c r="D25">
        <v>90</v>
      </c>
      <c r="E25">
        <v>65</v>
      </c>
      <c r="F25">
        <v>75</v>
      </c>
      <c r="G25">
        <v>135</v>
      </c>
      <c r="H25">
        <v>80</v>
      </c>
      <c r="I25">
        <v>-65</v>
      </c>
      <c r="J25">
        <v>30</v>
      </c>
      <c r="K25">
        <v>40</v>
      </c>
      <c r="L25">
        <v>-50</v>
      </c>
      <c r="M25">
        <v>-45</v>
      </c>
      <c r="N25">
        <v>125</v>
      </c>
      <c r="O25">
        <v>100</v>
      </c>
      <c r="P25">
        <v>105</v>
      </c>
      <c r="Q25">
        <v>95</v>
      </c>
      <c r="R25">
        <v>30</v>
      </c>
      <c r="S25">
        <v>15</v>
      </c>
      <c r="T25">
        <v>-85</v>
      </c>
      <c r="U25">
        <v>-120</v>
      </c>
      <c r="V25">
        <v>-135</v>
      </c>
      <c r="W25">
        <v>-180</v>
      </c>
      <c r="X25">
        <v>-365</v>
      </c>
      <c r="Y25">
        <v>-365</v>
      </c>
      <c r="Z25">
        <v>-145</v>
      </c>
      <c r="AA25">
        <v>-240</v>
      </c>
      <c r="AB25">
        <v>-195</v>
      </c>
      <c r="AC25">
        <v>-205</v>
      </c>
      <c r="AD25">
        <v>-260</v>
      </c>
      <c r="AE25">
        <v>-65</v>
      </c>
      <c r="AF25">
        <v>-25</v>
      </c>
      <c r="AG25">
        <v>65</v>
      </c>
      <c r="AH25">
        <v>100</v>
      </c>
      <c r="AI25">
        <v>80</v>
      </c>
      <c r="AJ25">
        <v>70</v>
      </c>
      <c r="AK25">
        <v>-15</v>
      </c>
      <c r="AL25">
        <v>-55</v>
      </c>
      <c r="AM25">
        <v>-50</v>
      </c>
      <c r="AN25">
        <v>-85</v>
      </c>
      <c r="AO25">
        <v>-190</v>
      </c>
      <c r="AP25">
        <v>-155</v>
      </c>
      <c r="AQ25">
        <v>-155</v>
      </c>
      <c r="AR25">
        <v>-235</v>
      </c>
      <c r="AS25">
        <v>-410</v>
      </c>
      <c r="AT25">
        <v>-465</v>
      </c>
    </row>
    <row r="26" spans="1:46">
      <c r="A26" t="s">
        <v>24</v>
      </c>
      <c r="B26">
        <v>-345</v>
      </c>
      <c r="C26">
        <v>-345</v>
      </c>
      <c r="D26">
        <v>-345</v>
      </c>
      <c r="E26">
        <v>30</v>
      </c>
      <c r="F26">
        <v>30</v>
      </c>
      <c r="G26">
        <v>-180</v>
      </c>
      <c r="H26">
        <v>-750</v>
      </c>
      <c r="I26">
        <v>-800</v>
      </c>
      <c r="J26">
        <v>-415</v>
      </c>
      <c r="K26">
        <v>-415</v>
      </c>
      <c r="L26">
        <v>-415</v>
      </c>
      <c r="M26">
        <v>-415</v>
      </c>
      <c r="N26">
        <v>-515</v>
      </c>
      <c r="O26">
        <v>-275</v>
      </c>
      <c r="P26">
        <v>-275</v>
      </c>
      <c r="Q26">
        <v>-275</v>
      </c>
      <c r="R26">
        <v>-275</v>
      </c>
      <c r="S26">
        <v>-345</v>
      </c>
      <c r="T26">
        <v>-300</v>
      </c>
      <c r="U26">
        <v>-300</v>
      </c>
      <c r="V26">
        <v>-315</v>
      </c>
      <c r="W26">
        <v>-330</v>
      </c>
      <c r="X26">
        <v>-400</v>
      </c>
      <c r="Y26">
        <v>-250</v>
      </c>
      <c r="Z26">
        <v>-400</v>
      </c>
      <c r="AA26">
        <v>-300</v>
      </c>
      <c r="AB26">
        <v>-300</v>
      </c>
      <c r="AC26">
        <v>-300</v>
      </c>
      <c r="AD26">
        <v>-320</v>
      </c>
      <c r="AE26">
        <v>-145</v>
      </c>
      <c r="AF26">
        <v>-145</v>
      </c>
      <c r="AG26">
        <v>-220</v>
      </c>
      <c r="AH26">
        <v>-95</v>
      </c>
      <c r="AI26">
        <v>-95</v>
      </c>
      <c r="AJ26">
        <v>-95</v>
      </c>
      <c r="AK26">
        <v>-95</v>
      </c>
      <c r="AL26">
        <v>-95</v>
      </c>
      <c r="AM26">
        <v>-95</v>
      </c>
      <c r="AN26">
        <v>105</v>
      </c>
      <c r="AO26">
        <v>-95</v>
      </c>
      <c r="AP26">
        <v>-220</v>
      </c>
      <c r="AQ26">
        <v>-55</v>
      </c>
      <c r="AR26">
        <v>-350</v>
      </c>
      <c r="AS26">
        <v>-350</v>
      </c>
      <c r="AT26">
        <v>-350</v>
      </c>
    </row>
    <row r="27" spans="1:46">
      <c r="A27" t="s">
        <v>36</v>
      </c>
      <c r="B27">
        <v>40</v>
      </c>
      <c r="C27">
        <v>180</v>
      </c>
      <c r="D27">
        <v>-150</v>
      </c>
      <c r="E27">
        <v>-140</v>
      </c>
      <c r="F27">
        <v>-200</v>
      </c>
      <c r="G27">
        <v>-300</v>
      </c>
      <c r="H27">
        <v>-270</v>
      </c>
      <c r="I27">
        <v>-460</v>
      </c>
      <c r="J27">
        <v>-160</v>
      </c>
      <c r="K27">
        <v>-440</v>
      </c>
      <c r="L27">
        <v>-300</v>
      </c>
      <c r="M27">
        <v>-90</v>
      </c>
      <c r="N27">
        <v>-90</v>
      </c>
      <c r="O27">
        <v>-160</v>
      </c>
      <c r="P27">
        <v>-180</v>
      </c>
      <c r="Q27">
        <v>-60</v>
      </c>
      <c r="R27">
        <v>-530</v>
      </c>
      <c r="S27">
        <v>-210</v>
      </c>
      <c r="T27">
        <v>-340</v>
      </c>
      <c r="U27">
        <v>-10</v>
      </c>
      <c r="V27">
        <v>-300</v>
      </c>
      <c r="W27">
        <v>-400</v>
      </c>
      <c r="X27">
        <v>-360</v>
      </c>
      <c r="Y27">
        <v>-360</v>
      </c>
      <c r="Z27">
        <v>-420</v>
      </c>
      <c r="AA27">
        <v>-450</v>
      </c>
      <c r="AB27">
        <v>-240</v>
      </c>
      <c r="AC27">
        <v>-350</v>
      </c>
      <c r="AD27">
        <v>-480</v>
      </c>
      <c r="AE27">
        <v>-270</v>
      </c>
      <c r="AF27">
        <v>-130</v>
      </c>
      <c r="AG27">
        <v>-240</v>
      </c>
      <c r="AH27">
        <v>-160</v>
      </c>
      <c r="AI27">
        <v>-150</v>
      </c>
      <c r="AJ27">
        <v>-30</v>
      </c>
      <c r="AK27">
        <v>-210</v>
      </c>
      <c r="AL27">
        <v>-90</v>
      </c>
      <c r="AM27">
        <v>-190</v>
      </c>
      <c r="AN27">
        <v>-260</v>
      </c>
      <c r="AO27">
        <v>-240</v>
      </c>
      <c r="AP27">
        <v>-270</v>
      </c>
      <c r="AQ27">
        <v>-490</v>
      </c>
      <c r="AR27">
        <v>140</v>
      </c>
      <c r="AS27">
        <v>-200</v>
      </c>
      <c r="AT27">
        <v>10</v>
      </c>
    </row>
    <row r="28" spans="1:46">
      <c r="A28" t="s">
        <v>22</v>
      </c>
      <c r="B28">
        <v>-75</v>
      </c>
      <c r="C28">
        <v>-55</v>
      </c>
      <c r="D28">
        <v>-145</v>
      </c>
      <c r="E28">
        <v>-210</v>
      </c>
      <c r="F28">
        <v>-110</v>
      </c>
      <c r="G28">
        <v>-150</v>
      </c>
      <c r="H28">
        <v>-175</v>
      </c>
      <c r="I28">
        <v>-205</v>
      </c>
      <c r="J28">
        <v>-195</v>
      </c>
      <c r="K28">
        <v>-230</v>
      </c>
      <c r="L28">
        <v>-215</v>
      </c>
      <c r="M28">
        <v>-120</v>
      </c>
      <c r="N28">
        <v>-110</v>
      </c>
      <c r="O28">
        <v>-155</v>
      </c>
      <c r="P28">
        <v>-115</v>
      </c>
      <c r="Q28">
        <v>-175</v>
      </c>
      <c r="R28">
        <v>-160</v>
      </c>
      <c r="S28">
        <v>-55</v>
      </c>
      <c r="T28">
        <v>-215</v>
      </c>
      <c r="U28">
        <v>-140</v>
      </c>
      <c r="V28">
        <v>-200</v>
      </c>
      <c r="W28">
        <v>-175</v>
      </c>
      <c r="X28">
        <v>-210</v>
      </c>
      <c r="Y28">
        <v>-310</v>
      </c>
      <c r="Z28">
        <v>-265</v>
      </c>
      <c r="AA28">
        <v>-240</v>
      </c>
      <c r="AB28">
        <v>-275</v>
      </c>
      <c r="AC28">
        <v>-335</v>
      </c>
      <c r="AD28">
        <v>-320</v>
      </c>
      <c r="AE28">
        <v>-285</v>
      </c>
      <c r="AF28">
        <v>-350</v>
      </c>
      <c r="AG28">
        <v>-230</v>
      </c>
      <c r="AH28">
        <v>-180</v>
      </c>
      <c r="AI28">
        <v>-330</v>
      </c>
      <c r="AJ28">
        <v>-285</v>
      </c>
      <c r="AK28">
        <v>-270</v>
      </c>
      <c r="AL28">
        <v>-135</v>
      </c>
      <c r="AM28">
        <v>-185</v>
      </c>
      <c r="AN28">
        <v>-190</v>
      </c>
      <c r="AO28">
        <v>-190</v>
      </c>
      <c r="AP28">
        <v>-230</v>
      </c>
      <c r="AQ28">
        <v>-235</v>
      </c>
      <c r="AR28">
        <v>-105</v>
      </c>
      <c r="AS28">
        <v>-230</v>
      </c>
      <c r="AT28">
        <v>-310</v>
      </c>
    </row>
    <row r="29" spans="1:46">
      <c r="A29" t="s">
        <v>37</v>
      </c>
      <c r="B29">
        <v>15</v>
      </c>
      <c r="C29">
        <v>-10</v>
      </c>
      <c r="D29">
        <v>-90</v>
      </c>
      <c r="E29">
        <v>-35</v>
      </c>
      <c r="F29">
        <v>-110</v>
      </c>
      <c r="G29">
        <v>-15</v>
      </c>
      <c r="H29">
        <v>80</v>
      </c>
      <c r="I29">
        <v>-55</v>
      </c>
      <c r="J29">
        <v>90</v>
      </c>
      <c r="K29">
        <v>25</v>
      </c>
      <c r="L29">
        <v>45</v>
      </c>
      <c r="M29">
        <v>35</v>
      </c>
      <c r="N29">
        <v>15</v>
      </c>
      <c r="O29">
        <v>-80</v>
      </c>
      <c r="P29">
        <v>-10</v>
      </c>
      <c r="Q29">
        <v>-80</v>
      </c>
      <c r="R29">
        <v>-110</v>
      </c>
      <c r="S29">
        <v>-60</v>
      </c>
      <c r="T29">
        <v>20</v>
      </c>
      <c r="U29">
        <v>130</v>
      </c>
      <c r="V29">
        <v>-25</v>
      </c>
      <c r="W29">
        <v>-20</v>
      </c>
      <c r="X29">
        <v>-30</v>
      </c>
      <c r="Y29">
        <v>-55</v>
      </c>
      <c r="Z29">
        <v>-110</v>
      </c>
      <c r="AA29">
        <v>-145</v>
      </c>
      <c r="AB29">
        <v>-65</v>
      </c>
      <c r="AC29">
        <v>-45</v>
      </c>
      <c r="AD29">
        <v>-120</v>
      </c>
      <c r="AE29">
        <v>-25</v>
      </c>
      <c r="AF29">
        <v>-85</v>
      </c>
      <c r="AG29">
        <v>-110</v>
      </c>
      <c r="AH29">
        <v>-90</v>
      </c>
      <c r="AI29">
        <v>-10</v>
      </c>
      <c r="AJ29">
        <v>-50</v>
      </c>
      <c r="AK29">
        <v>-80</v>
      </c>
      <c r="AL29">
        <v>15</v>
      </c>
      <c r="AM29">
        <v>-80</v>
      </c>
      <c r="AN29">
        <v>-65</v>
      </c>
      <c r="AO29">
        <v>-60</v>
      </c>
      <c r="AP29">
        <v>-25</v>
      </c>
      <c r="AQ29">
        <v>-185</v>
      </c>
      <c r="AR29">
        <v>40</v>
      </c>
      <c r="AS29">
        <v>15</v>
      </c>
      <c r="AT29">
        <v>-40</v>
      </c>
    </row>
    <row r="30" spans="1:46">
      <c r="A30" t="s">
        <v>38</v>
      </c>
      <c r="B30">
        <v>-510</v>
      </c>
      <c r="C30">
        <v>-1170</v>
      </c>
      <c r="D30">
        <v>-1700</v>
      </c>
      <c r="E30">
        <v>-1080</v>
      </c>
      <c r="F30">
        <v>-1460</v>
      </c>
      <c r="G30">
        <v>-1020</v>
      </c>
      <c r="H30">
        <v>-710</v>
      </c>
      <c r="I30">
        <v>-1560</v>
      </c>
      <c r="J30">
        <v>-610</v>
      </c>
      <c r="K30">
        <v>-1110</v>
      </c>
      <c r="L30">
        <v>-1220</v>
      </c>
      <c r="M30">
        <v>-1110</v>
      </c>
      <c r="N30">
        <v>-540</v>
      </c>
      <c r="O30">
        <v>-1790</v>
      </c>
      <c r="P30">
        <v>-1180</v>
      </c>
      <c r="Q30">
        <v>-1180</v>
      </c>
      <c r="R30">
        <v>-1940</v>
      </c>
      <c r="S30">
        <v>-900</v>
      </c>
      <c r="T30">
        <v>-1220</v>
      </c>
      <c r="U30">
        <v>-1420</v>
      </c>
      <c r="V30">
        <v>-2130</v>
      </c>
      <c r="W30">
        <v>-1410</v>
      </c>
      <c r="X30">
        <v>-1060</v>
      </c>
      <c r="Y30">
        <v>-1180</v>
      </c>
      <c r="Z30">
        <v>-1320</v>
      </c>
      <c r="AA30">
        <v>-2700</v>
      </c>
      <c r="AB30">
        <v>-1350</v>
      </c>
      <c r="AC30">
        <v>-1380</v>
      </c>
      <c r="AD30">
        <v>-2220</v>
      </c>
      <c r="AE30">
        <v>-1700</v>
      </c>
      <c r="AF30">
        <v>-1630</v>
      </c>
      <c r="AG30">
        <v>-1440</v>
      </c>
      <c r="AH30">
        <v>-1330</v>
      </c>
      <c r="AI30">
        <v>-990</v>
      </c>
      <c r="AJ30">
        <v>-1500</v>
      </c>
      <c r="AK30">
        <v>-1160</v>
      </c>
      <c r="AL30">
        <v>-1220</v>
      </c>
      <c r="AM30">
        <v>-1570</v>
      </c>
      <c r="AN30">
        <v>-2220</v>
      </c>
      <c r="AO30">
        <v>-1350</v>
      </c>
      <c r="AP30">
        <v>-1810</v>
      </c>
      <c r="AQ30">
        <v>-2190</v>
      </c>
      <c r="AR30">
        <v>-480</v>
      </c>
      <c r="AS30">
        <v>-2000</v>
      </c>
      <c r="AT30">
        <v>-6780</v>
      </c>
    </row>
    <row r="31" spans="1:46">
      <c r="A31" t="s">
        <v>18</v>
      </c>
      <c r="B31">
        <v>56.269999999999527</v>
      </c>
      <c r="C31">
        <v>89.960000000000036</v>
      </c>
      <c r="D31">
        <v>93.069999999999709</v>
      </c>
      <c r="E31">
        <v>62.119999999999891</v>
      </c>
      <c r="F31">
        <v>75.979999999999563</v>
      </c>
      <c r="G31">
        <v>120.98999999999978</v>
      </c>
      <c r="H31">
        <v>106.29999999999927</v>
      </c>
      <c r="I31">
        <v>94.530000000000655</v>
      </c>
      <c r="J31">
        <v>98.770000000000437</v>
      </c>
      <c r="K31">
        <v>103.5600000000004</v>
      </c>
      <c r="L31">
        <v>97.690000000000509</v>
      </c>
      <c r="M31">
        <v>55.210000000000036</v>
      </c>
      <c r="N31">
        <v>66.0600000000004</v>
      </c>
      <c r="O31">
        <v>36.900000000000546</v>
      </c>
      <c r="P31">
        <v>61.5</v>
      </c>
      <c r="Q31">
        <v>59.090000000000146</v>
      </c>
      <c r="R31">
        <v>44.140000000000327</v>
      </c>
      <c r="S31">
        <v>58.4399999999996</v>
      </c>
      <c r="T31">
        <v>48.420000000000073</v>
      </c>
      <c r="U31">
        <v>49.069999999999709</v>
      </c>
      <c r="V31">
        <v>72.630000000000109</v>
      </c>
      <c r="W31">
        <v>77.539999999999964</v>
      </c>
      <c r="X31">
        <v>52.520000000000437</v>
      </c>
      <c r="Y31">
        <v>73.920000000000073</v>
      </c>
      <c r="Z31">
        <v>83.159999999999854</v>
      </c>
      <c r="AA31">
        <v>50.5600000000004</v>
      </c>
      <c r="AB31">
        <v>67.75</v>
      </c>
      <c r="AC31">
        <v>61.979999999999563</v>
      </c>
      <c r="AD31">
        <v>83.489999999999782</v>
      </c>
      <c r="AE31">
        <v>94.390000000000327</v>
      </c>
      <c r="AF31">
        <v>53.380000000000109</v>
      </c>
      <c r="AG31">
        <v>48.8100000000004</v>
      </c>
      <c r="AH31">
        <v>33.3100000000004</v>
      </c>
      <c r="AI31">
        <v>28.079999999999927</v>
      </c>
      <c r="AJ31">
        <v>37.849999999999454</v>
      </c>
      <c r="AK31">
        <v>20.690000000000509</v>
      </c>
      <c r="AL31">
        <v>39.520000000000437</v>
      </c>
      <c r="AM31">
        <v>21.409999999999854</v>
      </c>
      <c r="AN31">
        <v>39.489999999999782</v>
      </c>
      <c r="AO31">
        <v>29.699999999999818</v>
      </c>
      <c r="AP31">
        <v>3.0099999999993088</v>
      </c>
      <c r="AQ31">
        <v>35.869999999999891</v>
      </c>
      <c r="AR31">
        <v>13.420000000000073</v>
      </c>
      <c r="AS31">
        <v>13.610000000000582</v>
      </c>
      <c r="AT31">
        <v>-20.469999999999345</v>
      </c>
    </row>
    <row r="32" spans="1:46">
      <c r="A32" t="s">
        <v>19</v>
      </c>
      <c r="B32">
        <v>2.5799999999999272</v>
      </c>
      <c r="C32">
        <v>5.7899999999999636</v>
      </c>
      <c r="D32">
        <v>7.7599999999997635</v>
      </c>
      <c r="E32">
        <v>-0.95000000000027285</v>
      </c>
      <c r="F32">
        <v>13.569999999999709</v>
      </c>
      <c r="G32">
        <v>16.739999999999782</v>
      </c>
      <c r="H32">
        <v>17.279999999999745</v>
      </c>
      <c r="I32">
        <v>8.0399999999999636</v>
      </c>
      <c r="J32">
        <v>15.670000000000073</v>
      </c>
      <c r="K32">
        <v>24.9399999999996</v>
      </c>
      <c r="L32">
        <v>1.2800000000002001</v>
      </c>
      <c r="M32">
        <v>-0.5</v>
      </c>
      <c r="N32">
        <v>5.2599999999997635</v>
      </c>
      <c r="O32">
        <v>5.1199999999998909</v>
      </c>
      <c r="P32">
        <v>-4.8800000000001091</v>
      </c>
      <c r="Q32">
        <v>-1.5899999999996908</v>
      </c>
      <c r="R32">
        <v>2.9699999999997999</v>
      </c>
      <c r="S32">
        <v>-4.3600000000001273</v>
      </c>
      <c r="T32">
        <v>-1.5099999999997635</v>
      </c>
      <c r="U32">
        <v>0.5500000000001819</v>
      </c>
      <c r="V32">
        <v>2.9999999999745341E-2</v>
      </c>
      <c r="W32">
        <v>-5.080000000000382</v>
      </c>
      <c r="X32">
        <v>3.6099999999996726</v>
      </c>
      <c r="Y32">
        <v>1.0799999999999272</v>
      </c>
      <c r="Z32">
        <v>-0.32999999999992724</v>
      </c>
      <c r="AA32">
        <v>4.7100000000000364</v>
      </c>
      <c r="AB32">
        <v>1.5100000000002183</v>
      </c>
      <c r="AC32">
        <v>-5.6700000000000728</v>
      </c>
      <c r="AD32">
        <v>2.4200000000000728</v>
      </c>
      <c r="AE32">
        <v>2.0999999999999091</v>
      </c>
      <c r="AF32">
        <v>8.6199999999998909</v>
      </c>
      <c r="AG32">
        <v>0.84999999999990905</v>
      </c>
      <c r="AH32">
        <v>6.8400000000001455</v>
      </c>
      <c r="AI32">
        <v>11.900000000000091</v>
      </c>
      <c r="AJ32">
        <v>12.679999999999836</v>
      </c>
      <c r="AK32">
        <v>-8.6100000000001273</v>
      </c>
      <c r="AL32">
        <v>-10.619999999999891</v>
      </c>
      <c r="AM32">
        <v>-26.420000000000073</v>
      </c>
      <c r="AN32">
        <v>-17.210000000000036</v>
      </c>
      <c r="AO32">
        <v>-27.970000000000255</v>
      </c>
      <c r="AP32">
        <v>-19.779999999999745</v>
      </c>
      <c r="AQ32">
        <v>-18.509999999999764</v>
      </c>
      <c r="AR32">
        <v>-25.820000000000164</v>
      </c>
      <c r="AS32">
        <v>-25.580000000000382</v>
      </c>
      <c r="AT32">
        <v>-8.5499999999997272</v>
      </c>
    </row>
    <row r="33" spans="1:46">
      <c r="A33" t="s">
        <v>39</v>
      </c>
      <c r="B33">
        <v>14.099999999999909</v>
      </c>
      <c r="C33">
        <v>21.919999999999618</v>
      </c>
      <c r="D33">
        <v>28.519999999999982</v>
      </c>
      <c r="E33">
        <v>20.300000000000182</v>
      </c>
      <c r="F33">
        <v>31.630000000000109</v>
      </c>
      <c r="G33">
        <v>50.269999999999982</v>
      </c>
      <c r="H33">
        <v>45.269999999999982</v>
      </c>
      <c r="I33">
        <v>30.119999999999891</v>
      </c>
      <c r="J33">
        <v>44.329999999999927</v>
      </c>
      <c r="K33">
        <v>70.230000000000018</v>
      </c>
      <c r="L33">
        <v>36.349999999999909</v>
      </c>
      <c r="M33">
        <v>17.149999999999636</v>
      </c>
      <c r="N33">
        <v>28.559999999999945</v>
      </c>
      <c r="O33">
        <v>22.869999999999891</v>
      </c>
      <c r="P33">
        <v>21.150000000000091</v>
      </c>
      <c r="Q33">
        <v>13.110000000000127</v>
      </c>
      <c r="R33">
        <v>11.470000000000255</v>
      </c>
      <c r="S33">
        <v>6.8000000000001819</v>
      </c>
      <c r="T33">
        <v>9.7800000000006548</v>
      </c>
      <c r="U33">
        <v>14.159999999999854</v>
      </c>
      <c r="V33">
        <v>17.839999999999691</v>
      </c>
      <c r="W33">
        <v>17.420000000000073</v>
      </c>
      <c r="X33">
        <v>16.400000000000091</v>
      </c>
      <c r="Y33">
        <v>20.760000000000218</v>
      </c>
      <c r="Z33">
        <v>20.700000000000273</v>
      </c>
      <c r="AA33">
        <v>18.480000000000018</v>
      </c>
      <c r="AB33">
        <v>9.1399999999998727</v>
      </c>
      <c r="AC33">
        <v>4.8899999999998727</v>
      </c>
      <c r="AD33">
        <v>21.709999999999582</v>
      </c>
      <c r="AE33">
        <v>20.190000000000055</v>
      </c>
      <c r="AF33">
        <v>29.360000000000127</v>
      </c>
      <c r="AG33">
        <v>16.860000000000127</v>
      </c>
      <c r="AH33">
        <v>20.819999999999709</v>
      </c>
      <c r="AI33">
        <v>28.210000000000036</v>
      </c>
      <c r="AJ33">
        <v>26.050000000000182</v>
      </c>
      <c r="AK33">
        <v>-9.8400000000001455</v>
      </c>
      <c r="AL33">
        <v>0.92000000000007276</v>
      </c>
      <c r="AM33">
        <v>-7.6299999999991996</v>
      </c>
      <c r="AN33">
        <v>2.5600000000004002</v>
      </c>
      <c r="AO33">
        <v>-21.75</v>
      </c>
      <c r="AP33">
        <v>-15.869999999999891</v>
      </c>
      <c r="AQ33">
        <v>-13.220000000000255</v>
      </c>
      <c r="AR33">
        <v>-28.730000000000473</v>
      </c>
      <c r="AS33">
        <v>-18.489999999999782</v>
      </c>
      <c r="AT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34"/>
  <sheetViews>
    <sheetView workbookViewId="0">
      <selection activeCell="O23" sqref="O23"/>
    </sheetView>
  </sheetViews>
  <sheetFormatPr defaultRowHeight="13.5"/>
  <sheetData>
    <row r="1" spans="1:45">
      <c r="A1" t="s">
        <v>0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43140</v>
      </c>
      <c r="AK1" s="11">
        <v>43139</v>
      </c>
      <c r="AL1" s="11">
        <v>43138</v>
      </c>
      <c r="AM1" s="11">
        <v>43137</v>
      </c>
      <c r="AN1" s="11">
        <v>43136</v>
      </c>
      <c r="AO1" s="11">
        <v>43133</v>
      </c>
      <c r="AP1" s="11">
        <v>43132</v>
      </c>
      <c r="AQ1" s="11">
        <v>43131</v>
      </c>
      <c r="AR1" s="11">
        <v>43130</v>
      </c>
      <c r="AS1" s="11">
        <v>43129</v>
      </c>
    </row>
    <row r="2" spans="1:45">
      <c r="A2" t="str">
        <f>IF(手动输入表!$F2="","",手动输入表!$F2)</f>
        <v>焦炭</v>
      </c>
      <c r="B2" t="s">
        <v>657</v>
      </c>
      <c r="C2" t="s">
        <v>123</v>
      </c>
      <c r="D2" t="s">
        <v>619</v>
      </c>
      <c r="E2" t="s">
        <v>123</v>
      </c>
      <c r="F2" t="s">
        <v>123</v>
      </c>
      <c r="G2" t="s">
        <v>596</v>
      </c>
      <c r="H2" t="s">
        <v>123</v>
      </c>
      <c r="I2" t="s">
        <v>572</v>
      </c>
      <c r="J2" t="s">
        <v>532</v>
      </c>
      <c r="K2" t="s">
        <v>123</v>
      </c>
      <c r="L2" t="s">
        <v>123</v>
      </c>
      <c r="M2" t="s">
        <v>123</v>
      </c>
      <c r="N2" t="s">
        <v>123</v>
      </c>
      <c r="O2" t="s">
        <v>123</v>
      </c>
      <c r="P2" t="s">
        <v>123</v>
      </c>
      <c r="Q2" t="s">
        <v>490</v>
      </c>
      <c r="R2" t="s">
        <v>472</v>
      </c>
      <c r="S2" t="s">
        <v>123</v>
      </c>
      <c r="T2" t="s">
        <v>123</v>
      </c>
      <c r="U2" t="s">
        <v>123</v>
      </c>
      <c r="V2" t="s">
        <v>123</v>
      </c>
      <c r="W2" t="s">
        <v>123</v>
      </c>
      <c r="X2" t="s">
        <v>123</v>
      </c>
      <c r="Y2" t="s">
        <v>123</v>
      </c>
      <c r="Z2" t="s">
        <v>159</v>
      </c>
      <c r="AA2" t="s">
        <v>338</v>
      </c>
      <c r="AB2" t="s">
        <v>319</v>
      </c>
      <c r="AC2" t="s">
        <v>123</v>
      </c>
      <c r="AD2" t="s">
        <v>282</v>
      </c>
      <c r="AE2" t="s">
        <v>264</v>
      </c>
      <c r="AF2" t="s">
        <v>245</v>
      </c>
      <c r="AG2" t="s">
        <v>119</v>
      </c>
      <c r="AH2" t="s">
        <v>119</v>
      </c>
      <c r="AI2" t="s">
        <v>119</v>
      </c>
      <c r="AJ2" t="s">
        <v>119</v>
      </c>
      <c r="AK2" t="s">
        <v>119</v>
      </c>
      <c r="AL2" t="s">
        <v>119</v>
      </c>
      <c r="AM2" t="s">
        <v>119</v>
      </c>
      <c r="AN2" t="s">
        <v>204</v>
      </c>
      <c r="AO2" t="s">
        <v>119</v>
      </c>
      <c r="AP2" t="s">
        <v>119</v>
      </c>
      <c r="AQ2" t="s">
        <v>119</v>
      </c>
      <c r="AR2" t="s">
        <v>119</v>
      </c>
      <c r="AS2" t="s">
        <v>119</v>
      </c>
    </row>
    <row r="3" spans="1:45">
      <c r="A3" t="str">
        <f>IF(手动输入表!$F3="","",手动输入表!$F3)</f>
        <v>焦煤</v>
      </c>
      <c r="B3" t="s">
        <v>658</v>
      </c>
      <c r="C3" t="s">
        <v>122</v>
      </c>
      <c r="D3" t="s">
        <v>620</v>
      </c>
      <c r="E3" t="s">
        <v>122</v>
      </c>
      <c r="F3" t="s">
        <v>122</v>
      </c>
      <c r="G3" t="s">
        <v>597</v>
      </c>
      <c r="H3" t="s">
        <v>122</v>
      </c>
      <c r="I3" t="s">
        <v>573</v>
      </c>
      <c r="J3" t="s">
        <v>533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491</v>
      </c>
      <c r="R3" t="s">
        <v>473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122</v>
      </c>
      <c r="Z3" t="s">
        <v>147</v>
      </c>
      <c r="AA3" t="s">
        <v>339</v>
      </c>
      <c r="AB3" t="s">
        <v>320</v>
      </c>
      <c r="AC3" t="s">
        <v>122</v>
      </c>
      <c r="AD3" t="s">
        <v>283</v>
      </c>
      <c r="AE3" t="s">
        <v>265</v>
      </c>
      <c r="AF3" t="s">
        <v>246</v>
      </c>
      <c r="AG3" t="s">
        <v>122</v>
      </c>
      <c r="AH3" t="s">
        <v>122</v>
      </c>
      <c r="AI3" t="s">
        <v>122</v>
      </c>
      <c r="AJ3" t="s">
        <v>122</v>
      </c>
      <c r="AK3" t="s">
        <v>122</v>
      </c>
      <c r="AL3" t="s">
        <v>122</v>
      </c>
      <c r="AM3" t="s">
        <v>122</v>
      </c>
      <c r="AN3" t="s">
        <v>205</v>
      </c>
      <c r="AO3" t="s">
        <v>122</v>
      </c>
      <c r="AP3" t="s">
        <v>122</v>
      </c>
      <c r="AQ3" t="s">
        <v>122</v>
      </c>
      <c r="AR3" t="s">
        <v>122</v>
      </c>
      <c r="AS3" t="s">
        <v>122</v>
      </c>
    </row>
    <row r="4" spans="1:45">
      <c r="A4" t="str">
        <f>IF(手动输入表!$F4="","",手动输入表!$F4)</f>
        <v>动力煤</v>
      </c>
      <c r="B4" t="s">
        <v>659</v>
      </c>
      <c r="C4" t="s">
        <v>112</v>
      </c>
      <c r="D4" t="s">
        <v>621</v>
      </c>
      <c r="E4" t="s">
        <v>112</v>
      </c>
      <c r="F4" t="s">
        <v>112</v>
      </c>
      <c r="G4" t="s">
        <v>598</v>
      </c>
      <c r="H4" t="s">
        <v>112</v>
      </c>
      <c r="I4" t="s">
        <v>574</v>
      </c>
      <c r="J4" t="s">
        <v>534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492</v>
      </c>
      <c r="R4" t="s">
        <v>474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112</v>
      </c>
      <c r="Z4" t="s">
        <v>167</v>
      </c>
      <c r="AA4" t="s">
        <v>340</v>
      </c>
      <c r="AB4" t="s">
        <v>321</v>
      </c>
      <c r="AC4" t="s">
        <v>112</v>
      </c>
      <c r="AD4" t="s">
        <v>284</v>
      </c>
      <c r="AE4" t="s">
        <v>266</v>
      </c>
      <c r="AF4" t="s">
        <v>247</v>
      </c>
      <c r="AG4" t="s">
        <v>112</v>
      </c>
      <c r="AH4" t="s">
        <v>112</v>
      </c>
      <c r="AI4" t="s">
        <v>112</v>
      </c>
      <c r="AJ4" t="s">
        <v>112</v>
      </c>
      <c r="AK4" t="s">
        <v>112</v>
      </c>
      <c r="AL4" t="s">
        <v>112</v>
      </c>
      <c r="AM4" t="s">
        <v>112</v>
      </c>
      <c r="AN4" t="s">
        <v>206</v>
      </c>
      <c r="AO4" t="s">
        <v>112</v>
      </c>
      <c r="AP4" t="s">
        <v>112</v>
      </c>
      <c r="AQ4" t="s">
        <v>112</v>
      </c>
      <c r="AR4" t="s">
        <v>112</v>
      </c>
      <c r="AS4" t="s">
        <v>112</v>
      </c>
    </row>
    <row r="5" spans="1:45">
      <c r="A5" t="str">
        <f>IF(手动输入表!$F5="","",手动输入表!$F5)</f>
        <v>铁矿石</v>
      </c>
      <c r="B5" t="s">
        <v>660</v>
      </c>
      <c r="C5" t="s">
        <v>129</v>
      </c>
      <c r="D5" t="s">
        <v>622</v>
      </c>
      <c r="E5" t="s">
        <v>129</v>
      </c>
      <c r="F5" t="s">
        <v>129</v>
      </c>
      <c r="G5" t="s">
        <v>599</v>
      </c>
      <c r="H5" t="s">
        <v>129</v>
      </c>
      <c r="I5" t="s">
        <v>575</v>
      </c>
      <c r="J5" t="s">
        <v>535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493</v>
      </c>
      <c r="R5" t="s">
        <v>475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129</v>
      </c>
      <c r="Z5" t="s">
        <v>149</v>
      </c>
      <c r="AA5" t="s">
        <v>341</v>
      </c>
      <c r="AB5" t="s">
        <v>322</v>
      </c>
      <c r="AC5" t="s">
        <v>129</v>
      </c>
      <c r="AD5" t="s">
        <v>285</v>
      </c>
      <c r="AE5" t="s">
        <v>267</v>
      </c>
      <c r="AF5" t="s">
        <v>248</v>
      </c>
      <c r="AG5" t="s">
        <v>129</v>
      </c>
      <c r="AH5" t="s">
        <v>129</v>
      </c>
      <c r="AI5" t="s">
        <v>129</v>
      </c>
      <c r="AJ5" t="s">
        <v>129</v>
      </c>
      <c r="AK5" t="s">
        <v>129</v>
      </c>
      <c r="AL5" t="s">
        <v>129</v>
      </c>
      <c r="AM5" t="s">
        <v>129</v>
      </c>
      <c r="AN5" t="s">
        <v>207</v>
      </c>
      <c r="AO5" t="s">
        <v>129</v>
      </c>
      <c r="AP5" t="s">
        <v>129</v>
      </c>
      <c r="AQ5" t="s">
        <v>129</v>
      </c>
      <c r="AR5" t="s">
        <v>129</v>
      </c>
      <c r="AS5" t="s">
        <v>129</v>
      </c>
    </row>
    <row r="6" spans="1:45">
      <c r="A6" t="str">
        <f>IF(手动输入表!$F6="","",手动输入表!$F6)</f>
        <v>螺纹钢</v>
      </c>
      <c r="B6" t="s">
        <v>661</v>
      </c>
      <c r="C6" t="s">
        <v>113</v>
      </c>
      <c r="D6" t="s">
        <v>623</v>
      </c>
      <c r="E6" t="s">
        <v>113</v>
      </c>
      <c r="F6" t="s">
        <v>113</v>
      </c>
      <c r="G6" t="s">
        <v>600</v>
      </c>
      <c r="H6" t="s">
        <v>113</v>
      </c>
      <c r="I6" t="s">
        <v>576</v>
      </c>
      <c r="J6" t="s">
        <v>536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494</v>
      </c>
      <c r="R6" t="s">
        <v>476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113</v>
      </c>
      <c r="Z6" t="s">
        <v>169</v>
      </c>
      <c r="AA6" t="s">
        <v>342</v>
      </c>
      <c r="AB6" t="s">
        <v>323</v>
      </c>
      <c r="AC6" t="s">
        <v>113</v>
      </c>
      <c r="AD6" t="s">
        <v>286</v>
      </c>
      <c r="AE6" t="s">
        <v>268</v>
      </c>
      <c r="AF6" t="s">
        <v>249</v>
      </c>
      <c r="AG6" t="s">
        <v>113</v>
      </c>
      <c r="AH6" t="s">
        <v>113</v>
      </c>
      <c r="AI6" t="s">
        <v>113</v>
      </c>
      <c r="AJ6" t="s">
        <v>113</v>
      </c>
      <c r="AK6" t="s">
        <v>113</v>
      </c>
      <c r="AL6" t="s">
        <v>113</v>
      </c>
      <c r="AM6" t="s">
        <v>113</v>
      </c>
      <c r="AN6" t="s">
        <v>208</v>
      </c>
      <c r="AO6" t="s">
        <v>113</v>
      </c>
      <c r="AP6" t="s">
        <v>113</v>
      </c>
      <c r="AQ6" t="s">
        <v>113</v>
      </c>
      <c r="AR6" t="s">
        <v>113</v>
      </c>
      <c r="AS6" t="s">
        <v>113</v>
      </c>
    </row>
    <row r="7" spans="1:45">
      <c r="A7" t="str">
        <f>IF(手动输入表!$F7="","",手动输入表!$F7)</f>
        <v>热卷</v>
      </c>
      <c r="B7" t="s">
        <v>661</v>
      </c>
      <c r="C7" t="s">
        <v>113</v>
      </c>
      <c r="D7" t="s">
        <v>623</v>
      </c>
      <c r="E7" t="s">
        <v>113</v>
      </c>
      <c r="F7" t="s">
        <v>113</v>
      </c>
      <c r="G7" t="s">
        <v>600</v>
      </c>
      <c r="H7" t="s">
        <v>113</v>
      </c>
      <c r="I7" t="s">
        <v>576</v>
      </c>
      <c r="J7" t="s">
        <v>536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494</v>
      </c>
      <c r="R7" t="s">
        <v>476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113</v>
      </c>
      <c r="Z7" t="s">
        <v>169</v>
      </c>
      <c r="AA7" t="s">
        <v>342</v>
      </c>
      <c r="AB7" t="s">
        <v>323</v>
      </c>
      <c r="AC7" t="s">
        <v>113</v>
      </c>
      <c r="AD7" t="s">
        <v>286</v>
      </c>
      <c r="AE7" t="s">
        <v>268</v>
      </c>
      <c r="AF7" t="s">
        <v>249</v>
      </c>
      <c r="AG7" t="s">
        <v>113</v>
      </c>
      <c r="AH7" t="s">
        <v>113</v>
      </c>
      <c r="AI7" t="s">
        <v>113</v>
      </c>
      <c r="AJ7" t="s">
        <v>113</v>
      </c>
      <c r="AK7" t="s">
        <v>113</v>
      </c>
      <c r="AL7" t="s">
        <v>113</v>
      </c>
      <c r="AM7" t="s">
        <v>113</v>
      </c>
      <c r="AN7" t="s">
        <v>208</v>
      </c>
      <c r="AO7" t="s">
        <v>113</v>
      </c>
      <c r="AP7" t="s">
        <v>113</v>
      </c>
      <c r="AQ7" t="s">
        <v>113</v>
      </c>
      <c r="AR7" t="s">
        <v>113</v>
      </c>
      <c r="AS7" t="s">
        <v>113</v>
      </c>
    </row>
    <row r="8" spans="1:45">
      <c r="A8" t="str">
        <f>IF(手动输入表!$F8="","",手动输入表!$F8)</f>
        <v>天胶</v>
      </c>
      <c r="B8" t="s">
        <v>661</v>
      </c>
      <c r="C8" t="s">
        <v>113</v>
      </c>
      <c r="D8" t="s">
        <v>623</v>
      </c>
      <c r="E8" t="s">
        <v>113</v>
      </c>
      <c r="F8" t="s">
        <v>113</v>
      </c>
      <c r="G8" t="s">
        <v>600</v>
      </c>
      <c r="H8" t="s">
        <v>113</v>
      </c>
      <c r="I8" t="s">
        <v>576</v>
      </c>
      <c r="J8" t="s">
        <v>536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494</v>
      </c>
      <c r="R8" t="s">
        <v>476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113</v>
      </c>
      <c r="Z8" t="s">
        <v>169</v>
      </c>
      <c r="AA8" t="s">
        <v>342</v>
      </c>
      <c r="AB8" t="s">
        <v>323</v>
      </c>
      <c r="AC8" t="s">
        <v>113</v>
      </c>
      <c r="AD8" t="s">
        <v>286</v>
      </c>
      <c r="AE8" t="s">
        <v>268</v>
      </c>
      <c r="AF8" t="s">
        <v>249</v>
      </c>
      <c r="AG8" t="s">
        <v>113</v>
      </c>
      <c r="AH8" t="s">
        <v>113</v>
      </c>
      <c r="AI8" t="s">
        <v>113</v>
      </c>
      <c r="AJ8" t="s">
        <v>113</v>
      </c>
      <c r="AK8" t="s">
        <v>113</v>
      </c>
      <c r="AL8" t="s">
        <v>113</v>
      </c>
      <c r="AM8" t="s">
        <v>113</v>
      </c>
      <c r="AN8" t="s">
        <v>208</v>
      </c>
      <c r="AO8" t="s">
        <v>113</v>
      </c>
      <c r="AP8" t="s">
        <v>113</v>
      </c>
      <c r="AQ8" t="s">
        <v>113</v>
      </c>
      <c r="AR8" t="s">
        <v>113</v>
      </c>
      <c r="AS8" t="s">
        <v>113</v>
      </c>
    </row>
    <row r="9" spans="1:45">
      <c r="A9" t="str">
        <f>IF(手动输入表!$F9="","",手动输入表!$F9)</f>
        <v>玻璃</v>
      </c>
      <c r="B9" t="s">
        <v>662</v>
      </c>
      <c r="C9" t="s">
        <v>117</v>
      </c>
      <c r="D9" t="s">
        <v>624</v>
      </c>
      <c r="E9" t="s">
        <v>117</v>
      </c>
      <c r="F9" t="s">
        <v>117</v>
      </c>
      <c r="G9" t="s">
        <v>601</v>
      </c>
      <c r="H9" t="s">
        <v>117</v>
      </c>
      <c r="I9" t="s">
        <v>577</v>
      </c>
      <c r="J9" t="s">
        <v>537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495</v>
      </c>
      <c r="R9" t="s">
        <v>477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117</v>
      </c>
      <c r="Z9" t="s">
        <v>151</v>
      </c>
      <c r="AA9" t="s">
        <v>343</v>
      </c>
      <c r="AB9" t="s">
        <v>324</v>
      </c>
      <c r="AC9" t="s">
        <v>117</v>
      </c>
      <c r="AD9" t="s">
        <v>287</v>
      </c>
      <c r="AE9" t="s">
        <v>269</v>
      </c>
      <c r="AF9" t="s">
        <v>250</v>
      </c>
      <c r="AG9" t="s">
        <v>117</v>
      </c>
      <c r="AH9" t="s">
        <v>117</v>
      </c>
      <c r="AI9" t="s">
        <v>117</v>
      </c>
      <c r="AJ9" t="s">
        <v>117</v>
      </c>
      <c r="AK9" t="s">
        <v>117</v>
      </c>
      <c r="AL9" t="s">
        <v>117</v>
      </c>
      <c r="AM9" t="s">
        <v>117</v>
      </c>
      <c r="AN9" t="s">
        <v>209</v>
      </c>
      <c r="AO9" t="s">
        <v>117</v>
      </c>
      <c r="AP9" t="s">
        <v>117</v>
      </c>
      <c r="AQ9" t="s">
        <v>117</v>
      </c>
      <c r="AR9" t="s">
        <v>117</v>
      </c>
      <c r="AS9" t="s">
        <v>117</v>
      </c>
    </row>
    <row r="10" spans="1:45">
      <c r="A10" t="str">
        <f>IF(手动输入表!$F10="","",手动输入表!$F10)</f>
        <v>PVC</v>
      </c>
      <c r="B10" t="s">
        <v>663</v>
      </c>
      <c r="C10" t="s">
        <v>124</v>
      </c>
      <c r="D10" t="s">
        <v>625</v>
      </c>
      <c r="E10" t="s">
        <v>124</v>
      </c>
      <c r="F10" t="s">
        <v>124</v>
      </c>
      <c r="G10" t="s">
        <v>602</v>
      </c>
      <c r="H10" t="s">
        <v>124</v>
      </c>
      <c r="I10" t="s">
        <v>578</v>
      </c>
      <c r="J10" t="s">
        <v>538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496</v>
      </c>
      <c r="R10" t="s">
        <v>478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124</v>
      </c>
      <c r="Z10" t="s">
        <v>142</v>
      </c>
      <c r="AA10" t="s">
        <v>344</v>
      </c>
      <c r="AB10" t="s">
        <v>325</v>
      </c>
      <c r="AC10" t="s">
        <v>124</v>
      </c>
      <c r="AD10" t="s">
        <v>288</v>
      </c>
      <c r="AE10" t="s">
        <v>270</v>
      </c>
      <c r="AF10" t="s">
        <v>251</v>
      </c>
      <c r="AG10" t="s">
        <v>124</v>
      </c>
      <c r="AH10" t="s">
        <v>124</v>
      </c>
      <c r="AI10" t="s">
        <v>124</v>
      </c>
      <c r="AJ10" t="s">
        <v>124</v>
      </c>
      <c r="AK10" t="s">
        <v>124</v>
      </c>
      <c r="AL10" t="s">
        <v>124</v>
      </c>
      <c r="AM10" t="s">
        <v>124</v>
      </c>
      <c r="AN10" t="s">
        <v>210</v>
      </c>
      <c r="AO10" t="s">
        <v>124</v>
      </c>
      <c r="AP10" t="s">
        <v>124</v>
      </c>
      <c r="AQ10" t="s">
        <v>124</v>
      </c>
      <c r="AR10" t="s">
        <v>124</v>
      </c>
      <c r="AS10" t="s">
        <v>124</v>
      </c>
    </row>
    <row r="11" spans="1:45">
      <c r="A11" t="str">
        <f>IF(手动输入表!$F11="","",手动输入表!$F11)</f>
        <v>LLDPE</v>
      </c>
      <c r="B11" t="s">
        <v>664</v>
      </c>
      <c r="C11" t="s">
        <v>118</v>
      </c>
      <c r="D11" t="s">
        <v>626</v>
      </c>
      <c r="E11" t="s">
        <v>118</v>
      </c>
      <c r="F11" t="s">
        <v>118</v>
      </c>
      <c r="G11" t="s">
        <v>603</v>
      </c>
      <c r="H11" t="s">
        <v>118</v>
      </c>
      <c r="I11" t="s">
        <v>579</v>
      </c>
      <c r="J11" t="s">
        <v>539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497</v>
      </c>
      <c r="R11" t="s">
        <v>479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118</v>
      </c>
      <c r="Z11" t="s">
        <v>153</v>
      </c>
      <c r="AA11" t="s">
        <v>345</v>
      </c>
      <c r="AB11" t="s">
        <v>326</v>
      </c>
      <c r="AC11" t="s">
        <v>118</v>
      </c>
      <c r="AD11" t="s">
        <v>289</v>
      </c>
      <c r="AE11" t="s">
        <v>271</v>
      </c>
      <c r="AF11" t="s">
        <v>252</v>
      </c>
      <c r="AG11" t="s">
        <v>118</v>
      </c>
      <c r="AH11" t="s">
        <v>118</v>
      </c>
      <c r="AI11" t="s">
        <v>118</v>
      </c>
      <c r="AJ11" t="s">
        <v>118</v>
      </c>
      <c r="AK11" t="s">
        <v>118</v>
      </c>
      <c r="AL11" t="s">
        <v>118</v>
      </c>
      <c r="AM11" t="s">
        <v>118</v>
      </c>
      <c r="AN11" t="s">
        <v>211</v>
      </c>
      <c r="AO11" t="s">
        <v>118</v>
      </c>
      <c r="AP11" t="s">
        <v>118</v>
      </c>
      <c r="AQ11" t="s">
        <v>118</v>
      </c>
      <c r="AR11" t="s">
        <v>118</v>
      </c>
      <c r="AS11" t="s">
        <v>118</v>
      </c>
    </row>
    <row r="12" spans="1:45">
      <c r="A12" t="str">
        <f>IF(手动输入表!$F12="","",手动输入表!$F12)</f>
        <v>PP</v>
      </c>
      <c r="B12" t="s">
        <v>663</v>
      </c>
      <c r="C12" t="s">
        <v>124</v>
      </c>
      <c r="D12" t="s">
        <v>625</v>
      </c>
      <c r="E12" t="s">
        <v>124</v>
      </c>
      <c r="F12" t="s">
        <v>124</v>
      </c>
      <c r="G12" t="s">
        <v>602</v>
      </c>
      <c r="H12" t="s">
        <v>124</v>
      </c>
      <c r="I12" t="s">
        <v>580</v>
      </c>
      <c r="J12" t="s">
        <v>538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496</v>
      </c>
      <c r="R12" t="s">
        <v>478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124</v>
      </c>
      <c r="Z12" t="s">
        <v>142</v>
      </c>
      <c r="AA12" t="s">
        <v>344</v>
      </c>
      <c r="AB12" t="s">
        <v>325</v>
      </c>
      <c r="AC12" t="s">
        <v>124</v>
      </c>
      <c r="AD12" t="s">
        <v>288</v>
      </c>
      <c r="AE12" t="s">
        <v>270</v>
      </c>
      <c r="AF12" t="s">
        <v>251</v>
      </c>
      <c r="AG12" t="s">
        <v>124</v>
      </c>
      <c r="AH12" t="s">
        <v>124</v>
      </c>
      <c r="AI12" t="s">
        <v>124</v>
      </c>
      <c r="AJ12" t="s">
        <v>124</v>
      </c>
      <c r="AK12" t="s">
        <v>124</v>
      </c>
      <c r="AL12" t="s">
        <v>124</v>
      </c>
      <c r="AM12" t="s">
        <v>124</v>
      </c>
      <c r="AN12" t="s">
        <v>210</v>
      </c>
      <c r="AO12" t="s">
        <v>124</v>
      </c>
      <c r="AP12" t="s">
        <v>124</v>
      </c>
      <c r="AQ12" t="s">
        <v>124</v>
      </c>
      <c r="AR12" t="s">
        <v>124</v>
      </c>
      <c r="AS12" t="s">
        <v>124</v>
      </c>
    </row>
    <row r="13" spans="1:45">
      <c r="A13" t="str">
        <f>IF(手动输入表!$F13="","",手动输入表!$F13)</f>
        <v>PTA</v>
      </c>
      <c r="B13" t="s">
        <v>663</v>
      </c>
      <c r="C13" t="s">
        <v>124</v>
      </c>
      <c r="D13" t="s">
        <v>625</v>
      </c>
      <c r="E13" t="s">
        <v>124</v>
      </c>
      <c r="F13" t="s">
        <v>124</v>
      </c>
      <c r="G13" t="s">
        <v>602</v>
      </c>
      <c r="H13" t="s">
        <v>124</v>
      </c>
      <c r="I13" t="s">
        <v>578</v>
      </c>
      <c r="J13" t="s">
        <v>538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496</v>
      </c>
      <c r="R13" t="s">
        <v>478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124</v>
      </c>
      <c r="Z13" t="s">
        <v>142</v>
      </c>
      <c r="AA13" t="s">
        <v>344</v>
      </c>
      <c r="AB13" t="s">
        <v>325</v>
      </c>
      <c r="AC13" t="s">
        <v>124</v>
      </c>
      <c r="AD13" t="s">
        <v>288</v>
      </c>
      <c r="AE13" t="s">
        <v>270</v>
      </c>
      <c r="AF13" t="s">
        <v>251</v>
      </c>
      <c r="AG13" t="s">
        <v>124</v>
      </c>
      <c r="AH13" t="s">
        <v>124</v>
      </c>
      <c r="AI13" t="s">
        <v>124</v>
      </c>
      <c r="AJ13" t="s">
        <v>124</v>
      </c>
      <c r="AK13" t="s">
        <v>124</v>
      </c>
      <c r="AL13" t="s">
        <v>124</v>
      </c>
      <c r="AM13" t="s">
        <v>124</v>
      </c>
      <c r="AN13" t="s">
        <v>210</v>
      </c>
      <c r="AO13" t="s">
        <v>124</v>
      </c>
      <c r="AP13" t="s">
        <v>124</v>
      </c>
      <c r="AQ13" t="s">
        <v>124</v>
      </c>
      <c r="AR13" t="s">
        <v>124</v>
      </c>
      <c r="AS13" t="s">
        <v>124</v>
      </c>
    </row>
    <row r="14" spans="1:45">
      <c r="A14" t="str">
        <f>IF(手动输入表!$F14="","",手动输入表!$F14)</f>
        <v>沥青</v>
      </c>
      <c r="B14" t="s">
        <v>663</v>
      </c>
      <c r="C14" t="s">
        <v>124</v>
      </c>
      <c r="D14" t="s">
        <v>625</v>
      </c>
      <c r="E14" t="s">
        <v>124</v>
      </c>
      <c r="F14" t="s">
        <v>124</v>
      </c>
      <c r="G14" t="s">
        <v>602</v>
      </c>
      <c r="H14" t="s">
        <v>124</v>
      </c>
      <c r="I14" t="s">
        <v>578</v>
      </c>
      <c r="J14" t="s">
        <v>538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496</v>
      </c>
      <c r="R14" t="s">
        <v>478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124</v>
      </c>
      <c r="Z14" t="s">
        <v>142</v>
      </c>
      <c r="AA14" t="s">
        <v>344</v>
      </c>
      <c r="AB14" t="s">
        <v>325</v>
      </c>
      <c r="AC14" t="s">
        <v>124</v>
      </c>
      <c r="AD14" t="s">
        <v>288</v>
      </c>
      <c r="AE14" t="s">
        <v>270</v>
      </c>
      <c r="AF14" t="s">
        <v>251</v>
      </c>
      <c r="AG14" t="s">
        <v>124</v>
      </c>
      <c r="AH14" t="s">
        <v>124</v>
      </c>
      <c r="AI14" t="s">
        <v>124</v>
      </c>
      <c r="AJ14" t="s">
        <v>124</v>
      </c>
      <c r="AK14" t="s">
        <v>124</v>
      </c>
      <c r="AL14" t="s">
        <v>124</v>
      </c>
      <c r="AM14" t="s">
        <v>124</v>
      </c>
      <c r="AN14" t="s">
        <v>210</v>
      </c>
      <c r="AO14" t="s">
        <v>124</v>
      </c>
      <c r="AP14" t="s">
        <v>124</v>
      </c>
      <c r="AQ14" t="s">
        <v>124</v>
      </c>
      <c r="AR14" t="s">
        <v>124</v>
      </c>
      <c r="AS14" t="s">
        <v>124</v>
      </c>
    </row>
    <row r="15" spans="1:45">
      <c r="A15" t="str">
        <f>IF(手动输入表!$F15="","",手动输入表!$F15)</f>
        <v>甲醇</v>
      </c>
      <c r="B15" t="s">
        <v>665</v>
      </c>
      <c r="C15" t="s">
        <v>110</v>
      </c>
      <c r="D15" t="s">
        <v>627</v>
      </c>
      <c r="E15" t="s">
        <v>110</v>
      </c>
      <c r="F15" t="s">
        <v>110</v>
      </c>
      <c r="G15" t="s">
        <v>604</v>
      </c>
      <c r="H15" t="s">
        <v>110</v>
      </c>
      <c r="I15" t="s">
        <v>581</v>
      </c>
      <c r="J15" t="s">
        <v>540</v>
      </c>
      <c r="K15" t="s">
        <v>110</v>
      </c>
      <c r="L15" t="s">
        <v>110</v>
      </c>
      <c r="M15" t="s">
        <v>110</v>
      </c>
      <c r="N15" t="s">
        <v>110</v>
      </c>
      <c r="O15" t="s">
        <v>184</v>
      </c>
      <c r="P15" t="s">
        <v>184</v>
      </c>
      <c r="Q15" t="s">
        <v>498</v>
      </c>
      <c r="R15" t="s">
        <v>480</v>
      </c>
      <c r="S15" t="s">
        <v>110</v>
      </c>
      <c r="T15" t="s">
        <v>110</v>
      </c>
      <c r="U15" t="s">
        <v>110</v>
      </c>
      <c r="V15" t="s">
        <v>110</v>
      </c>
      <c r="W15" t="s">
        <v>110</v>
      </c>
      <c r="X15" t="s">
        <v>110</v>
      </c>
      <c r="Y15" t="s">
        <v>110</v>
      </c>
      <c r="Z15" t="s">
        <v>337</v>
      </c>
      <c r="AA15" t="s">
        <v>346</v>
      </c>
      <c r="AB15" t="s">
        <v>327</v>
      </c>
      <c r="AC15" t="s">
        <v>110</v>
      </c>
      <c r="AD15" t="s">
        <v>290</v>
      </c>
      <c r="AE15" t="s">
        <v>272</v>
      </c>
      <c r="AF15" t="s">
        <v>253</v>
      </c>
      <c r="AG15" t="s">
        <v>110</v>
      </c>
      <c r="AH15" t="s">
        <v>110</v>
      </c>
      <c r="AI15" t="s">
        <v>110</v>
      </c>
      <c r="AJ15" t="s">
        <v>110</v>
      </c>
      <c r="AK15" t="s">
        <v>110</v>
      </c>
      <c r="AL15" t="s">
        <v>110</v>
      </c>
      <c r="AM15" t="s">
        <v>110</v>
      </c>
      <c r="AN15" t="s">
        <v>212</v>
      </c>
      <c r="AO15" t="s">
        <v>184</v>
      </c>
      <c r="AP15" t="s">
        <v>184</v>
      </c>
      <c r="AQ15" t="s">
        <v>184</v>
      </c>
      <c r="AR15" t="s">
        <v>110</v>
      </c>
      <c r="AS15" t="s">
        <v>110</v>
      </c>
    </row>
    <row r="16" spans="1:45">
      <c r="A16" t="str">
        <f>IF(手动输入表!$F16="","",手动输入表!$F16)</f>
        <v>豆一</v>
      </c>
      <c r="B16" t="s">
        <v>666</v>
      </c>
      <c r="C16" t="s">
        <v>114</v>
      </c>
      <c r="D16" t="s">
        <v>628</v>
      </c>
      <c r="E16" t="s">
        <v>114</v>
      </c>
      <c r="F16" t="s">
        <v>114</v>
      </c>
      <c r="G16" t="s">
        <v>605</v>
      </c>
      <c r="H16" t="s">
        <v>114</v>
      </c>
      <c r="I16" t="s">
        <v>582</v>
      </c>
      <c r="J16" t="s">
        <v>541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499</v>
      </c>
      <c r="R16" t="s">
        <v>481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114</v>
      </c>
      <c r="Z16" t="s">
        <v>155</v>
      </c>
      <c r="AA16" t="s">
        <v>347</v>
      </c>
      <c r="AB16" t="s">
        <v>328</v>
      </c>
      <c r="AC16" t="s">
        <v>114</v>
      </c>
      <c r="AD16" t="s">
        <v>291</v>
      </c>
      <c r="AE16" t="s">
        <v>273</v>
      </c>
      <c r="AF16" t="s">
        <v>254</v>
      </c>
      <c r="AG16" t="s">
        <v>114</v>
      </c>
      <c r="AH16" t="s">
        <v>114</v>
      </c>
      <c r="AI16" t="s">
        <v>114</v>
      </c>
      <c r="AJ16" t="s">
        <v>114</v>
      </c>
      <c r="AK16" t="s">
        <v>114</v>
      </c>
      <c r="AL16" t="s">
        <v>114</v>
      </c>
      <c r="AM16" t="s">
        <v>114</v>
      </c>
      <c r="AN16" t="s">
        <v>213</v>
      </c>
      <c r="AO16" t="s">
        <v>114</v>
      </c>
      <c r="AP16" t="s">
        <v>114</v>
      </c>
      <c r="AQ16" t="s">
        <v>114</v>
      </c>
      <c r="AR16" t="s">
        <v>114</v>
      </c>
      <c r="AS16" t="s">
        <v>114</v>
      </c>
    </row>
    <row r="17" spans="1:45">
      <c r="A17" t="str">
        <f>IF(手动输入表!$F17="","",手动输入表!$F17)</f>
        <v>豆粕</v>
      </c>
      <c r="B17" t="s">
        <v>667</v>
      </c>
      <c r="C17" t="s">
        <v>618</v>
      </c>
      <c r="D17" t="s">
        <v>629</v>
      </c>
      <c r="E17" t="s">
        <v>618</v>
      </c>
      <c r="F17" t="s">
        <v>120</v>
      </c>
      <c r="G17" t="s">
        <v>606</v>
      </c>
      <c r="H17" t="s">
        <v>120</v>
      </c>
      <c r="I17" t="s">
        <v>583</v>
      </c>
      <c r="J17" t="s">
        <v>542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500</v>
      </c>
      <c r="R17" t="s">
        <v>482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120</v>
      </c>
      <c r="Z17" t="s">
        <v>156</v>
      </c>
      <c r="AA17" t="s">
        <v>348</v>
      </c>
      <c r="AB17" t="s">
        <v>329</v>
      </c>
      <c r="AC17" t="s">
        <v>120</v>
      </c>
      <c r="AD17" t="s">
        <v>292</v>
      </c>
      <c r="AE17" t="s">
        <v>274</v>
      </c>
      <c r="AF17" t="s">
        <v>255</v>
      </c>
      <c r="AG17" t="s">
        <v>120</v>
      </c>
      <c r="AH17" t="s">
        <v>120</v>
      </c>
      <c r="AI17" t="s">
        <v>120</v>
      </c>
      <c r="AJ17" t="s">
        <v>120</v>
      </c>
      <c r="AK17" t="s">
        <v>120</v>
      </c>
      <c r="AL17" t="s">
        <v>120</v>
      </c>
      <c r="AM17" t="s">
        <v>120</v>
      </c>
      <c r="AN17" t="s">
        <v>214</v>
      </c>
      <c r="AO17" t="s">
        <v>120</v>
      </c>
      <c r="AP17" t="s">
        <v>120</v>
      </c>
      <c r="AQ17" t="s">
        <v>120</v>
      </c>
      <c r="AR17" t="s">
        <v>120</v>
      </c>
      <c r="AS17" t="s">
        <v>120</v>
      </c>
    </row>
    <row r="18" spans="1:45">
      <c r="A18" t="str">
        <f>IF(手动输入表!$F18="","",手动输入表!$F18)</f>
        <v>菜粕</v>
      </c>
      <c r="B18" t="s">
        <v>668</v>
      </c>
      <c r="C18" t="s">
        <v>529</v>
      </c>
      <c r="D18" t="s">
        <v>630</v>
      </c>
      <c r="E18" t="s">
        <v>529</v>
      </c>
      <c r="F18" t="s">
        <v>529</v>
      </c>
      <c r="G18" t="s">
        <v>607</v>
      </c>
      <c r="H18" t="s">
        <v>529</v>
      </c>
      <c r="I18" t="s">
        <v>584</v>
      </c>
      <c r="J18" t="s">
        <v>543</v>
      </c>
      <c r="K18" t="s">
        <v>529</v>
      </c>
      <c r="L18" t="s">
        <v>529</v>
      </c>
      <c r="M18" t="s">
        <v>529</v>
      </c>
      <c r="N18" t="s">
        <v>527</v>
      </c>
      <c r="O18" t="s">
        <v>527</v>
      </c>
      <c r="P18" t="s">
        <v>120</v>
      </c>
      <c r="Q18" t="s">
        <v>500</v>
      </c>
      <c r="R18" t="s">
        <v>482</v>
      </c>
      <c r="S18" t="s">
        <v>120</v>
      </c>
      <c r="T18" t="s">
        <v>120</v>
      </c>
      <c r="U18" t="s">
        <v>120</v>
      </c>
      <c r="V18" t="s">
        <v>120</v>
      </c>
      <c r="W18" t="s">
        <v>120</v>
      </c>
      <c r="X18" t="s">
        <v>120</v>
      </c>
      <c r="Y18" t="s">
        <v>120</v>
      </c>
      <c r="Z18" t="s">
        <v>156</v>
      </c>
      <c r="AA18" t="s">
        <v>348</v>
      </c>
      <c r="AB18" t="s">
        <v>329</v>
      </c>
      <c r="AC18" t="s">
        <v>120</v>
      </c>
      <c r="AD18" t="s">
        <v>292</v>
      </c>
      <c r="AE18" t="s">
        <v>274</v>
      </c>
      <c r="AF18" t="s">
        <v>255</v>
      </c>
      <c r="AG18" t="s">
        <v>120</v>
      </c>
      <c r="AH18" t="s">
        <v>120</v>
      </c>
      <c r="AI18" t="s">
        <v>120</v>
      </c>
      <c r="AJ18" t="s">
        <v>120</v>
      </c>
      <c r="AK18" t="s">
        <v>120</v>
      </c>
      <c r="AL18" t="s">
        <v>120</v>
      </c>
      <c r="AM18" t="s">
        <v>120</v>
      </c>
      <c r="AN18" t="s">
        <v>214</v>
      </c>
      <c r="AO18" t="s">
        <v>120</v>
      </c>
      <c r="AP18" t="s">
        <v>120</v>
      </c>
      <c r="AQ18" t="s">
        <v>120</v>
      </c>
      <c r="AR18" t="s">
        <v>120</v>
      </c>
      <c r="AS18" t="s">
        <v>120</v>
      </c>
    </row>
    <row r="19" spans="1:45">
      <c r="A19" t="str">
        <f>IF(手动输入表!$F19="","",手动输入表!$F19)</f>
        <v>玉米</v>
      </c>
      <c r="B19" t="s">
        <v>669</v>
      </c>
      <c r="C19" t="s">
        <v>121</v>
      </c>
      <c r="D19" t="s">
        <v>631</v>
      </c>
      <c r="E19" t="s">
        <v>121</v>
      </c>
      <c r="F19" t="s">
        <v>121</v>
      </c>
      <c r="G19" t="s">
        <v>608</v>
      </c>
      <c r="H19" t="s">
        <v>121</v>
      </c>
      <c r="I19" t="s">
        <v>585</v>
      </c>
      <c r="J19" t="s">
        <v>544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501</v>
      </c>
      <c r="R19" t="s">
        <v>483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121</v>
      </c>
      <c r="Z19" t="s">
        <v>157</v>
      </c>
      <c r="AA19" t="s">
        <v>349</v>
      </c>
      <c r="AB19" t="s">
        <v>330</v>
      </c>
      <c r="AC19" t="s">
        <v>121</v>
      </c>
      <c r="AD19" t="s">
        <v>293</v>
      </c>
      <c r="AE19" t="s">
        <v>275</v>
      </c>
      <c r="AF19" t="s">
        <v>256</v>
      </c>
      <c r="AG19" t="s">
        <v>121</v>
      </c>
      <c r="AH19" t="s">
        <v>121</v>
      </c>
      <c r="AI19" t="s">
        <v>121</v>
      </c>
      <c r="AJ19" t="s">
        <v>121</v>
      </c>
      <c r="AK19" t="s">
        <v>121</v>
      </c>
      <c r="AL19" t="s">
        <v>121</v>
      </c>
      <c r="AM19" t="s">
        <v>121</v>
      </c>
      <c r="AN19" t="s">
        <v>215</v>
      </c>
      <c r="AO19" t="s">
        <v>121</v>
      </c>
      <c r="AP19" t="s">
        <v>121</v>
      </c>
      <c r="AQ19" t="s">
        <v>121</v>
      </c>
      <c r="AR19" t="s">
        <v>121</v>
      </c>
      <c r="AS19" t="s">
        <v>121</v>
      </c>
    </row>
    <row r="20" spans="1:45">
      <c r="A20" t="str">
        <f>IF(手动输入表!$F20="","",手动输入表!$F20)</f>
        <v>淀粉</v>
      </c>
      <c r="B20" t="s">
        <v>670</v>
      </c>
      <c r="C20" t="s">
        <v>111</v>
      </c>
      <c r="D20" t="s">
        <v>632</v>
      </c>
      <c r="E20" t="s">
        <v>111</v>
      </c>
      <c r="F20" t="s">
        <v>111</v>
      </c>
      <c r="G20" t="s">
        <v>609</v>
      </c>
      <c r="H20" t="s">
        <v>111</v>
      </c>
      <c r="I20" t="s">
        <v>586</v>
      </c>
      <c r="J20" t="s">
        <v>545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502</v>
      </c>
      <c r="R20" t="s">
        <v>484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111</v>
      </c>
      <c r="Z20" t="s">
        <v>177</v>
      </c>
      <c r="AA20" t="s">
        <v>350</v>
      </c>
      <c r="AB20" t="s">
        <v>331</v>
      </c>
      <c r="AC20" t="s">
        <v>111</v>
      </c>
      <c r="AD20" t="s">
        <v>294</v>
      </c>
      <c r="AE20" t="s">
        <v>276</v>
      </c>
      <c r="AF20" t="s">
        <v>257</v>
      </c>
      <c r="AG20" t="s">
        <v>111</v>
      </c>
      <c r="AH20" t="s">
        <v>111</v>
      </c>
      <c r="AI20" t="s">
        <v>111</v>
      </c>
      <c r="AJ20" t="s">
        <v>111</v>
      </c>
      <c r="AK20" t="s">
        <v>111</v>
      </c>
      <c r="AL20" t="s">
        <v>111</v>
      </c>
      <c r="AM20" t="s">
        <v>111</v>
      </c>
      <c r="AN20" t="s">
        <v>216</v>
      </c>
      <c r="AO20" t="s">
        <v>111</v>
      </c>
      <c r="AP20" t="s">
        <v>111</v>
      </c>
      <c r="AQ20" t="s">
        <v>111</v>
      </c>
      <c r="AR20" t="s">
        <v>111</v>
      </c>
      <c r="AS20" t="s">
        <v>111</v>
      </c>
    </row>
    <row r="21" spans="1:45">
      <c r="A21" t="str">
        <f>IF(手动输入表!$F21="","",手动输入表!$F21)</f>
        <v>豆油</v>
      </c>
      <c r="B21" t="s">
        <v>657</v>
      </c>
      <c r="C21" t="s">
        <v>123</v>
      </c>
      <c r="D21" t="s">
        <v>619</v>
      </c>
      <c r="E21" t="s">
        <v>123</v>
      </c>
      <c r="F21" t="s">
        <v>123</v>
      </c>
      <c r="G21" t="s">
        <v>596</v>
      </c>
      <c r="H21" t="s">
        <v>123</v>
      </c>
      <c r="I21" t="s">
        <v>587</v>
      </c>
      <c r="J21" t="s">
        <v>546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490</v>
      </c>
      <c r="R21" t="s">
        <v>472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123</v>
      </c>
      <c r="Z21" t="s">
        <v>159</v>
      </c>
      <c r="AA21" t="s">
        <v>338</v>
      </c>
      <c r="AB21" t="s">
        <v>319</v>
      </c>
      <c r="AC21" t="s">
        <v>123</v>
      </c>
      <c r="AD21" t="s">
        <v>295</v>
      </c>
      <c r="AE21" t="s">
        <v>277</v>
      </c>
      <c r="AF21" t="s">
        <v>258</v>
      </c>
      <c r="AG21" t="s">
        <v>123</v>
      </c>
      <c r="AH21" t="s">
        <v>123</v>
      </c>
      <c r="AI21" t="s">
        <v>123</v>
      </c>
      <c r="AJ21" t="s">
        <v>123</v>
      </c>
      <c r="AK21" t="s">
        <v>123</v>
      </c>
      <c r="AL21" t="s">
        <v>123</v>
      </c>
      <c r="AM21" t="s">
        <v>123</v>
      </c>
      <c r="AN21" t="s">
        <v>217</v>
      </c>
      <c r="AO21" t="s">
        <v>123</v>
      </c>
      <c r="AP21" t="s">
        <v>123</v>
      </c>
      <c r="AQ21" t="s">
        <v>123</v>
      </c>
      <c r="AR21" t="s">
        <v>123</v>
      </c>
      <c r="AS21" t="s">
        <v>123</v>
      </c>
    </row>
    <row r="22" spans="1:45">
      <c r="A22" t="str">
        <f>IF(手动输入表!$F22="","",手动输入表!$F22)</f>
        <v>棕榈油</v>
      </c>
      <c r="B22" t="s">
        <v>671</v>
      </c>
      <c r="C22" t="s">
        <v>119</v>
      </c>
      <c r="D22" t="s">
        <v>633</v>
      </c>
      <c r="E22" t="s">
        <v>119</v>
      </c>
      <c r="F22" t="s">
        <v>119</v>
      </c>
      <c r="G22" t="s">
        <v>610</v>
      </c>
      <c r="H22" t="s">
        <v>119</v>
      </c>
      <c r="I22" t="s">
        <v>588</v>
      </c>
      <c r="J22" t="s">
        <v>547</v>
      </c>
      <c r="K22" t="s">
        <v>119</v>
      </c>
      <c r="L22" t="s">
        <v>119</v>
      </c>
      <c r="M22" t="s">
        <v>119</v>
      </c>
      <c r="N22" t="s">
        <v>119</v>
      </c>
      <c r="O22" t="s">
        <v>119</v>
      </c>
      <c r="P22" t="s">
        <v>119</v>
      </c>
      <c r="Q22" t="s">
        <v>503</v>
      </c>
      <c r="R22" t="s">
        <v>485</v>
      </c>
      <c r="S22" t="s">
        <v>119</v>
      </c>
      <c r="T22" t="s">
        <v>119</v>
      </c>
      <c r="U22" t="s">
        <v>119</v>
      </c>
      <c r="V22" t="s">
        <v>119</v>
      </c>
      <c r="W22" t="s">
        <v>119</v>
      </c>
      <c r="X22" t="s">
        <v>119</v>
      </c>
      <c r="Y22" t="s">
        <v>119</v>
      </c>
      <c r="Z22" t="s">
        <v>146</v>
      </c>
      <c r="AA22" t="s">
        <v>351</v>
      </c>
      <c r="AB22" t="s">
        <v>332</v>
      </c>
      <c r="AC22" t="s">
        <v>119</v>
      </c>
      <c r="AD22" t="s">
        <v>282</v>
      </c>
      <c r="AE22" t="s">
        <v>264</v>
      </c>
      <c r="AF22" t="s">
        <v>245</v>
      </c>
      <c r="AG22" t="s">
        <v>116</v>
      </c>
      <c r="AH22" t="s">
        <v>116</v>
      </c>
      <c r="AI22" t="s">
        <v>116</v>
      </c>
      <c r="AJ22" t="s">
        <v>116</v>
      </c>
      <c r="AK22" t="s">
        <v>116</v>
      </c>
      <c r="AL22" t="s">
        <v>116</v>
      </c>
      <c r="AM22" t="s">
        <v>116</v>
      </c>
      <c r="AN22" t="s">
        <v>218</v>
      </c>
      <c r="AO22" t="s">
        <v>116</v>
      </c>
      <c r="AP22" t="s">
        <v>116</v>
      </c>
      <c r="AQ22" t="s">
        <v>116</v>
      </c>
      <c r="AR22" t="s">
        <v>116</v>
      </c>
      <c r="AS22" t="s">
        <v>116</v>
      </c>
    </row>
    <row r="23" spans="1:45">
      <c r="A23" t="str">
        <f>IF(手动输入表!$F23="","",手动输入表!$F23)</f>
        <v>菜油</v>
      </c>
      <c r="B23" t="s">
        <v>672</v>
      </c>
      <c r="C23" t="s">
        <v>127</v>
      </c>
      <c r="D23" t="s">
        <v>634</v>
      </c>
      <c r="E23" t="s">
        <v>127</v>
      </c>
      <c r="F23" t="s">
        <v>127</v>
      </c>
      <c r="G23" t="s">
        <v>611</v>
      </c>
      <c r="H23" t="s">
        <v>127</v>
      </c>
      <c r="I23" t="s">
        <v>589</v>
      </c>
      <c r="J23" t="s">
        <v>548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504</v>
      </c>
      <c r="R23" t="s">
        <v>486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127</v>
      </c>
      <c r="Z23" t="s">
        <v>161</v>
      </c>
      <c r="AA23" t="s">
        <v>352</v>
      </c>
      <c r="AB23" t="s">
        <v>333</v>
      </c>
      <c r="AC23" t="s">
        <v>127</v>
      </c>
      <c r="AD23" t="s">
        <v>296</v>
      </c>
      <c r="AE23" t="s">
        <v>278</v>
      </c>
      <c r="AF23" t="s">
        <v>259</v>
      </c>
      <c r="AG23" t="s">
        <v>127</v>
      </c>
      <c r="AH23" t="s">
        <v>127</v>
      </c>
      <c r="AI23" t="s">
        <v>127</v>
      </c>
      <c r="AJ23" t="s">
        <v>127</v>
      </c>
      <c r="AK23" t="s">
        <v>127</v>
      </c>
      <c r="AL23" t="s">
        <v>127</v>
      </c>
      <c r="AM23" t="s">
        <v>127</v>
      </c>
      <c r="AN23" t="s">
        <v>219</v>
      </c>
      <c r="AO23" t="s">
        <v>127</v>
      </c>
      <c r="AP23" t="s">
        <v>127</v>
      </c>
      <c r="AQ23" t="s">
        <v>127</v>
      </c>
      <c r="AR23" t="s">
        <v>127</v>
      </c>
      <c r="AS23" t="s">
        <v>127</v>
      </c>
    </row>
    <row r="24" spans="1:45">
      <c r="A24" t="str">
        <f>IF(手动输入表!$F24="","",手动输入表!$F24)</f>
        <v>白糖</v>
      </c>
      <c r="B24" t="s">
        <v>673</v>
      </c>
      <c r="C24" t="s">
        <v>243</v>
      </c>
      <c r="D24" t="s">
        <v>635</v>
      </c>
      <c r="E24" t="s">
        <v>243</v>
      </c>
      <c r="F24" t="s">
        <v>243</v>
      </c>
      <c r="G24" t="s">
        <v>612</v>
      </c>
      <c r="H24" t="s">
        <v>243</v>
      </c>
      <c r="I24" t="s">
        <v>590</v>
      </c>
      <c r="J24" t="s">
        <v>549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505</v>
      </c>
      <c r="R24" t="s">
        <v>487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243</v>
      </c>
      <c r="Z24" t="s">
        <v>223</v>
      </c>
      <c r="AA24" t="s">
        <v>353</v>
      </c>
      <c r="AB24" t="s">
        <v>334</v>
      </c>
      <c r="AC24" t="s">
        <v>243</v>
      </c>
      <c r="AD24" t="s">
        <v>297</v>
      </c>
      <c r="AE24" t="s">
        <v>279</v>
      </c>
      <c r="AF24" t="s">
        <v>260</v>
      </c>
      <c r="AG24" t="s">
        <v>243</v>
      </c>
      <c r="AH24" t="s">
        <v>243</v>
      </c>
      <c r="AI24" t="s">
        <v>243</v>
      </c>
      <c r="AJ24" t="s">
        <v>243</v>
      </c>
      <c r="AK24" t="s">
        <v>243</v>
      </c>
      <c r="AL24" t="s">
        <v>243</v>
      </c>
      <c r="AM24" t="s">
        <v>243</v>
      </c>
      <c r="AN24" t="s">
        <v>220</v>
      </c>
      <c r="AO24" t="s">
        <v>115</v>
      </c>
      <c r="AP24" t="s">
        <v>115</v>
      </c>
      <c r="AQ24" t="s">
        <v>115</v>
      </c>
      <c r="AR24" t="s">
        <v>115</v>
      </c>
      <c r="AS24" t="s">
        <v>115</v>
      </c>
    </row>
    <row r="25" spans="1:45">
      <c r="A25" t="str">
        <f>IF(手动输入表!$F25="","",手动输入表!$F25)</f>
        <v>棉花</v>
      </c>
      <c r="B25" t="s">
        <v>674</v>
      </c>
      <c r="C25" t="s">
        <v>125</v>
      </c>
      <c r="D25" t="s">
        <v>636</v>
      </c>
      <c r="E25" t="s">
        <v>125</v>
      </c>
      <c r="F25" t="s">
        <v>125</v>
      </c>
      <c r="G25" t="s">
        <v>613</v>
      </c>
      <c r="H25" t="s">
        <v>125</v>
      </c>
      <c r="I25" t="s">
        <v>591</v>
      </c>
      <c r="J25" t="s">
        <v>550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506</v>
      </c>
      <c r="R25" t="s">
        <v>488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125</v>
      </c>
      <c r="Z25" t="s">
        <v>163</v>
      </c>
      <c r="AA25" t="s">
        <v>354</v>
      </c>
      <c r="AB25" t="s">
        <v>335</v>
      </c>
      <c r="AC25" t="s">
        <v>125</v>
      </c>
      <c r="AD25" t="s">
        <v>298</v>
      </c>
      <c r="AE25" t="s">
        <v>280</v>
      </c>
      <c r="AF25" t="s">
        <v>261</v>
      </c>
      <c r="AG25" t="s">
        <v>125</v>
      </c>
      <c r="AH25" t="s">
        <v>125</v>
      </c>
      <c r="AI25" t="s">
        <v>125</v>
      </c>
      <c r="AJ25" t="s">
        <v>125</v>
      </c>
      <c r="AK25" t="s">
        <v>125</v>
      </c>
      <c r="AL25" t="s">
        <v>125</v>
      </c>
      <c r="AM25" t="s">
        <v>125</v>
      </c>
      <c r="AN25" t="s">
        <v>221</v>
      </c>
      <c r="AO25" t="s">
        <v>125</v>
      </c>
      <c r="AP25" t="s">
        <v>125</v>
      </c>
      <c r="AQ25" t="s">
        <v>125</v>
      </c>
      <c r="AR25" t="s">
        <v>125</v>
      </c>
      <c r="AS25" t="s">
        <v>125</v>
      </c>
    </row>
    <row r="26" spans="1:45">
      <c r="A26" t="str">
        <f>IF(手动输入表!$F26="","",手动输入表!$F26)</f>
        <v>棉纱</v>
      </c>
      <c r="B26" t="s">
        <v>675</v>
      </c>
      <c r="C26" t="s">
        <v>126</v>
      </c>
      <c r="D26" t="s">
        <v>637</v>
      </c>
      <c r="E26" t="s">
        <v>126</v>
      </c>
      <c r="F26" t="s">
        <v>126</v>
      </c>
      <c r="G26" t="s">
        <v>614</v>
      </c>
      <c r="H26" t="s">
        <v>126</v>
      </c>
      <c r="I26" t="s">
        <v>592</v>
      </c>
      <c r="J26" t="s">
        <v>551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507</v>
      </c>
      <c r="R26" t="s">
        <v>489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126</v>
      </c>
      <c r="Z26" t="s">
        <v>183</v>
      </c>
      <c r="AA26" t="s">
        <v>355</v>
      </c>
      <c r="AB26" t="s">
        <v>336</v>
      </c>
      <c r="AC26" t="s">
        <v>126</v>
      </c>
      <c r="AD26" t="s">
        <v>299</v>
      </c>
      <c r="AE26" t="s">
        <v>281</v>
      </c>
      <c r="AF26" t="s">
        <v>262</v>
      </c>
      <c r="AG26" t="s">
        <v>126</v>
      </c>
      <c r="AH26" t="s">
        <v>126</v>
      </c>
      <c r="AI26" t="s">
        <v>126</v>
      </c>
      <c r="AJ26" t="s">
        <v>126</v>
      </c>
      <c r="AK26" t="s">
        <v>126</v>
      </c>
      <c r="AL26" t="s">
        <v>126</v>
      </c>
      <c r="AM26" t="s">
        <v>126</v>
      </c>
      <c r="AN26" t="s">
        <v>222</v>
      </c>
      <c r="AO26" t="s">
        <v>126</v>
      </c>
      <c r="AP26" t="s">
        <v>126</v>
      </c>
      <c r="AQ26" t="s">
        <v>126</v>
      </c>
      <c r="AR26" t="s">
        <v>126</v>
      </c>
      <c r="AS26" t="s">
        <v>126</v>
      </c>
    </row>
    <row r="27" spans="1:45">
      <c r="A27" t="str">
        <f>IF(手动输入表!$F27="","",手动输入表!$F27)</f>
        <v>铜</v>
      </c>
      <c r="B27" t="s">
        <v>661</v>
      </c>
      <c r="C27" t="s">
        <v>113</v>
      </c>
      <c r="D27" t="s">
        <v>623</v>
      </c>
      <c r="E27" t="s">
        <v>113</v>
      </c>
      <c r="F27" t="s">
        <v>113</v>
      </c>
      <c r="G27" t="s">
        <v>600</v>
      </c>
      <c r="H27" t="s">
        <v>113</v>
      </c>
      <c r="I27" t="s">
        <v>593</v>
      </c>
      <c r="J27" t="s">
        <v>552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494</v>
      </c>
      <c r="R27" t="s">
        <v>476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113</v>
      </c>
      <c r="Z27" t="s">
        <v>169</v>
      </c>
      <c r="AA27" t="s">
        <v>342</v>
      </c>
      <c r="AB27" t="s">
        <v>323</v>
      </c>
      <c r="AC27" t="s">
        <v>113</v>
      </c>
      <c r="AD27" t="s">
        <v>286</v>
      </c>
      <c r="AE27" t="s">
        <v>268</v>
      </c>
      <c r="AF27" t="s">
        <v>263</v>
      </c>
      <c r="AG27" t="s">
        <v>113</v>
      </c>
      <c r="AH27" t="s">
        <v>113</v>
      </c>
      <c r="AI27" t="s">
        <v>113</v>
      </c>
      <c r="AJ27" t="s">
        <v>113</v>
      </c>
      <c r="AK27" t="s">
        <v>113</v>
      </c>
      <c r="AL27" t="s">
        <v>113</v>
      </c>
      <c r="AM27" t="s">
        <v>113</v>
      </c>
      <c r="AN27" t="s">
        <v>208</v>
      </c>
      <c r="AO27" t="s">
        <v>113</v>
      </c>
      <c r="AP27" t="s">
        <v>113</v>
      </c>
      <c r="AQ27" t="s">
        <v>113</v>
      </c>
      <c r="AR27" t="s">
        <v>113</v>
      </c>
      <c r="AS27" t="s">
        <v>113</v>
      </c>
    </row>
    <row r="28" spans="1:45">
      <c r="A28" t="str">
        <f>IF(手动输入表!$F28="","",手动输入表!$F28)</f>
        <v>铝</v>
      </c>
      <c r="B28" t="s">
        <v>661</v>
      </c>
      <c r="C28" t="s">
        <v>113</v>
      </c>
      <c r="D28" t="s">
        <v>623</v>
      </c>
      <c r="E28" t="s">
        <v>113</v>
      </c>
      <c r="F28" t="s">
        <v>113</v>
      </c>
      <c r="G28" t="s">
        <v>600</v>
      </c>
      <c r="H28" t="s">
        <v>113</v>
      </c>
      <c r="I28" t="s">
        <v>593</v>
      </c>
      <c r="J28" t="s">
        <v>552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494</v>
      </c>
      <c r="R28" t="s">
        <v>476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113</v>
      </c>
      <c r="Z28" t="s">
        <v>169</v>
      </c>
      <c r="AA28" t="s">
        <v>342</v>
      </c>
      <c r="AB28" t="s">
        <v>323</v>
      </c>
      <c r="AC28" t="s">
        <v>113</v>
      </c>
      <c r="AD28" t="s">
        <v>286</v>
      </c>
      <c r="AE28" t="s">
        <v>268</v>
      </c>
      <c r="AF28" t="s">
        <v>263</v>
      </c>
      <c r="AG28" t="s">
        <v>113</v>
      </c>
      <c r="AH28" t="s">
        <v>113</v>
      </c>
      <c r="AI28" t="s">
        <v>113</v>
      </c>
      <c r="AJ28" t="s">
        <v>113</v>
      </c>
      <c r="AK28" t="s">
        <v>113</v>
      </c>
      <c r="AL28" t="s">
        <v>113</v>
      </c>
      <c r="AM28" t="s">
        <v>113</v>
      </c>
      <c r="AN28" t="s">
        <v>208</v>
      </c>
      <c r="AO28" t="s">
        <v>113</v>
      </c>
      <c r="AP28" t="s">
        <v>113</v>
      </c>
      <c r="AQ28" t="s">
        <v>113</v>
      </c>
      <c r="AR28" t="s">
        <v>113</v>
      </c>
      <c r="AS28" t="s">
        <v>113</v>
      </c>
    </row>
    <row r="29" spans="1:45">
      <c r="A29" t="str">
        <f>IF(手动输入表!$F29="","",手动输入表!$F29)</f>
        <v>锌</v>
      </c>
      <c r="B29" t="s">
        <v>661</v>
      </c>
      <c r="C29" t="s">
        <v>113</v>
      </c>
      <c r="D29" t="s">
        <v>623</v>
      </c>
      <c r="E29" t="s">
        <v>113</v>
      </c>
      <c r="F29" t="s">
        <v>113</v>
      </c>
      <c r="G29" t="s">
        <v>600</v>
      </c>
      <c r="H29" t="s">
        <v>113</v>
      </c>
      <c r="I29" t="s">
        <v>593</v>
      </c>
      <c r="J29" t="s">
        <v>552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494</v>
      </c>
      <c r="R29" t="s">
        <v>476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113</v>
      </c>
      <c r="Z29" t="s">
        <v>169</v>
      </c>
      <c r="AA29" t="s">
        <v>342</v>
      </c>
      <c r="AB29" t="s">
        <v>323</v>
      </c>
      <c r="AC29" t="s">
        <v>113</v>
      </c>
      <c r="AD29" t="s">
        <v>286</v>
      </c>
      <c r="AE29" t="s">
        <v>268</v>
      </c>
      <c r="AF29" t="s">
        <v>263</v>
      </c>
      <c r="AG29" t="s">
        <v>113</v>
      </c>
      <c r="AH29" t="s">
        <v>113</v>
      </c>
      <c r="AI29" t="s">
        <v>113</v>
      </c>
      <c r="AJ29" t="s">
        <v>113</v>
      </c>
      <c r="AK29" t="s">
        <v>113</v>
      </c>
      <c r="AL29" t="s">
        <v>113</v>
      </c>
      <c r="AM29" t="s">
        <v>113</v>
      </c>
      <c r="AN29" t="s">
        <v>208</v>
      </c>
      <c r="AO29" t="s">
        <v>113</v>
      </c>
      <c r="AP29" t="s">
        <v>113</v>
      </c>
      <c r="AQ29" t="s">
        <v>113</v>
      </c>
      <c r="AR29" t="s">
        <v>113</v>
      </c>
      <c r="AS29" t="s">
        <v>113</v>
      </c>
    </row>
    <row r="30" spans="1:45">
      <c r="A30" t="str">
        <f>IF(手动输入表!$F30="","",手动输入表!$F30)</f>
        <v>镍</v>
      </c>
      <c r="B30" t="s">
        <v>661</v>
      </c>
      <c r="C30" t="s">
        <v>113</v>
      </c>
      <c r="D30" t="s">
        <v>623</v>
      </c>
      <c r="E30" t="s">
        <v>113</v>
      </c>
      <c r="F30" t="s">
        <v>113</v>
      </c>
      <c r="G30" t="s">
        <v>600</v>
      </c>
      <c r="H30" t="s">
        <v>113</v>
      </c>
      <c r="I30" t="s">
        <v>593</v>
      </c>
      <c r="J30" t="s">
        <v>552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494</v>
      </c>
      <c r="R30" t="s">
        <v>476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113</v>
      </c>
      <c r="Z30" t="s">
        <v>169</v>
      </c>
      <c r="AA30" t="s">
        <v>342</v>
      </c>
      <c r="AB30" t="s">
        <v>323</v>
      </c>
      <c r="AC30" t="s">
        <v>113</v>
      </c>
      <c r="AD30" t="s">
        <v>286</v>
      </c>
      <c r="AE30" t="s">
        <v>268</v>
      </c>
      <c r="AF30" t="s">
        <v>263</v>
      </c>
      <c r="AG30" t="s">
        <v>113</v>
      </c>
      <c r="AH30" t="s">
        <v>113</v>
      </c>
      <c r="AI30" t="s">
        <v>113</v>
      </c>
      <c r="AJ30" t="s">
        <v>113</v>
      </c>
      <c r="AK30" t="s">
        <v>113</v>
      </c>
      <c r="AL30" t="s">
        <v>113</v>
      </c>
      <c r="AM30" t="s">
        <v>113</v>
      </c>
      <c r="AN30" t="s">
        <v>208</v>
      </c>
      <c r="AO30" t="s">
        <v>113</v>
      </c>
      <c r="AP30" t="s">
        <v>113</v>
      </c>
      <c r="AQ30" t="s">
        <v>113</v>
      </c>
      <c r="AR30" t="s">
        <v>113</v>
      </c>
      <c r="AS30" t="s">
        <v>113</v>
      </c>
    </row>
    <row r="31" spans="1:45">
      <c r="A31" t="str">
        <f>IF(手动输入表!$F31="","",手动输入表!$F31)</f>
        <v/>
      </c>
    </row>
    <row r="32" spans="1:4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32"/>
  <sheetViews>
    <sheetView workbookViewId="0">
      <selection activeCell="J18" sqref="J18"/>
    </sheetView>
  </sheetViews>
  <sheetFormatPr defaultRowHeight="13.5"/>
  <sheetData>
    <row r="1" spans="1:45">
      <c r="A1" t="s">
        <v>98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43140</v>
      </c>
      <c r="AK1" s="11">
        <v>43139</v>
      </c>
      <c r="AL1" s="11">
        <v>43138</v>
      </c>
      <c r="AM1" s="11">
        <v>43137</v>
      </c>
      <c r="AN1" s="11">
        <v>43136</v>
      </c>
      <c r="AO1" s="11">
        <v>43133</v>
      </c>
      <c r="AP1" s="11">
        <v>43132</v>
      </c>
      <c r="AQ1" s="11">
        <v>43131</v>
      </c>
      <c r="AR1" s="11">
        <v>43130</v>
      </c>
      <c r="AS1" s="11">
        <v>43129</v>
      </c>
    </row>
    <row r="2" spans="1:4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</row>
    <row r="11" spans="1:4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</row>
    <row r="12" spans="1:4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</row>
    <row r="13" spans="1:4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</row>
    <row r="14" spans="1:4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</row>
    <row r="15" spans="1:45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-260</v>
      </c>
      <c r="P15">
        <v>-260</v>
      </c>
      <c r="Q15">
        <v>-260</v>
      </c>
      <c r="R15">
        <v>-260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-260</v>
      </c>
      <c r="AP15">
        <v>-260</v>
      </c>
      <c r="AQ15">
        <v>-260</v>
      </c>
      <c r="AR15">
        <v>-200</v>
      </c>
      <c r="AS15">
        <v>-200</v>
      </c>
    </row>
    <row r="16" spans="1:4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</row>
    <row r="17" spans="1:45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</row>
    <row r="18" spans="1:4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</row>
    <row r="19" spans="1:4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</row>
    <row r="20" spans="1:4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</row>
    <row r="21" spans="1:4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</row>
    <row r="22" spans="1:45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</row>
    <row r="23" spans="1:4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</row>
    <row r="24" spans="1:4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</row>
    <row r="25" spans="1:4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</row>
    <row r="26" spans="1:4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</row>
    <row r="27" spans="1:4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</row>
    <row r="28" spans="1:4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</row>
    <row r="29" spans="1:4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</row>
    <row r="30" spans="1:4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</row>
    <row r="31" spans="1:45">
      <c r="A31" t="str">
        <f>IF(手动输入表!$F31="","",手动输入表!$F31)</f>
        <v/>
      </c>
    </row>
    <row r="32" spans="1:45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37"/>
  <sheetViews>
    <sheetView workbookViewId="0">
      <selection activeCell="D9" sqref="D9"/>
    </sheetView>
  </sheetViews>
  <sheetFormatPr defaultRowHeight="13.5"/>
  <sheetData>
    <row r="1" spans="1:45">
      <c r="A1" t="s">
        <v>98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43140</v>
      </c>
      <c r="AK1" s="11">
        <v>43139</v>
      </c>
      <c r="AL1" s="11">
        <v>43138</v>
      </c>
      <c r="AM1" s="11">
        <v>43137</v>
      </c>
      <c r="AN1" s="11">
        <v>43136</v>
      </c>
      <c r="AO1" s="11">
        <v>43133</v>
      </c>
      <c r="AP1" s="11">
        <v>43132</v>
      </c>
      <c r="AQ1" s="11">
        <v>43131</v>
      </c>
      <c r="AR1" s="11">
        <v>43130</v>
      </c>
      <c r="AS1" s="11">
        <v>43129</v>
      </c>
    </row>
    <row r="2" spans="1:45">
      <c r="A2" t="str">
        <f>IF(手动输入表!$F2="","",手动输入表!$F2)</f>
        <v>焦炭</v>
      </c>
      <c r="B2" t="s">
        <v>678</v>
      </c>
      <c r="C2" t="s">
        <v>638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553</v>
      </c>
      <c r="K2" t="s">
        <v>123</v>
      </c>
      <c r="L2" t="s">
        <v>123</v>
      </c>
      <c r="M2" t="s">
        <v>123</v>
      </c>
      <c r="N2" t="s">
        <v>123</v>
      </c>
      <c r="O2" t="s">
        <v>123</v>
      </c>
      <c r="P2" t="s">
        <v>123</v>
      </c>
      <c r="Q2" t="s">
        <v>508</v>
      </c>
      <c r="R2" t="s">
        <v>123</v>
      </c>
      <c r="S2" t="s">
        <v>123</v>
      </c>
      <c r="T2" t="s">
        <v>454</v>
      </c>
      <c r="U2" t="s">
        <v>436</v>
      </c>
      <c r="V2" t="s">
        <v>418</v>
      </c>
      <c r="W2" t="s">
        <v>400</v>
      </c>
      <c r="X2" t="s">
        <v>123</v>
      </c>
      <c r="Y2" t="s">
        <v>382</v>
      </c>
      <c r="Z2" t="s">
        <v>123</v>
      </c>
      <c r="AA2" t="s">
        <v>356</v>
      </c>
      <c r="AB2" t="s">
        <v>123</v>
      </c>
      <c r="AC2" t="s">
        <v>123</v>
      </c>
      <c r="AD2" t="s">
        <v>300</v>
      </c>
      <c r="AE2" t="s">
        <v>119</v>
      </c>
      <c r="AF2" t="s">
        <v>119</v>
      </c>
      <c r="AG2" t="s">
        <v>119</v>
      </c>
      <c r="AH2" t="s">
        <v>119</v>
      </c>
      <c r="AI2" t="s">
        <v>119</v>
      </c>
      <c r="AJ2" t="s">
        <v>119</v>
      </c>
      <c r="AK2" t="s">
        <v>119</v>
      </c>
      <c r="AL2" t="s">
        <v>119</v>
      </c>
      <c r="AM2" t="s">
        <v>119</v>
      </c>
      <c r="AN2" t="s">
        <v>224</v>
      </c>
      <c r="AO2" t="s">
        <v>185</v>
      </c>
      <c r="AP2" t="s">
        <v>119</v>
      </c>
      <c r="AQ2" t="s">
        <v>119</v>
      </c>
      <c r="AR2" t="s">
        <v>165</v>
      </c>
      <c r="AS2" t="s">
        <v>146</v>
      </c>
    </row>
    <row r="3" spans="1:45">
      <c r="A3" t="str">
        <f>IF(手动输入表!$F3="","",手动输入表!$F3)</f>
        <v>焦煤</v>
      </c>
      <c r="B3" t="s">
        <v>679</v>
      </c>
      <c r="C3" t="s">
        <v>639</v>
      </c>
      <c r="D3" t="s">
        <v>122</v>
      </c>
      <c r="E3" t="s">
        <v>122</v>
      </c>
      <c r="F3" t="s">
        <v>122</v>
      </c>
      <c r="G3" t="s">
        <v>122</v>
      </c>
      <c r="H3" t="s">
        <v>122</v>
      </c>
      <c r="I3" t="s">
        <v>122</v>
      </c>
      <c r="J3" t="s">
        <v>554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509</v>
      </c>
      <c r="R3" t="s">
        <v>122</v>
      </c>
      <c r="S3" t="s">
        <v>122</v>
      </c>
      <c r="T3" t="s">
        <v>455</v>
      </c>
      <c r="U3" t="s">
        <v>437</v>
      </c>
      <c r="V3" t="s">
        <v>419</v>
      </c>
      <c r="W3" t="s">
        <v>401</v>
      </c>
      <c r="X3" t="s">
        <v>122</v>
      </c>
      <c r="Y3" t="s">
        <v>383</v>
      </c>
      <c r="Z3" t="s">
        <v>122</v>
      </c>
      <c r="AA3" t="s">
        <v>357</v>
      </c>
      <c r="AB3" t="s">
        <v>122</v>
      </c>
      <c r="AC3" t="s">
        <v>122</v>
      </c>
      <c r="AD3" t="s">
        <v>301</v>
      </c>
      <c r="AE3" t="s">
        <v>122</v>
      </c>
      <c r="AF3" t="s">
        <v>122</v>
      </c>
      <c r="AG3" t="s">
        <v>122</v>
      </c>
      <c r="AH3" t="s">
        <v>122</v>
      </c>
      <c r="AI3" t="s">
        <v>122</v>
      </c>
      <c r="AJ3" t="s">
        <v>122</v>
      </c>
      <c r="AK3" t="s">
        <v>122</v>
      </c>
      <c r="AL3" t="s">
        <v>122</v>
      </c>
      <c r="AM3" t="s">
        <v>122</v>
      </c>
      <c r="AN3" t="s">
        <v>225</v>
      </c>
      <c r="AO3" t="s">
        <v>186</v>
      </c>
      <c r="AP3" t="s">
        <v>122</v>
      </c>
      <c r="AQ3" t="s">
        <v>122</v>
      </c>
      <c r="AR3" t="s">
        <v>166</v>
      </c>
      <c r="AS3" t="s">
        <v>147</v>
      </c>
    </row>
    <row r="4" spans="1:45">
      <c r="A4" t="str">
        <f>IF(手动输入表!$F4="","",手动输入表!$F4)</f>
        <v>动力煤</v>
      </c>
      <c r="B4" t="s">
        <v>680</v>
      </c>
      <c r="C4" t="s">
        <v>640</v>
      </c>
      <c r="D4" t="s">
        <v>112</v>
      </c>
      <c r="E4" t="s">
        <v>112</v>
      </c>
      <c r="F4" t="s">
        <v>112</v>
      </c>
      <c r="G4" t="s">
        <v>112</v>
      </c>
      <c r="H4" t="s">
        <v>112</v>
      </c>
      <c r="I4" t="s">
        <v>112</v>
      </c>
      <c r="J4" t="s">
        <v>555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510</v>
      </c>
      <c r="R4" t="s">
        <v>112</v>
      </c>
      <c r="S4" t="s">
        <v>112</v>
      </c>
      <c r="T4" t="s">
        <v>456</v>
      </c>
      <c r="U4" t="s">
        <v>438</v>
      </c>
      <c r="V4" t="s">
        <v>420</v>
      </c>
      <c r="W4" t="s">
        <v>402</v>
      </c>
      <c r="X4" t="s">
        <v>112</v>
      </c>
      <c r="Y4" t="s">
        <v>384</v>
      </c>
      <c r="Z4" t="s">
        <v>112</v>
      </c>
      <c r="AA4" t="s">
        <v>358</v>
      </c>
      <c r="AB4" t="s">
        <v>112</v>
      </c>
      <c r="AC4" t="s">
        <v>112</v>
      </c>
      <c r="AD4" t="s">
        <v>302</v>
      </c>
      <c r="AE4" t="s">
        <v>112</v>
      </c>
      <c r="AF4" t="s">
        <v>112</v>
      </c>
      <c r="AG4" t="s">
        <v>112</v>
      </c>
      <c r="AH4" t="s">
        <v>112</v>
      </c>
      <c r="AI4" t="s">
        <v>112</v>
      </c>
      <c r="AJ4" t="s">
        <v>112</v>
      </c>
      <c r="AK4" t="s">
        <v>112</v>
      </c>
      <c r="AL4" t="s">
        <v>112</v>
      </c>
      <c r="AM4" t="s">
        <v>112</v>
      </c>
      <c r="AN4" t="s">
        <v>226</v>
      </c>
      <c r="AO4" t="s">
        <v>187</v>
      </c>
      <c r="AP4" t="s">
        <v>112</v>
      </c>
      <c r="AQ4" t="s">
        <v>112</v>
      </c>
      <c r="AR4" t="s">
        <v>167</v>
      </c>
      <c r="AS4" t="s">
        <v>148</v>
      </c>
    </row>
    <row r="5" spans="1:45">
      <c r="A5" t="str">
        <f>IF(手动输入表!$F5="","",手动输入表!$F5)</f>
        <v>铁矿石</v>
      </c>
      <c r="B5" t="s">
        <v>681</v>
      </c>
      <c r="C5" t="s">
        <v>641</v>
      </c>
      <c r="D5" t="s">
        <v>129</v>
      </c>
      <c r="E5" t="s">
        <v>129</v>
      </c>
      <c r="F5" t="s">
        <v>129</v>
      </c>
      <c r="G5" t="s">
        <v>129</v>
      </c>
      <c r="H5" t="s">
        <v>129</v>
      </c>
      <c r="I5" t="s">
        <v>129</v>
      </c>
      <c r="J5" t="s">
        <v>556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511</v>
      </c>
      <c r="R5" t="s">
        <v>129</v>
      </c>
      <c r="S5" t="s">
        <v>129</v>
      </c>
      <c r="T5" t="s">
        <v>457</v>
      </c>
      <c r="U5" t="s">
        <v>439</v>
      </c>
      <c r="V5" t="s">
        <v>421</v>
      </c>
      <c r="W5" t="s">
        <v>403</v>
      </c>
      <c r="X5" t="s">
        <v>129</v>
      </c>
      <c r="Y5" t="s">
        <v>385</v>
      </c>
      <c r="Z5" t="s">
        <v>129</v>
      </c>
      <c r="AA5" t="s">
        <v>359</v>
      </c>
      <c r="AB5" t="s">
        <v>129</v>
      </c>
      <c r="AC5" t="s">
        <v>129</v>
      </c>
      <c r="AD5" t="s">
        <v>303</v>
      </c>
      <c r="AE5" t="s">
        <v>129</v>
      </c>
      <c r="AF5" t="s">
        <v>129</v>
      </c>
      <c r="AG5" t="s">
        <v>129</v>
      </c>
      <c r="AH5" t="s">
        <v>129</v>
      </c>
      <c r="AI5" t="s">
        <v>129</v>
      </c>
      <c r="AJ5" t="s">
        <v>129</v>
      </c>
      <c r="AK5" t="s">
        <v>129</v>
      </c>
      <c r="AL5" t="s">
        <v>129</v>
      </c>
      <c r="AM5" t="s">
        <v>129</v>
      </c>
      <c r="AN5" t="s">
        <v>227</v>
      </c>
      <c r="AO5" t="s">
        <v>188</v>
      </c>
      <c r="AP5" t="s">
        <v>129</v>
      </c>
      <c r="AQ5" t="s">
        <v>129</v>
      </c>
      <c r="AR5" t="s">
        <v>168</v>
      </c>
      <c r="AS5" t="s">
        <v>149</v>
      </c>
    </row>
    <row r="6" spans="1:45">
      <c r="A6" t="str">
        <f>IF(手动输入表!$F6="","",手动输入表!$F6)</f>
        <v>螺纹钢</v>
      </c>
      <c r="B6" t="s">
        <v>682</v>
      </c>
      <c r="C6" t="s">
        <v>642</v>
      </c>
      <c r="D6" t="s">
        <v>113</v>
      </c>
      <c r="E6" t="s">
        <v>113</v>
      </c>
      <c r="F6" t="s">
        <v>113</v>
      </c>
      <c r="G6" t="s">
        <v>113</v>
      </c>
      <c r="H6" t="s">
        <v>113</v>
      </c>
      <c r="I6" t="s">
        <v>113</v>
      </c>
      <c r="J6" t="s">
        <v>557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512</v>
      </c>
      <c r="R6" t="s">
        <v>113</v>
      </c>
      <c r="S6" t="s">
        <v>113</v>
      </c>
      <c r="T6" t="s">
        <v>458</v>
      </c>
      <c r="U6" t="s">
        <v>440</v>
      </c>
      <c r="V6" t="s">
        <v>422</v>
      </c>
      <c r="W6" t="s">
        <v>404</v>
      </c>
      <c r="X6" t="s">
        <v>113</v>
      </c>
      <c r="Y6" t="s">
        <v>386</v>
      </c>
      <c r="Z6" t="s">
        <v>113</v>
      </c>
      <c r="AA6" t="s">
        <v>360</v>
      </c>
      <c r="AB6" t="s">
        <v>113</v>
      </c>
      <c r="AC6" t="s">
        <v>113</v>
      </c>
      <c r="AD6" t="s">
        <v>304</v>
      </c>
      <c r="AE6" t="s">
        <v>113</v>
      </c>
      <c r="AF6" t="s">
        <v>113</v>
      </c>
      <c r="AG6" t="s">
        <v>113</v>
      </c>
      <c r="AH6" t="s">
        <v>113</v>
      </c>
      <c r="AI6" t="s">
        <v>113</v>
      </c>
      <c r="AJ6" t="s">
        <v>113</v>
      </c>
      <c r="AK6" t="s">
        <v>113</v>
      </c>
      <c r="AL6" t="s">
        <v>113</v>
      </c>
      <c r="AM6" t="s">
        <v>113</v>
      </c>
      <c r="AN6" t="s">
        <v>228</v>
      </c>
      <c r="AO6" t="s">
        <v>189</v>
      </c>
      <c r="AP6" t="s">
        <v>113</v>
      </c>
      <c r="AQ6" t="s">
        <v>113</v>
      </c>
      <c r="AR6" t="s">
        <v>169</v>
      </c>
      <c r="AS6" t="s">
        <v>150</v>
      </c>
    </row>
    <row r="7" spans="1:45">
      <c r="A7" t="str">
        <f>IF(手动输入表!$F7="","",手动输入表!$F7)</f>
        <v>热卷</v>
      </c>
      <c r="B7" t="s">
        <v>682</v>
      </c>
      <c r="C7" t="s">
        <v>642</v>
      </c>
      <c r="D7" t="s">
        <v>113</v>
      </c>
      <c r="E7" t="s">
        <v>113</v>
      </c>
      <c r="F7" t="s">
        <v>113</v>
      </c>
      <c r="G7" t="s">
        <v>113</v>
      </c>
      <c r="H7" t="s">
        <v>113</v>
      </c>
      <c r="I7" t="s">
        <v>113</v>
      </c>
      <c r="J7" t="s">
        <v>557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512</v>
      </c>
      <c r="R7" t="s">
        <v>113</v>
      </c>
      <c r="S7" t="s">
        <v>113</v>
      </c>
      <c r="T7" t="s">
        <v>458</v>
      </c>
      <c r="U7" t="s">
        <v>440</v>
      </c>
      <c r="V7" t="s">
        <v>422</v>
      </c>
      <c r="W7" t="s">
        <v>404</v>
      </c>
      <c r="X7" t="s">
        <v>113</v>
      </c>
      <c r="Y7" t="s">
        <v>386</v>
      </c>
      <c r="Z7" t="s">
        <v>113</v>
      </c>
      <c r="AA7" t="s">
        <v>360</v>
      </c>
      <c r="AB7" t="s">
        <v>113</v>
      </c>
      <c r="AC7" t="s">
        <v>113</v>
      </c>
      <c r="AD7" t="s">
        <v>304</v>
      </c>
      <c r="AE7" t="s">
        <v>113</v>
      </c>
      <c r="AF7" t="s">
        <v>113</v>
      </c>
      <c r="AG7" t="s">
        <v>113</v>
      </c>
      <c r="AH7" t="s">
        <v>113</v>
      </c>
      <c r="AI7" t="s">
        <v>113</v>
      </c>
      <c r="AJ7" t="s">
        <v>113</v>
      </c>
      <c r="AK7" t="s">
        <v>113</v>
      </c>
      <c r="AL7" t="s">
        <v>113</v>
      </c>
      <c r="AM7" t="s">
        <v>113</v>
      </c>
      <c r="AN7" t="s">
        <v>228</v>
      </c>
      <c r="AO7" t="s">
        <v>189</v>
      </c>
      <c r="AP7" t="s">
        <v>113</v>
      </c>
      <c r="AQ7" t="s">
        <v>113</v>
      </c>
      <c r="AR7" t="s">
        <v>169</v>
      </c>
      <c r="AS7" t="s">
        <v>150</v>
      </c>
    </row>
    <row r="8" spans="1:45">
      <c r="A8" t="str">
        <f>IF(手动输入表!$F8="","",手动输入表!$F8)</f>
        <v>天胶</v>
      </c>
      <c r="B8" t="s">
        <v>682</v>
      </c>
      <c r="C8" t="s">
        <v>642</v>
      </c>
      <c r="D8" t="s">
        <v>113</v>
      </c>
      <c r="E8" t="s">
        <v>113</v>
      </c>
      <c r="F8" t="s">
        <v>113</v>
      </c>
      <c r="G8" t="s">
        <v>113</v>
      </c>
      <c r="H8" t="s">
        <v>113</v>
      </c>
      <c r="I8" t="s">
        <v>113</v>
      </c>
      <c r="J8" t="s">
        <v>557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512</v>
      </c>
      <c r="R8" t="s">
        <v>113</v>
      </c>
      <c r="S8" t="s">
        <v>113</v>
      </c>
      <c r="T8" t="s">
        <v>458</v>
      </c>
      <c r="U8" t="s">
        <v>440</v>
      </c>
      <c r="V8" t="s">
        <v>422</v>
      </c>
      <c r="W8" t="s">
        <v>404</v>
      </c>
      <c r="X8" t="s">
        <v>113</v>
      </c>
      <c r="Y8" t="s">
        <v>386</v>
      </c>
      <c r="Z8" t="s">
        <v>113</v>
      </c>
      <c r="AA8" t="s">
        <v>360</v>
      </c>
      <c r="AB8" t="s">
        <v>113</v>
      </c>
      <c r="AC8" t="s">
        <v>113</v>
      </c>
      <c r="AD8" t="s">
        <v>304</v>
      </c>
      <c r="AE8" t="s">
        <v>113</v>
      </c>
      <c r="AF8" t="s">
        <v>113</v>
      </c>
      <c r="AG8" t="s">
        <v>113</v>
      </c>
      <c r="AH8" t="s">
        <v>113</v>
      </c>
      <c r="AI8" t="s">
        <v>113</v>
      </c>
      <c r="AJ8" t="s">
        <v>113</v>
      </c>
      <c r="AK8" t="s">
        <v>113</v>
      </c>
      <c r="AL8" t="s">
        <v>113</v>
      </c>
      <c r="AM8" t="s">
        <v>113</v>
      </c>
      <c r="AN8" t="s">
        <v>228</v>
      </c>
      <c r="AO8" t="s">
        <v>189</v>
      </c>
      <c r="AP8" t="s">
        <v>113</v>
      </c>
      <c r="AQ8" t="s">
        <v>113</v>
      </c>
      <c r="AR8" t="s">
        <v>169</v>
      </c>
      <c r="AS8" t="s">
        <v>150</v>
      </c>
    </row>
    <row r="9" spans="1:45">
      <c r="A9" t="str">
        <f>IF(手动输入表!$F9="","",手动输入表!$F9)</f>
        <v>玻璃</v>
      </c>
      <c r="B9" t="s">
        <v>683</v>
      </c>
      <c r="C9" t="s">
        <v>643</v>
      </c>
      <c r="D9" t="s">
        <v>117</v>
      </c>
      <c r="E9" t="s">
        <v>117</v>
      </c>
      <c r="F9" t="s">
        <v>117</v>
      </c>
      <c r="G9" t="s">
        <v>117</v>
      </c>
      <c r="H9" t="s">
        <v>117</v>
      </c>
      <c r="I9" t="s">
        <v>117</v>
      </c>
      <c r="J9" t="s">
        <v>558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513</v>
      </c>
      <c r="R9" t="s">
        <v>117</v>
      </c>
      <c r="S9" t="s">
        <v>117</v>
      </c>
      <c r="T9" t="s">
        <v>459</v>
      </c>
      <c r="U9" t="s">
        <v>441</v>
      </c>
      <c r="V9" t="s">
        <v>423</v>
      </c>
      <c r="W9" t="s">
        <v>405</v>
      </c>
      <c r="X9" t="s">
        <v>117</v>
      </c>
      <c r="Y9" t="s">
        <v>387</v>
      </c>
      <c r="Z9" t="s">
        <v>117</v>
      </c>
      <c r="AA9" t="s">
        <v>361</v>
      </c>
      <c r="AB9" t="s">
        <v>117</v>
      </c>
      <c r="AC9" t="s">
        <v>117</v>
      </c>
      <c r="AD9" t="s">
        <v>305</v>
      </c>
      <c r="AE9" t="s">
        <v>117</v>
      </c>
      <c r="AF9" t="s">
        <v>117</v>
      </c>
      <c r="AG9" t="s">
        <v>117</v>
      </c>
      <c r="AH9" t="s">
        <v>117</v>
      </c>
      <c r="AI9" t="s">
        <v>117</v>
      </c>
      <c r="AJ9" t="s">
        <v>117</v>
      </c>
      <c r="AK9" t="s">
        <v>117</v>
      </c>
      <c r="AL9" t="s">
        <v>117</v>
      </c>
      <c r="AM9" t="s">
        <v>117</v>
      </c>
      <c r="AN9" t="s">
        <v>229</v>
      </c>
      <c r="AO9" t="s">
        <v>190</v>
      </c>
      <c r="AP9" t="s">
        <v>117</v>
      </c>
      <c r="AQ9" t="s">
        <v>117</v>
      </c>
      <c r="AR9" t="s">
        <v>170</v>
      </c>
      <c r="AS9" t="s">
        <v>151</v>
      </c>
    </row>
    <row r="10" spans="1:45">
      <c r="A10" t="str">
        <f>IF(手动输入表!$F10="","",手动输入表!$F10)</f>
        <v>PVC</v>
      </c>
      <c r="B10" t="s">
        <v>684</v>
      </c>
      <c r="C10" t="s">
        <v>644</v>
      </c>
      <c r="D10" t="s">
        <v>124</v>
      </c>
      <c r="E10" t="s">
        <v>124</v>
      </c>
      <c r="F10" t="s">
        <v>124</v>
      </c>
      <c r="G10" t="s">
        <v>124</v>
      </c>
      <c r="H10" t="s">
        <v>124</v>
      </c>
      <c r="I10" t="s">
        <v>124</v>
      </c>
      <c r="J10" t="s">
        <v>559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514</v>
      </c>
      <c r="R10" t="s">
        <v>124</v>
      </c>
      <c r="S10" t="s">
        <v>124</v>
      </c>
      <c r="T10" t="s">
        <v>460</v>
      </c>
      <c r="U10" t="s">
        <v>442</v>
      </c>
      <c r="V10" t="s">
        <v>424</v>
      </c>
      <c r="W10" t="s">
        <v>406</v>
      </c>
      <c r="X10" t="s">
        <v>124</v>
      </c>
      <c r="Y10" t="s">
        <v>388</v>
      </c>
      <c r="Z10" t="s">
        <v>124</v>
      </c>
      <c r="AA10" t="s">
        <v>362</v>
      </c>
      <c r="AB10" t="s">
        <v>124</v>
      </c>
      <c r="AC10" t="s">
        <v>124</v>
      </c>
      <c r="AD10" t="s">
        <v>306</v>
      </c>
      <c r="AE10" t="s">
        <v>124</v>
      </c>
      <c r="AF10" t="s">
        <v>124</v>
      </c>
      <c r="AG10" t="s">
        <v>124</v>
      </c>
      <c r="AH10" t="s">
        <v>124</v>
      </c>
      <c r="AI10" t="s">
        <v>124</v>
      </c>
      <c r="AJ10" t="s">
        <v>124</v>
      </c>
      <c r="AK10" t="s">
        <v>124</v>
      </c>
      <c r="AL10" t="s">
        <v>124</v>
      </c>
      <c r="AM10" t="s">
        <v>124</v>
      </c>
      <c r="AN10" t="s">
        <v>230</v>
      </c>
      <c r="AO10" t="s">
        <v>191</v>
      </c>
      <c r="AP10" t="s">
        <v>124</v>
      </c>
      <c r="AQ10" t="s">
        <v>124</v>
      </c>
      <c r="AR10" t="s">
        <v>171</v>
      </c>
      <c r="AS10" t="s">
        <v>152</v>
      </c>
    </row>
    <row r="11" spans="1:45">
      <c r="A11" t="str">
        <f>IF(手动输入表!$F11="","",手动输入表!$F11)</f>
        <v>LLDPE</v>
      </c>
      <c r="B11" t="s">
        <v>685</v>
      </c>
      <c r="C11" t="s">
        <v>645</v>
      </c>
      <c r="D11" t="s">
        <v>118</v>
      </c>
      <c r="E11" t="s">
        <v>118</v>
      </c>
      <c r="F11" t="s">
        <v>118</v>
      </c>
      <c r="G11" t="s">
        <v>118</v>
      </c>
      <c r="H11" t="s">
        <v>118</v>
      </c>
      <c r="I11" t="s">
        <v>118</v>
      </c>
      <c r="J11" t="s">
        <v>560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515</v>
      </c>
      <c r="R11" t="s">
        <v>118</v>
      </c>
      <c r="S11" t="s">
        <v>118</v>
      </c>
      <c r="T11" t="s">
        <v>461</v>
      </c>
      <c r="U11" t="s">
        <v>443</v>
      </c>
      <c r="V11" t="s">
        <v>425</v>
      </c>
      <c r="W11" t="s">
        <v>407</v>
      </c>
      <c r="X11" t="s">
        <v>118</v>
      </c>
      <c r="Y11" t="s">
        <v>389</v>
      </c>
      <c r="Z11" t="s">
        <v>118</v>
      </c>
      <c r="AA11" t="s">
        <v>363</v>
      </c>
      <c r="AB11" t="s">
        <v>118</v>
      </c>
      <c r="AC11" t="s">
        <v>118</v>
      </c>
      <c r="AD11" t="s">
        <v>307</v>
      </c>
      <c r="AE11" t="s">
        <v>118</v>
      </c>
      <c r="AF11" t="s">
        <v>118</v>
      </c>
      <c r="AG11" t="s">
        <v>118</v>
      </c>
      <c r="AH11" t="s">
        <v>118</v>
      </c>
      <c r="AI11" t="s">
        <v>118</v>
      </c>
      <c r="AJ11" t="s">
        <v>118</v>
      </c>
      <c r="AK11" t="s">
        <v>118</v>
      </c>
      <c r="AL11" t="s">
        <v>118</v>
      </c>
      <c r="AM11" t="s">
        <v>118</v>
      </c>
      <c r="AN11" t="s">
        <v>231</v>
      </c>
      <c r="AO11" t="s">
        <v>192</v>
      </c>
      <c r="AP11" t="s">
        <v>118</v>
      </c>
      <c r="AQ11" t="s">
        <v>118</v>
      </c>
      <c r="AR11" t="s">
        <v>172</v>
      </c>
      <c r="AS11" t="s">
        <v>153</v>
      </c>
    </row>
    <row r="12" spans="1:45">
      <c r="A12" t="str">
        <f>IF(手动输入表!$F12="","",手动输入表!$F12)</f>
        <v>PP</v>
      </c>
      <c r="B12" t="s">
        <v>684</v>
      </c>
      <c r="C12" t="s">
        <v>644</v>
      </c>
      <c r="D12" t="s">
        <v>124</v>
      </c>
      <c r="E12" t="s">
        <v>124</v>
      </c>
      <c r="F12" t="s">
        <v>124</v>
      </c>
      <c r="G12" t="s">
        <v>124</v>
      </c>
      <c r="H12" t="s">
        <v>124</v>
      </c>
      <c r="I12" t="s">
        <v>124</v>
      </c>
      <c r="J12" t="s">
        <v>559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514</v>
      </c>
      <c r="R12" t="s">
        <v>124</v>
      </c>
      <c r="S12" t="s">
        <v>124</v>
      </c>
      <c r="T12" t="s">
        <v>460</v>
      </c>
      <c r="U12" t="s">
        <v>442</v>
      </c>
      <c r="V12" t="s">
        <v>424</v>
      </c>
      <c r="W12" t="s">
        <v>406</v>
      </c>
      <c r="X12" t="s">
        <v>124</v>
      </c>
      <c r="Y12" t="s">
        <v>388</v>
      </c>
      <c r="Z12" t="s">
        <v>124</v>
      </c>
      <c r="AA12" t="s">
        <v>362</v>
      </c>
      <c r="AB12" t="s">
        <v>124</v>
      </c>
      <c r="AC12" t="s">
        <v>124</v>
      </c>
      <c r="AD12" t="s">
        <v>306</v>
      </c>
      <c r="AE12" t="s">
        <v>124</v>
      </c>
      <c r="AF12" t="s">
        <v>124</v>
      </c>
      <c r="AG12" t="s">
        <v>124</v>
      </c>
      <c r="AH12" t="s">
        <v>124</v>
      </c>
      <c r="AI12" t="s">
        <v>124</v>
      </c>
      <c r="AJ12" t="s">
        <v>124</v>
      </c>
      <c r="AK12" t="s">
        <v>124</v>
      </c>
      <c r="AL12" t="s">
        <v>124</v>
      </c>
      <c r="AM12" t="s">
        <v>124</v>
      </c>
      <c r="AN12" t="s">
        <v>230</v>
      </c>
      <c r="AO12" t="s">
        <v>191</v>
      </c>
      <c r="AP12" t="s">
        <v>124</v>
      </c>
      <c r="AQ12" t="s">
        <v>124</v>
      </c>
      <c r="AR12" t="s">
        <v>171</v>
      </c>
      <c r="AS12" t="s">
        <v>152</v>
      </c>
    </row>
    <row r="13" spans="1:45">
      <c r="A13" t="str">
        <f>IF(手动输入表!$F13="","",手动输入表!$F13)</f>
        <v>PTA</v>
      </c>
      <c r="B13" t="s">
        <v>684</v>
      </c>
      <c r="C13" t="s">
        <v>644</v>
      </c>
      <c r="D13" t="s">
        <v>124</v>
      </c>
      <c r="E13" t="s">
        <v>124</v>
      </c>
      <c r="F13" t="s">
        <v>124</v>
      </c>
      <c r="G13" t="s">
        <v>124</v>
      </c>
      <c r="H13" t="s">
        <v>124</v>
      </c>
      <c r="I13" t="s">
        <v>124</v>
      </c>
      <c r="J13" t="s">
        <v>559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514</v>
      </c>
      <c r="R13" t="s">
        <v>124</v>
      </c>
      <c r="S13" t="s">
        <v>124</v>
      </c>
      <c r="T13" t="s">
        <v>460</v>
      </c>
      <c r="U13" t="s">
        <v>442</v>
      </c>
      <c r="V13" t="s">
        <v>424</v>
      </c>
      <c r="W13" t="s">
        <v>406</v>
      </c>
      <c r="X13" t="s">
        <v>124</v>
      </c>
      <c r="Y13" t="s">
        <v>388</v>
      </c>
      <c r="Z13" t="s">
        <v>124</v>
      </c>
      <c r="AA13" t="s">
        <v>362</v>
      </c>
      <c r="AB13" t="s">
        <v>124</v>
      </c>
      <c r="AC13" t="s">
        <v>124</v>
      </c>
      <c r="AD13" t="s">
        <v>306</v>
      </c>
      <c r="AE13" t="s">
        <v>124</v>
      </c>
      <c r="AF13" t="s">
        <v>124</v>
      </c>
      <c r="AG13" t="s">
        <v>124</v>
      </c>
      <c r="AH13" t="s">
        <v>124</v>
      </c>
      <c r="AI13" t="s">
        <v>124</v>
      </c>
      <c r="AJ13" t="s">
        <v>124</v>
      </c>
      <c r="AK13" t="s">
        <v>124</v>
      </c>
      <c r="AL13" t="s">
        <v>124</v>
      </c>
      <c r="AM13" t="s">
        <v>124</v>
      </c>
      <c r="AN13" t="s">
        <v>230</v>
      </c>
      <c r="AO13" t="s">
        <v>191</v>
      </c>
      <c r="AP13" t="s">
        <v>124</v>
      </c>
      <c r="AQ13" t="s">
        <v>124</v>
      </c>
      <c r="AR13" t="s">
        <v>171</v>
      </c>
      <c r="AS13" t="s">
        <v>152</v>
      </c>
    </row>
    <row r="14" spans="1:45">
      <c r="A14" t="str">
        <f>IF(手动输入表!$F14="","",手动输入表!$F14)</f>
        <v>沥青</v>
      </c>
      <c r="B14" t="s">
        <v>684</v>
      </c>
      <c r="C14" t="s">
        <v>644</v>
      </c>
      <c r="D14" t="s">
        <v>124</v>
      </c>
      <c r="E14" t="s">
        <v>124</v>
      </c>
      <c r="F14" t="s">
        <v>124</v>
      </c>
      <c r="G14" t="s">
        <v>124</v>
      </c>
      <c r="H14" t="s">
        <v>124</v>
      </c>
      <c r="I14" t="s">
        <v>124</v>
      </c>
      <c r="J14" t="s">
        <v>559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514</v>
      </c>
      <c r="R14" t="s">
        <v>124</v>
      </c>
      <c r="S14" t="s">
        <v>124</v>
      </c>
      <c r="T14" t="s">
        <v>460</v>
      </c>
      <c r="U14" t="s">
        <v>442</v>
      </c>
      <c r="V14" t="s">
        <v>424</v>
      </c>
      <c r="W14" t="s">
        <v>406</v>
      </c>
      <c r="X14" t="s">
        <v>124</v>
      </c>
      <c r="Y14" t="s">
        <v>388</v>
      </c>
      <c r="Z14" t="s">
        <v>124</v>
      </c>
      <c r="AA14" t="s">
        <v>362</v>
      </c>
      <c r="AB14" t="s">
        <v>124</v>
      </c>
      <c r="AC14" t="s">
        <v>124</v>
      </c>
      <c r="AD14" t="s">
        <v>306</v>
      </c>
      <c r="AE14" t="s">
        <v>124</v>
      </c>
      <c r="AF14" t="s">
        <v>124</v>
      </c>
      <c r="AG14" t="s">
        <v>124</v>
      </c>
      <c r="AH14" t="s">
        <v>124</v>
      </c>
      <c r="AI14" t="s">
        <v>124</v>
      </c>
      <c r="AJ14" t="s">
        <v>124</v>
      </c>
      <c r="AK14" t="s">
        <v>124</v>
      </c>
      <c r="AL14" t="s">
        <v>124</v>
      </c>
      <c r="AM14" t="s">
        <v>124</v>
      </c>
      <c r="AN14" t="s">
        <v>230</v>
      </c>
      <c r="AO14" t="s">
        <v>191</v>
      </c>
      <c r="AP14" t="s">
        <v>124</v>
      </c>
      <c r="AQ14" t="s">
        <v>124</v>
      </c>
      <c r="AR14" t="s">
        <v>171</v>
      </c>
      <c r="AS14" t="s">
        <v>152</v>
      </c>
    </row>
    <row r="15" spans="1:45">
      <c r="A15" t="str">
        <f>IF(手动输入表!$F15="","",手动输入表!$F15)</f>
        <v>甲醇</v>
      </c>
      <c r="B15" t="s">
        <v>686</v>
      </c>
      <c r="C15" t="s">
        <v>646</v>
      </c>
      <c r="D15" t="s">
        <v>110</v>
      </c>
      <c r="E15" t="s">
        <v>110</v>
      </c>
      <c r="F15" t="s">
        <v>110</v>
      </c>
      <c r="G15" t="s">
        <v>110</v>
      </c>
      <c r="H15" t="s">
        <v>110</v>
      </c>
      <c r="I15" t="s">
        <v>110</v>
      </c>
      <c r="J15" t="s">
        <v>561</v>
      </c>
      <c r="K15" t="s">
        <v>110</v>
      </c>
      <c r="L15" t="s">
        <v>110</v>
      </c>
      <c r="M15" t="s">
        <v>110</v>
      </c>
      <c r="N15" t="s">
        <v>110</v>
      </c>
      <c r="O15" t="s">
        <v>184</v>
      </c>
      <c r="P15" t="s">
        <v>184</v>
      </c>
      <c r="Q15" t="s">
        <v>516</v>
      </c>
      <c r="R15" t="s">
        <v>184</v>
      </c>
      <c r="S15" t="s">
        <v>184</v>
      </c>
      <c r="T15" t="s">
        <v>462</v>
      </c>
      <c r="U15" t="s">
        <v>444</v>
      </c>
      <c r="V15" t="s">
        <v>426</v>
      </c>
      <c r="W15" t="s">
        <v>408</v>
      </c>
      <c r="X15" t="s">
        <v>110</v>
      </c>
      <c r="Y15" t="s">
        <v>390</v>
      </c>
      <c r="Z15" t="s">
        <v>381</v>
      </c>
      <c r="AA15" t="s">
        <v>364</v>
      </c>
      <c r="AB15" t="s">
        <v>110</v>
      </c>
      <c r="AC15" t="s">
        <v>110</v>
      </c>
      <c r="AD15" t="s">
        <v>308</v>
      </c>
      <c r="AE15" t="s">
        <v>110</v>
      </c>
      <c r="AF15" t="s">
        <v>110</v>
      </c>
      <c r="AG15" t="s">
        <v>110</v>
      </c>
      <c r="AH15" t="s">
        <v>110</v>
      </c>
      <c r="AI15" t="s">
        <v>110</v>
      </c>
      <c r="AJ15" t="s">
        <v>110</v>
      </c>
      <c r="AK15" t="s">
        <v>110</v>
      </c>
      <c r="AL15" t="s">
        <v>110</v>
      </c>
      <c r="AM15" t="s">
        <v>110</v>
      </c>
      <c r="AN15" t="s">
        <v>232</v>
      </c>
      <c r="AO15" t="s">
        <v>193</v>
      </c>
      <c r="AP15" t="s">
        <v>184</v>
      </c>
      <c r="AQ15" t="s">
        <v>184</v>
      </c>
      <c r="AR15" t="s">
        <v>173</v>
      </c>
      <c r="AS15" t="s">
        <v>154</v>
      </c>
    </row>
    <row r="16" spans="1:45">
      <c r="A16" t="str">
        <f>IF(手动输入表!$F16="","",手动输入表!$F16)</f>
        <v>豆一</v>
      </c>
      <c r="B16" t="s">
        <v>687</v>
      </c>
      <c r="C16" t="s">
        <v>647</v>
      </c>
      <c r="D16" t="s">
        <v>114</v>
      </c>
      <c r="E16" t="s">
        <v>114</v>
      </c>
      <c r="F16" t="s">
        <v>114</v>
      </c>
      <c r="G16" t="s">
        <v>114</v>
      </c>
      <c r="H16" t="s">
        <v>114</v>
      </c>
      <c r="I16" t="s">
        <v>114</v>
      </c>
      <c r="J16" t="s">
        <v>562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517</v>
      </c>
      <c r="R16" t="s">
        <v>114</v>
      </c>
      <c r="S16" t="s">
        <v>114</v>
      </c>
      <c r="T16" t="s">
        <v>463</v>
      </c>
      <c r="U16" t="s">
        <v>445</v>
      </c>
      <c r="V16" t="s">
        <v>427</v>
      </c>
      <c r="W16" t="s">
        <v>409</v>
      </c>
      <c r="X16" t="s">
        <v>114</v>
      </c>
      <c r="Y16" t="s">
        <v>391</v>
      </c>
      <c r="Z16" t="s">
        <v>114</v>
      </c>
      <c r="AA16" t="s">
        <v>365</v>
      </c>
      <c r="AB16" t="s">
        <v>114</v>
      </c>
      <c r="AC16" t="s">
        <v>114</v>
      </c>
      <c r="AD16" t="s">
        <v>309</v>
      </c>
      <c r="AE16" t="s">
        <v>114</v>
      </c>
      <c r="AF16" t="s">
        <v>114</v>
      </c>
      <c r="AG16" t="s">
        <v>114</v>
      </c>
      <c r="AH16" t="s">
        <v>114</v>
      </c>
      <c r="AI16" t="s">
        <v>114</v>
      </c>
      <c r="AJ16" t="s">
        <v>114</v>
      </c>
      <c r="AK16" t="s">
        <v>114</v>
      </c>
      <c r="AL16" t="s">
        <v>114</v>
      </c>
      <c r="AM16" t="s">
        <v>114</v>
      </c>
      <c r="AN16" t="s">
        <v>233</v>
      </c>
      <c r="AO16" t="s">
        <v>194</v>
      </c>
      <c r="AP16" t="s">
        <v>114</v>
      </c>
      <c r="AQ16" t="s">
        <v>114</v>
      </c>
      <c r="AR16" t="s">
        <v>174</v>
      </c>
      <c r="AS16" t="s">
        <v>155</v>
      </c>
    </row>
    <row r="17" spans="1:45">
      <c r="A17" t="str">
        <f>IF(手动输入表!$F17="","",手动输入表!$F17)</f>
        <v>豆粕</v>
      </c>
      <c r="B17" t="s">
        <v>688</v>
      </c>
      <c r="C17" t="s">
        <v>648</v>
      </c>
      <c r="D17" t="s">
        <v>618</v>
      </c>
      <c r="E17" t="s">
        <v>618</v>
      </c>
      <c r="F17" t="s">
        <v>618</v>
      </c>
      <c r="G17" t="s">
        <v>123</v>
      </c>
      <c r="H17" t="s">
        <v>120</v>
      </c>
      <c r="I17" t="s">
        <v>120</v>
      </c>
      <c r="J17" t="s">
        <v>563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518</v>
      </c>
      <c r="R17" t="s">
        <v>120</v>
      </c>
      <c r="S17" t="s">
        <v>120</v>
      </c>
      <c r="T17" t="s">
        <v>464</v>
      </c>
      <c r="U17" t="s">
        <v>446</v>
      </c>
      <c r="V17" t="s">
        <v>428</v>
      </c>
      <c r="W17" t="s">
        <v>410</v>
      </c>
      <c r="X17" t="s">
        <v>120</v>
      </c>
      <c r="Y17" t="s">
        <v>392</v>
      </c>
      <c r="Z17" t="s">
        <v>120</v>
      </c>
      <c r="AA17" t="s">
        <v>366</v>
      </c>
      <c r="AB17" t="s">
        <v>120</v>
      </c>
      <c r="AC17" t="s">
        <v>120</v>
      </c>
      <c r="AD17" t="s">
        <v>310</v>
      </c>
      <c r="AE17" t="s">
        <v>120</v>
      </c>
      <c r="AF17" t="s">
        <v>120</v>
      </c>
      <c r="AG17" t="s">
        <v>120</v>
      </c>
      <c r="AH17" t="s">
        <v>120</v>
      </c>
      <c r="AI17" t="s">
        <v>120</v>
      </c>
      <c r="AJ17" t="s">
        <v>120</v>
      </c>
      <c r="AK17" t="s">
        <v>120</v>
      </c>
      <c r="AL17" t="s">
        <v>120</v>
      </c>
      <c r="AM17" t="s">
        <v>120</v>
      </c>
      <c r="AN17" t="s">
        <v>234</v>
      </c>
      <c r="AO17" t="s">
        <v>195</v>
      </c>
      <c r="AP17" t="s">
        <v>120</v>
      </c>
      <c r="AQ17" t="s">
        <v>120</v>
      </c>
      <c r="AR17" t="s">
        <v>175</v>
      </c>
      <c r="AS17" t="s">
        <v>156</v>
      </c>
    </row>
    <row r="18" spans="1:45">
      <c r="A18" t="str">
        <f>IF(手动输入表!$F18="","",手动输入表!$F18)</f>
        <v>菜粕</v>
      </c>
      <c r="B18" t="s">
        <v>689</v>
      </c>
      <c r="C18" t="s">
        <v>649</v>
      </c>
      <c r="D18" t="s">
        <v>529</v>
      </c>
      <c r="E18" t="s">
        <v>529</v>
      </c>
      <c r="F18" t="s">
        <v>529</v>
      </c>
      <c r="G18" t="s">
        <v>529</v>
      </c>
      <c r="H18" t="s">
        <v>529</v>
      </c>
      <c r="I18" t="s">
        <v>529</v>
      </c>
      <c r="J18" t="s">
        <v>564</v>
      </c>
      <c r="K18" t="s">
        <v>529</v>
      </c>
      <c r="L18" t="s">
        <v>529</v>
      </c>
      <c r="M18" t="s">
        <v>529</v>
      </c>
      <c r="N18" t="s">
        <v>527</v>
      </c>
      <c r="O18" t="s">
        <v>527</v>
      </c>
      <c r="P18" t="s">
        <v>120</v>
      </c>
      <c r="Q18" t="s">
        <v>518</v>
      </c>
      <c r="R18" t="s">
        <v>120</v>
      </c>
      <c r="S18" t="s">
        <v>120</v>
      </c>
      <c r="T18" t="s">
        <v>464</v>
      </c>
      <c r="U18" t="s">
        <v>446</v>
      </c>
      <c r="V18" t="s">
        <v>428</v>
      </c>
      <c r="W18" t="s">
        <v>410</v>
      </c>
      <c r="X18" t="s">
        <v>120</v>
      </c>
      <c r="Y18" t="s">
        <v>392</v>
      </c>
      <c r="Z18" t="s">
        <v>120</v>
      </c>
      <c r="AA18" t="s">
        <v>366</v>
      </c>
      <c r="AB18" t="s">
        <v>120</v>
      </c>
      <c r="AC18" t="s">
        <v>120</v>
      </c>
      <c r="AD18" t="s">
        <v>310</v>
      </c>
      <c r="AE18" t="s">
        <v>120</v>
      </c>
      <c r="AF18" t="s">
        <v>120</v>
      </c>
      <c r="AG18" t="s">
        <v>120</v>
      </c>
      <c r="AH18" t="s">
        <v>120</v>
      </c>
      <c r="AI18" t="s">
        <v>120</v>
      </c>
      <c r="AJ18" t="s">
        <v>120</v>
      </c>
      <c r="AK18" t="s">
        <v>120</v>
      </c>
      <c r="AL18" t="s">
        <v>120</v>
      </c>
      <c r="AM18" t="s">
        <v>120</v>
      </c>
      <c r="AN18" t="s">
        <v>234</v>
      </c>
      <c r="AO18" t="s">
        <v>195</v>
      </c>
      <c r="AP18" t="s">
        <v>120</v>
      </c>
      <c r="AQ18" t="s">
        <v>120</v>
      </c>
      <c r="AR18" t="s">
        <v>175</v>
      </c>
      <c r="AS18" t="s">
        <v>156</v>
      </c>
    </row>
    <row r="19" spans="1:45">
      <c r="A19" t="str">
        <f>IF(手动输入表!$F19="","",手动输入表!$F19)</f>
        <v>玉米</v>
      </c>
      <c r="B19" t="s">
        <v>690</v>
      </c>
      <c r="C19" t="s">
        <v>650</v>
      </c>
      <c r="D19" t="s">
        <v>121</v>
      </c>
      <c r="E19" t="s">
        <v>121</v>
      </c>
      <c r="F19" t="s">
        <v>121</v>
      </c>
      <c r="G19" t="s">
        <v>121</v>
      </c>
      <c r="H19" t="s">
        <v>121</v>
      </c>
      <c r="I19" t="s">
        <v>121</v>
      </c>
      <c r="J19" t="s">
        <v>565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519</v>
      </c>
      <c r="R19" t="s">
        <v>121</v>
      </c>
      <c r="S19" t="s">
        <v>121</v>
      </c>
      <c r="T19" t="s">
        <v>465</v>
      </c>
      <c r="U19" t="s">
        <v>447</v>
      </c>
      <c r="V19" t="s">
        <v>429</v>
      </c>
      <c r="W19" t="s">
        <v>411</v>
      </c>
      <c r="X19" t="s">
        <v>121</v>
      </c>
      <c r="Y19" t="s">
        <v>393</v>
      </c>
      <c r="Z19" t="s">
        <v>121</v>
      </c>
      <c r="AA19" t="s">
        <v>367</v>
      </c>
      <c r="AB19" t="s">
        <v>121</v>
      </c>
      <c r="AC19" t="s">
        <v>121</v>
      </c>
      <c r="AD19" t="s">
        <v>311</v>
      </c>
      <c r="AE19" t="s">
        <v>121</v>
      </c>
      <c r="AF19" t="s">
        <v>121</v>
      </c>
      <c r="AG19" t="s">
        <v>121</v>
      </c>
      <c r="AH19" t="s">
        <v>121</v>
      </c>
      <c r="AI19" t="s">
        <v>121</v>
      </c>
      <c r="AJ19" t="s">
        <v>121</v>
      </c>
      <c r="AK19" t="s">
        <v>121</v>
      </c>
      <c r="AL19" t="s">
        <v>121</v>
      </c>
      <c r="AM19" t="s">
        <v>121</v>
      </c>
      <c r="AN19" t="s">
        <v>235</v>
      </c>
      <c r="AO19" t="s">
        <v>196</v>
      </c>
      <c r="AP19" t="s">
        <v>121</v>
      </c>
      <c r="AQ19" t="s">
        <v>121</v>
      </c>
      <c r="AR19" t="s">
        <v>176</v>
      </c>
      <c r="AS19" t="s">
        <v>157</v>
      </c>
    </row>
    <row r="20" spans="1:45">
      <c r="A20" t="str">
        <f>IF(手动输入表!$F20="","",手动输入表!$F20)</f>
        <v>淀粉</v>
      </c>
      <c r="B20" t="s">
        <v>691</v>
      </c>
      <c r="C20" t="s">
        <v>651</v>
      </c>
      <c r="D20" t="s">
        <v>111</v>
      </c>
      <c r="E20" t="s">
        <v>111</v>
      </c>
      <c r="F20" t="s">
        <v>111</v>
      </c>
      <c r="G20" t="s">
        <v>111</v>
      </c>
      <c r="H20" t="s">
        <v>111</v>
      </c>
      <c r="I20" t="s">
        <v>111</v>
      </c>
      <c r="J20" t="s">
        <v>566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520</v>
      </c>
      <c r="R20" t="s">
        <v>111</v>
      </c>
      <c r="S20" t="s">
        <v>111</v>
      </c>
      <c r="T20" t="s">
        <v>466</v>
      </c>
      <c r="U20" t="s">
        <v>448</v>
      </c>
      <c r="V20" t="s">
        <v>430</v>
      </c>
      <c r="W20" t="s">
        <v>412</v>
      </c>
      <c r="X20" t="s">
        <v>111</v>
      </c>
      <c r="Y20" t="s">
        <v>394</v>
      </c>
      <c r="Z20" t="s">
        <v>111</v>
      </c>
      <c r="AA20" t="s">
        <v>368</v>
      </c>
      <c r="AB20" t="s">
        <v>111</v>
      </c>
      <c r="AC20" t="s">
        <v>111</v>
      </c>
      <c r="AD20" t="s">
        <v>312</v>
      </c>
      <c r="AE20" t="s">
        <v>111</v>
      </c>
      <c r="AF20" t="s">
        <v>111</v>
      </c>
      <c r="AG20" t="s">
        <v>111</v>
      </c>
      <c r="AH20" t="s">
        <v>111</v>
      </c>
      <c r="AI20" t="s">
        <v>111</v>
      </c>
      <c r="AJ20" t="s">
        <v>111</v>
      </c>
      <c r="AK20" t="s">
        <v>111</v>
      </c>
      <c r="AL20" t="s">
        <v>111</v>
      </c>
      <c r="AM20" t="s">
        <v>111</v>
      </c>
      <c r="AN20" t="s">
        <v>236</v>
      </c>
      <c r="AO20" t="s">
        <v>197</v>
      </c>
      <c r="AP20" t="s">
        <v>111</v>
      </c>
      <c r="AQ20" t="s">
        <v>111</v>
      </c>
      <c r="AR20" t="s">
        <v>177</v>
      </c>
      <c r="AS20" t="s">
        <v>158</v>
      </c>
    </row>
    <row r="21" spans="1:45">
      <c r="A21" t="str">
        <f>IF(手动输入表!$F21="","",手动输入表!$F21)</f>
        <v>豆油</v>
      </c>
      <c r="B21" t="s">
        <v>678</v>
      </c>
      <c r="C21" t="s">
        <v>638</v>
      </c>
      <c r="D21" t="s">
        <v>123</v>
      </c>
      <c r="E21" t="s">
        <v>123</v>
      </c>
      <c r="F21" t="s">
        <v>123</v>
      </c>
      <c r="G21" t="s">
        <v>123</v>
      </c>
      <c r="H21" t="s">
        <v>123</v>
      </c>
      <c r="I21" t="s">
        <v>123</v>
      </c>
      <c r="J21" t="s">
        <v>553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508</v>
      </c>
      <c r="R21" t="s">
        <v>123</v>
      </c>
      <c r="S21" t="s">
        <v>123</v>
      </c>
      <c r="T21" t="s">
        <v>454</v>
      </c>
      <c r="U21" t="s">
        <v>436</v>
      </c>
      <c r="V21" t="s">
        <v>418</v>
      </c>
      <c r="W21" t="s">
        <v>400</v>
      </c>
      <c r="X21" t="s">
        <v>123</v>
      </c>
      <c r="Y21" t="s">
        <v>382</v>
      </c>
      <c r="Z21" t="s">
        <v>123</v>
      </c>
      <c r="AA21" t="s">
        <v>356</v>
      </c>
      <c r="AB21" t="s">
        <v>123</v>
      </c>
      <c r="AC21" t="s">
        <v>123</v>
      </c>
      <c r="AD21" t="s">
        <v>313</v>
      </c>
      <c r="AE21" t="s">
        <v>123</v>
      </c>
      <c r="AF21" t="s">
        <v>123</v>
      </c>
      <c r="AG21" t="s">
        <v>123</v>
      </c>
      <c r="AH21" t="s">
        <v>123</v>
      </c>
      <c r="AI21" t="s">
        <v>123</v>
      </c>
      <c r="AJ21" t="s">
        <v>123</v>
      </c>
      <c r="AK21" t="s">
        <v>123</v>
      </c>
      <c r="AL21" t="s">
        <v>123</v>
      </c>
      <c r="AM21" t="s">
        <v>123</v>
      </c>
      <c r="AN21" t="s">
        <v>237</v>
      </c>
      <c r="AO21" t="s">
        <v>198</v>
      </c>
      <c r="AP21" t="s">
        <v>123</v>
      </c>
      <c r="AQ21" t="s">
        <v>123</v>
      </c>
      <c r="AR21" t="s">
        <v>178</v>
      </c>
      <c r="AS21" t="s">
        <v>159</v>
      </c>
    </row>
    <row r="22" spans="1:45">
      <c r="A22" t="str">
        <f>IF(手动输入表!$F22="","",手动输入表!$F22)</f>
        <v>棕榈油</v>
      </c>
      <c r="B22" t="s">
        <v>692</v>
      </c>
      <c r="C22" t="s">
        <v>652</v>
      </c>
      <c r="D22" t="s">
        <v>119</v>
      </c>
      <c r="E22" t="s">
        <v>119</v>
      </c>
      <c r="F22" t="s">
        <v>119</v>
      </c>
      <c r="G22" t="s">
        <v>119</v>
      </c>
      <c r="H22" t="s">
        <v>119</v>
      </c>
      <c r="I22" t="s">
        <v>119</v>
      </c>
      <c r="J22" t="s">
        <v>567</v>
      </c>
      <c r="K22" t="s">
        <v>119</v>
      </c>
      <c r="L22" t="s">
        <v>119</v>
      </c>
      <c r="M22" t="s">
        <v>119</v>
      </c>
      <c r="N22" t="s">
        <v>119</v>
      </c>
      <c r="O22" t="s">
        <v>119</v>
      </c>
      <c r="P22" t="s">
        <v>119</v>
      </c>
      <c r="Q22" t="s">
        <v>521</v>
      </c>
      <c r="R22" t="s">
        <v>119</v>
      </c>
      <c r="S22" t="s">
        <v>119</v>
      </c>
      <c r="T22" t="s">
        <v>467</v>
      </c>
      <c r="U22" t="s">
        <v>449</v>
      </c>
      <c r="V22" t="s">
        <v>431</v>
      </c>
      <c r="W22" t="s">
        <v>413</v>
      </c>
      <c r="X22" t="s">
        <v>119</v>
      </c>
      <c r="Y22" t="s">
        <v>395</v>
      </c>
      <c r="Z22" t="s">
        <v>119</v>
      </c>
      <c r="AA22" t="s">
        <v>369</v>
      </c>
      <c r="AB22" t="s">
        <v>119</v>
      </c>
      <c r="AC22" t="s">
        <v>119</v>
      </c>
      <c r="AD22" t="s">
        <v>300</v>
      </c>
      <c r="AE22" t="s">
        <v>119</v>
      </c>
      <c r="AF22" t="s">
        <v>119</v>
      </c>
      <c r="AG22" t="s">
        <v>116</v>
      </c>
      <c r="AH22" t="s">
        <v>116</v>
      </c>
      <c r="AI22" t="s">
        <v>116</v>
      </c>
      <c r="AJ22" t="s">
        <v>116</v>
      </c>
      <c r="AK22" t="s">
        <v>116</v>
      </c>
      <c r="AL22" t="s">
        <v>116</v>
      </c>
      <c r="AM22" t="s">
        <v>116</v>
      </c>
      <c r="AN22" t="s">
        <v>238</v>
      </c>
      <c r="AO22" t="s">
        <v>199</v>
      </c>
      <c r="AP22" t="s">
        <v>116</v>
      </c>
      <c r="AQ22" t="s">
        <v>116</v>
      </c>
      <c r="AR22" t="s">
        <v>179</v>
      </c>
      <c r="AS22" t="s">
        <v>160</v>
      </c>
    </row>
    <row r="23" spans="1:45">
      <c r="A23" t="str">
        <f>IF(手动输入表!$F23="","",手动输入表!$F23)</f>
        <v>菜油</v>
      </c>
      <c r="B23" t="s">
        <v>693</v>
      </c>
      <c r="C23" t="s">
        <v>653</v>
      </c>
      <c r="D23" t="s">
        <v>127</v>
      </c>
      <c r="E23" t="s">
        <v>127</v>
      </c>
      <c r="F23" t="s">
        <v>127</v>
      </c>
      <c r="G23" t="s">
        <v>127</v>
      </c>
      <c r="H23" t="s">
        <v>127</v>
      </c>
      <c r="I23" t="s">
        <v>127</v>
      </c>
      <c r="J23" t="s">
        <v>568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522</v>
      </c>
      <c r="R23" t="s">
        <v>127</v>
      </c>
      <c r="S23" t="s">
        <v>127</v>
      </c>
      <c r="T23" t="s">
        <v>468</v>
      </c>
      <c r="U23" t="s">
        <v>450</v>
      </c>
      <c r="V23" t="s">
        <v>432</v>
      </c>
      <c r="W23" t="s">
        <v>414</v>
      </c>
      <c r="X23" t="s">
        <v>127</v>
      </c>
      <c r="Y23" t="s">
        <v>396</v>
      </c>
      <c r="Z23" t="s">
        <v>127</v>
      </c>
      <c r="AA23" t="s">
        <v>370</v>
      </c>
      <c r="AB23" t="s">
        <v>127</v>
      </c>
      <c r="AC23" t="s">
        <v>127</v>
      </c>
      <c r="AD23" t="s">
        <v>314</v>
      </c>
      <c r="AE23" t="s">
        <v>127</v>
      </c>
      <c r="AF23" t="s">
        <v>127</v>
      </c>
      <c r="AG23" t="s">
        <v>127</v>
      </c>
      <c r="AH23" t="s">
        <v>127</v>
      </c>
      <c r="AI23" t="s">
        <v>127</v>
      </c>
      <c r="AJ23" t="s">
        <v>127</v>
      </c>
      <c r="AK23" t="s">
        <v>127</v>
      </c>
      <c r="AL23" t="s">
        <v>127</v>
      </c>
      <c r="AM23" t="s">
        <v>127</v>
      </c>
      <c r="AN23" t="s">
        <v>239</v>
      </c>
      <c r="AO23" t="s">
        <v>200</v>
      </c>
      <c r="AP23" t="s">
        <v>127</v>
      </c>
      <c r="AQ23" t="s">
        <v>127</v>
      </c>
      <c r="AR23" t="s">
        <v>180</v>
      </c>
      <c r="AS23" t="s">
        <v>161</v>
      </c>
    </row>
    <row r="24" spans="1:45">
      <c r="A24" t="str">
        <f>IF(手动输入表!$F24="","",手动输入表!$F24)</f>
        <v>白糖</v>
      </c>
      <c r="B24" t="s">
        <v>694</v>
      </c>
      <c r="C24" t="s">
        <v>654</v>
      </c>
      <c r="D24" t="s">
        <v>243</v>
      </c>
      <c r="E24" t="s">
        <v>243</v>
      </c>
      <c r="F24" t="s">
        <v>243</v>
      </c>
      <c r="G24" t="s">
        <v>243</v>
      </c>
      <c r="H24" t="s">
        <v>243</v>
      </c>
      <c r="I24" t="s">
        <v>243</v>
      </c>
      <c r="J24" t="s">
        <v>569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523</v>
      </c>
      <c r="R24" t="s">
        <v>243</v>
      </c>
      <c r="S24" t="s">
        <v>243</v>
      </c>
      <c r="T24" t="s">
        <v>469</v>
      </c>
      <c r="U24" t="s">
        <v>451</v>
      </c>
      <c r="V24" t="s">
        <v>433</v>
      </c>
      <c r="W24" t="s">
        <v>415</v>
      </c>
      <c r="X24" t="s">
        <v>243</v>
      </c>
      <c r="Y24" t="s">
        <v>397</v>
      </c>
      <c r="Z24" t="s">
        <v>243</v>
      </c>
      <c r="AA24" t="s">
        <v>371</v>
      </c>
      <c r="AB24" t="s">
        <v>243</v>
      </c>
      <c r="AC24" t="s">
        <v>243</v>
      </c>
      <c r="AD24" t="s">
        <v>315</v>
      </c>
      <c r="AE24" t="s">
        <v>243</v>
      </c>
      <c r="AF24" t="s">
        <v>243</v>
      </c>
      <c r="AG24" t="s">
        <v>243</v>
      </c>
      <c r="AH24" t="s">
        <v>243</v>
      </c>
      <c r="AI24" t="s">
        <v>243</v>
      </c>
      <c r="AJ24" t="s">
        <v>243</v>
      </c>
      <c r="AK24" t="s">
        <v>243</v>
      </c>
      <c r="AL24" t="s">
        <v>243</v>
      </c>
      <c r="AM24" t="s">
        <v>243</v>
      </c>
      <c r="AN24" t="s">
        <v>240</v>
      </c>
      <c r="AO24" t="s">
        <v>201</v>
      </c>
      <c r="AP24" t="s">
        <v>115</v>
      </c>
      <c r="AQ24" t="s">
        <v>115</v>
      </c>
      <c r="AR24" t="s">
        <v>181</v>
      </c>
      <c r="AS24" t="s">
        <v>162</v>
      </c>
    </row>
    <row r="25" spans="1:45">
      <c r="A25" t="str">
        <f>IF(手动输入表!$F25="","",手动输入表!$F25)</f>
        <v>棉花</v>
      </c>
      <c r="B25" t="s">
        <v>695</v>
      </c>
      <c r="C25" t="s">
        <v>655</v>
      </c>
      <c r="D25" t="s">
        <v>125</v>
      </c>
      <c r="E25" t="s">
        <v>125</v>
      </c>
      <c r="F25" t="s">
        <v>125</v>
      </c>
      <c r="G25" t="s">
        <v>125</v>
      </c>
      <c r="H25" t="s">
        <v>125</v>
      </c>
      <c r="I25" t="s">
        <v>125</v>
      </c>
      <c r="J25" t="s">
        <v>570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524</v>
      </c>
      <c r="R25" t="s">
        <v>125</v>
      </c>
      <c r="S25" t="s">
        <v>125</v>
      </c>
      <c r="T25" t="s">
        <v>470</v>
      </c>
      <c r="U25" t="s">
        <v>452</v>
      </c>
      <c r="V25" t="s">
        <v>434</v>
      </c>
      <c r="W25" t="s">
        <v>416</v>
      </c>
      <c r="X25" t="s">
        <v>125</v>
      </c>
      <c r="Y25" t="s">
        <v>398</v>
      </c>
      <c r="Z25" t="s">
        <v>125</v>
      </c>
      <c r="AA25" t="s">
        <v>372</v>
      </c>
      <c r="AB25" t="s">
        <v>125</v>
      </c>
      <c r="AC25" t="s">
        <v>125</v>
      </c>
      <c r="AD25" t="s">
        <v>316</v>
      </c>
      <c r="AE25" t="s">
        <v>125</v>
      </c>
      <c r="AF25" t="s">
        <v>125</v>
      </c>
      <c r="AG25" t="s">
        <v>125</v>
      </c>
      <c r="AH25" t="s">
        <v>125</v>
      </c>
      <c r="AI25" t="s">
        <v>125</v>
      </c>
      <c r="AJ25" t="s">
        <v>125</v>
      </c>
      <c r="AK25" t="s">
        <v>125</v>
      </c>
      <c r="AL25" t="s">
        <v>125</v>
      </c>
      <c r="AM25" t="s">
        <v>125</v>
      </c>
      <c r="AN25" t="s">
        <v>241</v>
      </c>
      <c r="AO25" t="s">
        <v>202</v>
      </c>
      <c r="AP25" t="s">
        <v>125</v>
      </c>
      <c r="AQ25" t="s">
        <v>125</v>
      </c>
      <c r="AR25" t="s">
        <v>182</v>
      </c>
      <c r="AS25" t="s">
        <v>163</v>
      </c>
    </row>
    <row r="26" spans="1:45">
      <c r="A26" t="str">
        <f>IF(手动输入表!$F26="","",手动输入表!$F26)</f>
        <v>棉纱</v>
      </c>
      <c r="B26" t="s">
        <v>696</v>
      </c>
      <c r="C26" t="s">
        <v>656</v>
      </c>
      <c r="D26" t="s">
        <v>126</v>
      </c>
      <c r="E26" t="s">
        <v>126</v>
      </c>
      <c r="F26" t="s">
        <v>126</v>
      </c>
      <c r="G26" t="s">
        <v>126</v>
      </c>
      <c r="H26" t="s">
        <v>126</v>
      </c>
      <c r="I26" t="s">
        <v>126</v>
      </c>
      <c r="J26" t="s">
        <v>571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525</v>
      </c>
      <c r="R26" t="s">
        <v>126</v>
      </c>
      <c r="S26" t="s">
        <v>126</v>
      </c>
      <c r="T26" t="s">
        <v>471</v>
      </c>
      <c r="U26" t="s">
        <v>453</v>
      </c>
      <c r="V26" t="s">
        <v>435</v>
      </c>
      <c r="W26" t="s">
        <v>417</v>
      </c>
      <c r="X26" t="s">
        <v>126</v>
      </c>
      <c r="Y26" t="s">
        <v>399</v>
      </c>
      <c r="Z26" t="s">
        <v>126</v>
      </c>
      <c r="AA26" t="s">
        <v>373</v>
      </c>
      <c r="AB26" t="s">
        <v>126</v>
      </c>
      <c r="AC26" t="s">
        <v>126</v>
      </c>
      <c r="AD26" t="s">
        <v>317</v>
      </c>
      <c r="AE26" t="s">
        <v>126</v>
      </c>
      <c r="AF26" t="s">
        <v>126</v>
      </c>
      <c r="AG26" t="s">
        <v>126</v>
      </c>
      <c r="AH26" t="s">
        <v>126</v>
      </c>
      <c r="AI26" t="s">
        <v>126</v>
      </c>
      <c r="AJ26" t="s">
        <v>126</v>
      </c>
      <c r="AK26" t="s">
        <v>126</v>
      </c>
      <c r="AL26" t="s">
        <v>126</v>
      </c>
      <c r="AM26" t="s">
        <v>126</v>
      </c>
      <c r="AN26" t="s">
        <v>242</v>
      </c>
      <c r="AO26" t="s">
        <v>203</v>
      </c>
      <c r="AP26" t="s">
        <v>126</v>
      </c>
      <c r="AQ26" t="s">
        <v>126</v>
      </c>
      <c r="AR26" t="s">
        <v>183</v>
      </c>
      <c r="AS26" t="s">
        <v>164</v>
      </c>
    </row>
    <row r="27" spans="1:45">
      <c r="A27" t="str">
        <f>IF(手动输入表!$F27="","",手动输入表!$F27)</f>
        <v>铜</v>
      </c>
      <c r="B27" t="s">
        <v>682</v>
      </c>
      <c r="C27" t="s">
        <v>642</v>
      </c>
      <c r="D27" t="s">
        <v>113</v>
      </c>
      <c r="E27" t="s">
        <v>113</v>
      </c>
      <c r="F27" t="s">
        <v>113</v>
      </c>
      <c r="G27" t="s">
        <v>113</v>
      </c>
      <c r="H27" t="s">
        <v>113</v>
      </c>
      <c r="I27" t="s">
        <v>113</v>
      </c>
      <c r="J27" t="s">
        <v>557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512</v>
      </c>
      <c r="R27" t="s">
        <v>113</v>
      </c>
      <c r="S27" t="s">
        <v>113</v>
      </c>
      <c r="T27" t="s">
        <v>458</v>
      </c>
      <c r="U27" t="s">
        <v>440</v>
      </c>
      <c r="V27" t="s">
        <v>422</v>
      </c>
      <c r="W27" t="s">
        <v>404</v>
      </c>
      <c r="X27" t="s">
        <v>113</v>
      </c>
      <c r="Y27" t="s">
        <v>386</v>
      </c>
      <c r="Z27" t="s">
        <v>113</v>
      </c>
      <c r="AA27" t="s">
        <v>360</v>
      </c>
      <c r="AB27" t="s">
        <v>113</v>
      </c>
      <c r="AC27" t="s">
        <v>113</v>
      </c>
      <c r="AD27" t="s">
        <v>304</v>
      </c>
      <c r="AE27" t="s">
        <v>113</v>
      </c>
      <c r="AF27" t="s">
        <v>113</v>
      </c>
      <c r="AG27" t="s">
        <v>113</v>
      </c>
      <c r="AH27" t="s">
        <v>113</v>
      </c>
      <c r="AI27" t="s">
        <v>113</v>
      </c>
      <c r="AJ27" t="s">
        <v>113</v>
      </c>
      <c r="AK27" t="s">
        <v>113</v>
      </c>
      <c r="AL27" t="s">
        <v>113</v>
      </c>
      <c r="AM27" t="s">
        <v>113</v>
      </c>
      <c r="AN27" t="s">
        <v>228</v>
      </c>
      <c r="AO27" t="s">
        <v>189</v>
      </c>
      <c r="AP27" t="s">
        <v>113</v>
      </c>
      <c r="AQ27" t="s">
        <v>113</v>
      </c>
      <c r="AR27" t="s">
        <v>169</v>
      </c>
      <c r="AS27" t="s">
        <v>150</v>
      </c>
    </row>
    <row r="28" spans="1:45">
      <c r="A28" t="str">
        <f>IF(手动输入表!$F28="","",手动输入表!$F28)</f>
        <v>铝</v>
      </c>
      <c r="B28" t="s">
        <v>682</v>
      </c>
      <c r="C28" t="s">
        <v>642</v>
      </c>
      <c r="D28" t="s">
        <v>113</v>
      </c>
      <c r="E28" t="s">
        <v>113</v>
      </c>
      <c r="F28" t="s">
        <v>113</v>
      </c>
      <c r="G28" t="s">
        <v>113</v>
      </c>
      <c r="H28" t="s">
        <v>113</v>
      </c>
      <c r="I28" t="s">
        <v>113</v>
      </c>
      <c r="J28" t="s">
        <v>557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512</v>
      </c>
      <c r="R28" t="s">
        <v>113</v>
      </c>
      <c r="S28" t="s">
        <v>113</v>
      </c>
      <c r="T28" t="s">
        <v>458</v>
      </c>
      <c r="U28" t="s">
        <v>440</v>
      </c>
      <c r="V28" t="s">
        <v>422</v>
      </c>
      <c r="W28" t="s">
        <v>404</v>
      </c>
      <c r="X28" t="s">
        <v>113</v>
      </c>
      <c r="Y28" t="s">
        <v>386</v>
      </c>
      <c r="Z28" t="s">
        <v>113</v>
      </c>
      <c r="AA28" t="s">
        <v>360</v>
      </c>
      <c r="AB28" t="s">
        <v>113</v>
      </c>
      <c r="AC28" t="s">
        <v>113</v>
      </c>
      <c r="AD28" t="s">
        <v>304</v>
      </c>
      <c r="AE28" t="s">
        <v>113</v>
      </c>
      <c r="AF28" t="s">
        <v>113</v>
      </c>
      <c r="AG28" t="s">
        <v>113</v>
      </c>
      <c r="AH28" t="s">
        <v>113</v>
      </c>
      <c r="AI28" t="s">
        <v>113</v>
      </c>
      <c r="AJ28" t="s">
        <v>113</v>
      </c>
      <c r="AK28" t="s">
        <v>113</v>
      </c>
      <c r="AL28" t="s">
        <v>113</v>
      </c>
      <c r="AM28" t="s">
        <v>113</v>
      </c>
      <c r="AN28" t="s">
        <v>228</v>
      </c>
      <c r="AO28" t="s">
        <v>189</v>
      </c>
      <c r="AP28" t="s">
        <v>113</v>
      </c>
      <c r="AQ28" t="s">
        <v>113</v>
      </c>
      <c r="AR28" t="s">
        <v>169</v>
      </c>
      <c r="AS28" t="s">
        <v>150</v>
      </c>
    </row>
    <row r="29" spans="1:45">
      <c r="A29" t="str">
        <f>IF(手动输入表!$F29="","",手动输入表!$F29)</f>
        <v>锌</v>
      </c>
      <c r="B29" t="s">
        <v>682</v>
      </c>
      <c r="C29" t="s">
        <v>642</v>
      </c>
      <c r="D29" t="s">
        <v>113</v>
      </c>
      <c r="E29" t="s">
        <v>113</v>
      </c>
      <c r="F29" t="s">
        <v>113</v>
      </c>
      <c r="G29" t="s">
        <v>113</v>
      </c>
      <c r="H29" t="s">
        <v>113</v>
      </c>
      <c r="I29" t="s">
        <v>113</v>
      </c>
      <c r="J29" t="s">
        <v>557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512</v>
      </c>
      <c r="R29" t="s">
        <v>113</v>
      </c>
      <c r="S29" t="s">
        <v>113</v>
      </c>
      <c r="T29" t="s">
        <v>458</v>
      </c>
      <c r="U29" t="s">
        <v>440</v>
      </c>
      <c r="V29" t="s">
        <v>422</v>
      </c>
      <c r="W29" t="s">
        <v>404</v>
      </c>
      <c r="X29" t="s">
        <v>113</v>
      </c>
      <c r="Y29" t="s">
        <v>386</v>
      </c>
      <c r="Z29" t="s">
        <v>113</v>
      </c>
      <c r="AA29" t="s">
        <v>360</v>
      </c>
      <c r="AB29" t="s">
        <v>113</v>
      </c>
      <c r="AC29" t="s">
        <v>113</v>
      </c>
      <c r="AD29" t="s">
        <v>304</v>
      </c>
      <c r="AE29" t="s">
        <v>113</v>
      </c>
      <c r="AF29" t="s">
        <v>113</v>
      </c>
      <c r="AG29" t="s">
        <v>113</v>
      </c>
      <c r="AH29" t="s">
        <v>113</v>
      </c>
      <c r="AI29" t="s">
        <v>113</v>
      </c>
      <c r="AJ29" t="s">
        <v>113</v>
      </c>
      <c r="AK29" t="s">
        <v>113</v>
      </c>
      <c r="AL29" t="s">
        <v>113</v>
      </c>
      <c r="AM29" t="s">
        <v>113</v>
      </c>
      <c r="AN29" t="s">
        <v>228</v>
      </c>
      <c r="AO29" t="s">
        <v>189</v>
      </c>
      <c r="AP29" t="s">
        <v>113</v>
      </c>
      <c r="AQ29" t="s">
        <v>113</v>
      </c>
      <c r="AR29" t="s">
        <v>169</v>
      </c>
      <c r="AS29" t="s">
        <v>150</v>
      </c>
    </row>
    <row r="30" spans="1:45">
      <c r="A30" t="str">
        <f>IF(手动输入表!$F30="","",手动输入表!$F30)</f>
        <v>镍</v>
      </c>
      <c r="B30" t="s">
        <v>682</v>
      </c>
      <c r="C30" t="s">
        <v>642</v>
      </c>
      <c r="D30" t="s">
        <v>113</v>
      </c>
      <c r="E30" t="s">
        <v>113</v>
      </c>
      <c r="F30" t="s">
        <v>113</v>
      </c>
      <c r="G30" t="s">
        <v>113</v>
      </c>
      <c r="H30" t="s">
        <v>113</v>
      </c>
      <c r="I30" t="s">
        <v>113</v>
      </c>
      <c r="J30" t="s">
        <v>557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512</v>
      </c>
      <c r="R30" t="s">
        <v>113</v>
      </c>
      <c r="S30" t="s">
        <v>113</v>
      </c>
      <c r="T30" t="s">
        <v>458</v>
      </c>
      <c r="U30" t="s">
        <v>440</v>
      </c>
      <c r="V30" t="s">
        <v>422</v>
      </c>
      <c r="W30" t="s">
        <v>404</v>
      </c>
      <c r="X30" t="s">
        <v>113</v>
      </c>
      <c r="Y30" t="s">
        <v>386</v>
      </c>
      <c r="Z30" t="s">
        <v>113</v>
      </c>
      <c r="AA30" t="s">
        <v>360</v>
      </c>
      <c r="AB30" t="s">
        <v>113</v>
      </c>
      <c r="AC30" t="s">
        <v>113</v>
      </c>
      <c r="AD30" t="s">
        <v>304</v>
      </c>
      <c r="AE30" t="s">
        <v>113</v>
      </c>
      <c r="AF30" t="s">
        <v>113</v>
      </c>
      <c r="AG30" t="s">
        <v>113</v>
      </c>
      <c r="AH30" t="s">
        <v>113</v>
      </c>
      <c r="AI30" t="s">
        <v>113</v>
      </c>
      <c r="AJ30" t="s">
        <v>113</v>
      </c>
      <c r="AK30" t="s">
        <v>113</v>
      </c>
      <c r="AL30" t="s">
        <v>113</v>
      </c>
      <c r="AM30" t="s">
        <v>113</v>
      </c>
      <c r="AN30" t="s">
        <v>228</v>
      </c>
      <c r="AO30" t="s">
        <v>189</v>
      </c>
      <c r="AP30" t="s">
        <v>113</v>
      </c>
      <c r="AQ30" t="s">
        <v>113</v>
      </c>
      <c r="AR30" t="s">
        <v>169</v>
      </c>
      <c r="AS30" t="s">
        <v>150</v>
      </c>
    </row>
    <row r="31" spans="1:45">
      <c r="A31" t="str">
        <f>IF(手动输入表!$F31="","",手动输入表!$F31)</f>
        <v/>
      </c>
    </row>
    <row r="32" spans="1:4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33"/>
  <sheetViews>
    <sheetView workbookViewId="0">
      <selection activeCell="J22" sqref="J22"/>
    </sheetView>
  </sheetViews>
  <sheetFormatPr defaultRowHeight="13.5"/>
  <sheetData>
    <row r="1" spans="1:45">
      <c r="A1" t="s">
        <v>140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43140</v>
      </c>
      <c r="AK1" s="11">
        <v>43139</v>
      </c>
      <c r="AL1" s="11">
        <v>43138</v>
      </c>
      <c r="AM1" s="11">
        <v>43137</v>
      </c>
      <c r="AN1" s="11">
        <v>43136</v>
      </c>
      <c r="AO1" s="11">
        <v>43133</v>
      </c>
      <c r="AP1" s="11">
        <v>43132</v>
      </c>
      <c r="AQ1" s="11">
        <v>43131</v>
      </c>
      <c r="AR1" s="11">
        <v>43130</v>
      </c>
      <c r="AS1" s="11">
        <v>43129</v>
      </c>
    </row>
    <row r="2" spans="1:4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</row>
    <row r="11" spans="1:4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</row>
    <row r="12" spans="1:4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</row>
    <row r="13" spans="1:4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</row>
    <row r="14" spans="1:4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</row>
    <row r="15" spans="1:45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-260</v>
      </c>
      <c r="P15">
        <v>-260</v>
      </c>
      <c r="Q15">
        <v>-260</v>
      </c>
      <c r="R15">
        <v>-260</v>
      </c>
      <c r="S15">
        <v>-260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-260</v>
      </c>
      <c r="AQ15">
        <v>-260</v>
      </c>
      <c r="AR15">
        <v>-260</v>
      </c>
      <c r="AS15">
        <v>-200</v>
      </c>
    </row>
    <row r="16" spans="1:4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</row>
    <row r="17" spans="1:45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-30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</row>
    <row r="18" spans="1:4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</row>
    <row r="19" spans="1:4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</row>
    <row r="20" spans="1:4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</row>
    <row r="21" spans="1:4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</row>
    <row r="22" spans="1:45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</row>
    <row r="23" spans="1:4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</row>
    <row r="24" spans="1:4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</row>
    <row r="25" spans="1:4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</row>
    <row r="26" spans="1:4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</row>
    <row r="27" spans="1:4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</row>
    <row r="28" spans="1:4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</row>
    <row r="29" spans="1:4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</row>
    <row r="30" spans="1:4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</row>
    <row r="31" spans="1:45">
      <c r="A31" t="str">
        <f>IF(手动输入表!$F31="","",手动输入表!$F31)</f>
        <v/>
      </c>
    </row>
    <row r="32" spans="1:4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2018-04-09T08:39:22Z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