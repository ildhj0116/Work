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"/>
    </mc:Choice>
  </mc:AlternateContent>
  <bookViews>
    <workbookView xWindow="0" yWindow="270" windowWidth="21840" windowHeight="12570"/>
  </bookViews>
  <sheets>
    <sheet name="输出表格" sheetId="1" r:id="rId1"/>
    <sheet name="手动输入表" sheetId="5" r:id="rId2"/>
    <sheet name="期货数据" sheetId="3" r:id="rId3"/>
    <sheet name="午间现货价格" sheetId="2" r:id="rId4"/>
    <sheet name="收盘现货价格" sheetId="4" r:id="rId5"/>
    <sheet name="排序表" sheetId="9" r:id="rId6"/>
    <sheet name="收盘主力基差" sheetId="11" r:id="rId7"/>
    <sheet name="收盘次主力基差" sheetId="13" r:id="rId8"/>
    <sheet name="午间主力基差" sheetId="10" r:id="rId9"/>
    <sheet name="午间次主力基差" sheetId="12" r:id="rId10"/>
    <sheet name="午间基地" sheetId="14" r:id="rId11"/>
    <sheet name="午间基地升贴水" sheetId="15" r:id="rId12"/>
    <sheet name="收盘基地" sheetId="16" r:id="rId13"/>
    <sheet name="收盘基地升贴水" sheetId="17" r:id="rId14"/>
  </sheets>
  <definedNames>
    <definedName name="t">#REF!</definedName>
  </definedNames>
  <calcPr calcId="152511"/>
  <fileRecoveryPr repairLoad="1"/>
</workbook>
</file>

<file path=xl/calcChain.xml><?xml version="1.0" encoding="utf-8"?>
<calcChain xmlns="http://schemas.openxmlformats.org/spreadsheetml/2006/main">
  <c r="E37" i="3" l="1"/>
  <c r="C2" i="5" l="1"/>
  <c r="A3" i="17" l="1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2" i="16"/>
  <c r="A30" i="15"/>
  <c r="A31" i="15"/>
  <c r="A32" i="15"/>
  <c r="A27" i="15"/>
  <c r="A28" i="15"/>
  <c r="A29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" i="15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2" i="14"/>
  <c r="W9" i="3" l="1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8" i="3"/>
  <c r="A3" i="9" l="1"/>
  <c r="A15" i="9"/>
  <c r="A24" i="9"/>
  <c r="A13" i="9"/>
  <c r="A10" i="9"/>
  <c r="A8" i="9"/>
  <c r="A17" i="9"/>
  <c r="A7" i="9"/>
  <c r="A2" i="9"/>
  <c r="A25" i="9"/>
  <c r="A9" i="9"/>
  <c r="A32" i="9"/>
  <c r="A16" i="9"/>
  <c r="D16" i="9" s="1"/>
  <c r="A31" i="9"/>
  <c r="A23" i="9"/>
  <c r="A30" i="9"/>
  <c r="A22" i="9"/>
  <c r="A14" i="9"/>
  <c r="A6" i="9"/>
  <c r="A18" i="9"/>
  <c r="A33" i="9"/>
  <c r="A21" i="9"/>
  <c r="A5" i="9"/>
  <c r="A28" i="9"/>
  <c r="A20" i="9"/>
  <c r="A12" i="9"/>
  <c r="A4" i="9"/>
  <c r="A26" i="9"/>
  <c r="A29" i="9"/>
  <c r="A27" i="9"/>
  <c r="A19" i="9"/>
  <c r="A11" i="9"/>
  <c r="N18" i="9" l="1"/>
  <c r="O18" i="9"/>
  <c r="E18" i="9"/>
  <c r="I20" i="1" s="1"/>
  <c r="P18" i="9"/>
  <c r="F18" i="9"/>
  <c r="G18" i="9"/>
  <c r="I18" i="9"/>
  <c r="H18" i="9"/>
  <c r="D18" i="9"/>
  <c r="C18" i="9"/>
  <c r="C20" i="1" s="1"/>
  <c r="M18" i="9"/>
  <c r="N4" i="9"/>
  <c r="O4" i="9"/>
  <c r="P4" i="9"/>
  <c r="G4" i="9"/>
  <c r="E4" i="9"/>
  <c r="I6" i="1" s="1"/>
  <c r="I4" i="9"/>
  <c r="D4" i="9"/>
  <c r="F4" i="9"/>
  <c r="M4" i="9"/>
  <c r="H4" i="9"/>
  <c r="C4" i="9"/>
  <c r="E9" i="9"/>
  <c r="I11" i="1" s="1"/>
  <c r="F9" i="9"/>
  <c r="G9" i="9"/>
  <c r="I9" i="9"/>
  <c r="H9" i="9"/>
  <c r="D9" i="9"/>
  <c r="C9" i="9"/>
  <c r="O9" i="9"/>
  <c r="M9" i="9"/>
  <c r="N9" i="9"/>
  <c r="P9" i="9"/>
  <c r="N24" i="9"/>
  <c r="G24" i="9"/>
  <c r="O24" i="9"/>
  <c r="I24" i="9"/>
  <c r="H24" i="9"/>
  <c r="P24" i="9"/>
  <c r="M24" i="9"/>
  <c r="D24" i="9"/>
  <c r="C24" i="9"/>
  <c r="E24" i="9"/>
  <c r="I26" i="1" s="1"/>
  <c r="F24" i="9"/>
  <c r="N12" i="9"/>
  <c r="O12" i="9"/>
  <c r="P12" i="9"/>
  <c r="G12" i="9"/>
  <c r="M12" i="9"/>
  <c r="H12" i="9"/>
  <c r="C12" i="9"/>
  <c r="I12" i="9"/>
  <c r="D12" i="9"/>
  <c r="E12" i="9"/>
  <c r="I14" i="1" s="1"/>
  <c r="F12" i="9"/>
  <c r="N14" i="9"/>
  <c r="O14" i="9"/>
  <c r="E14" i="9"/>
  <c r="I16" i="1" s="1"/>
  <c r="P14" i="9"/>
  <c r="F14" i="9"/>
  <c r="I14" i="9"/>
  <c r="H14" i="9"/>
  <c r="C14" i="9"/>
  <c r="D14" i="9"/>
  <c r="G14" i="9"/>
  <c r="M14" i="9"/>
  <c r="E25" i="9"/>
  <c r="I27" i="1" s="1"/>
  <c r="F25" i="9"/>
  <c r="G25" i="9"/>
  <c r="I25" i="9"/>
  <c r="H25" i="9"/>
  <c r="D25" i="9"/>
  <c r="C25" i="9"/>
  <c r="N25" i="9"/>
  <c r="M25" i="9"/>
  <c r="O25" i="9"/>
  <c r="P25" i="9"/>
  <c r="N20" i="9"/>
  <c r="O20" i="9"/>
  <c r="P20" i="9"/>
  <c r="G20" i="9"/>
  <c r="E20" i="9"/>
  <c r="I22" i="1" s="1"/>
  <c r="D20" i="9"/>
  <c r="C20" i="9"/>
  <c r="F20" i="9"/>
  <c r="I20" i="9"/>
  <c r="M20" i="9"/>
  <c r="H20" i="9"/>
  <c r="N22" i="9"/>
  <c r="O22" i="9"/>
  <c r="E22" i="9"/>
  <c r="I24" i="1" s="1"/>
  <c r="P22" i="9"/>
  <c r="F22" i="9"/>
  <c r="I22" i="9"/>
  <c r="D22" i="9"/>
  <c r="C22" i="9"/>
  <c r="G22" i="9"/>
  <c r="M22" i="9"/>
  <c r="H22" i="9"/>
  <c r="O2" i="9"/>
  <c r="N2" i="9"/>
  <c r="F2" i="9"/>
  <c r="M2" i="9"/>
  <c r="E2" i="9"/>
  <c r="I4" i="1" s="1"/>
  <c r="G2" i="9"/>
  <c r="I2" i="9"/>
  <c r="H2" i="9"/>
  <c r="D2" i="9"/>
  <c r="C2" i="9"/>
  <c r="P2" i="9"/>
  <c r="G3" i="9"/>
  <c r="N3" i="9"/>
  <c r="I3" i="9"/>
  <c r="H3" i="9"/>
  <c r="D3" i="9"/>
  <c r="C3" i="9"/>
  <c r="F3" i="9"/>
  <c r="O3" i="9"/>
  <c r="M3" i="9"/>
  <c r="E3" i="9"/>
  <c r="I5" i="1" s="1"/>
  <c r="P3" i="9"/>
  <c r="N11" i="9"/>
  <c r="D11" i="9"/>
  <c r="F11" i="9"/>
  <c r="O11" i="9"/>
  <c r="M11" i="9"/>
  <c r="E11" i="9"/>
  <c r="I13" i="1" s="1"/>
  <c r="G11" i="9"/>
  <c r="I11" i="9"/>
  <c r="H11" i="9"/>
  <c r="C11" i="9"/>
  <c r="P11" i="9"/>
  <c r="N28" i="9"/>
  <c r="O28" i="9"/>
  <c r="P28" i="9"/>
  <c r="G28" i="9"/>
  <c r="I28" i="9"/>
  <c r="E28" i="9"/>
  <c r="I30" i="1" s="1"/>
  <c r="F28" i="9"/>
  <c r="D28" i="9"/>
  <c r="C28" i="9"/>
  <c r="H28" i="9"/>
  <c r="M28" i="9"/>
  <c r="N30" i="9"/>
  <c r="O30" i="9"/>
  <c r="E30" i="9"/>
  <c r="I32" i="1" s="1"/>
  <c r="P30" i="9"/>
  <c r="F30" i="9"/>
  <c r="C30" i="9"/>
  <c r="G30" i="9"/>
  <c r="H30" i="9"/>
  <c r="M30" i="9"/>
  <c r="I30" i="9"/>
  <c r="D30" i="9"/>
  <c r="G7" i="9"/>
  <c r="I7" i="9"/>
  <c r="H7" i="9"/>
  <c r="D7" i="9"/>
  <c r="C7" i="9"/>
  <c r="E7" i="9"/>
  <c r="I9" i="1" s="1"/>
  <c r="N7" i="9"/>
  <c r="F7" i="9"/>
  <c r="O7" i="9"/>
  <c r="M7" i="9"/>
  <c r="P7" i="9"/>
  <c r="N26" i="9"/>
  <c r="O26" i="9"/>
  <c r="E26" i="9"/>
  <c r="I28" i="1" s="1"/>
  <c r="P26" i="9"/>
  <c r="F26" i="9"/>
  <c r="G26" i="9"/>
  <c r="I26" i="9"/>
  <c r="H26" i="9"/>
  <c r="D26" i="9"/>
  <c r="C26" i="9"/>
  <c r="C28" i="1" s="1"/>
  <c r="M26" i="9"/>
  <c r="N32" i="9"/>
  <c r="G32" i="9"/>
  <c r="O32" i="9"/>
  <c r="I32" i="9"/>
  <c r="H32" i="9"/>
  <c r="P32" i="9"/>
  <c r="D32" i="9"/>
  <c r="E32" i="9"/>
  <c r="I34" i="1" s="1"/>
  <c r="C32" i="9"/>
  <c r="M32" i="9"/>
  <c r="F32" i="9"/>
  <c r="G19" i="9"/>
  <c r="I19" i="9"/>
  <c r="H19" i="9"/>
  <c r="D19" i="9"/>
  <c r="C19" i="9"/>
  <c r="C21" i="1" s="1"/>
  <c r="F19" i="9"/>
  <c r="O19" i="9"/>
  <c r="M19" i="9"/>
  <c r="E19" i="9"/>
  <c r="I21" i="1" s="1"/>
  <c r="N19" i="9"/>
  <c r="P19" i="9"/>
  <c r="E5" i="9"/>
  <c r="I7" i="1" s="1"/>
  <c r="F5" i="9"/>
  <c r="O5" i="9"/>
  <c r="M5" i="9"/>
  <c r="N5" i="9"/>
  <c r="G5" i="9"/>
  <c r="I5" i="9"/>
  <c r="D5" i="9"/>
  <c r="H5" i="9"/>
  <c r="C5" i="9"/>
  <c r="P5" i="9"/>
  <c r="G23" i="9"/>
  <c r="I23" i="9"/>
  <c r="H23" i="9"/>
  <c r="D23" i="9"/>
  <c r="C23" i="9"/>
  <c r="E23" i="9"/>
  <c r="I25" i="1" s="1"/>
  <c r="F23" i="9"/>
  <c r="M23" i="9"/>
  <c r="N23" i="9"/>
  <c r="O23" i="9"/>
  <c r="P23" i="9"/>
  <c r="E17" i="9"/>
  <c r="I19" i="1" s="1"/>
  <c r="F17" i="9"/>
  <c r="G17" i="9"/>
  <c r="I17" i="9"/>
  <c r="H17" i="9"/>
  <c r="D17" i="9"/>
  <c r="C17" i="9"/>
  <c r="C19" i="1" s="1"/>
  <c r="N17" i="9"/>
  <c r="O17" i="9"/>
  <c r="M17" i="9"/>
  <c r="P17" i="9"/>
  <c r="F27" i="9"/>
  <c r="M27" i="9"/>
  <c r="E27" i="9"/>
  <c r="I29" i="1" s="1"/>
  <c r="G27" i="9"/>
  <c r="N27" i="9"/>
  <c r="I27" i="9"/>
  <c r="H27" i="9"/>
  <c r="D27" i="9"/>
  <c r="C27" i="9"/>
  <c r="O27" i="9"/>
  <c r="P27" i="9"/>
  <c r="E21" i="9"/>
  <c r="I23" i="1" s="1"/>
  <c r="F21" i="9"/>
  <c r="N21" i="9"/>
  <c r="M21" i="9"/>
  <c r="G21" i="9"/>
  <c r="C21" i="9"/>
  <c r="O21" i="9"/>
  <c r="H21" i="9"/>
  <c r="P21" i="9"/>
  <c r="I21" i="9"/>
  <c r="D21" i="9"/>
  <c r="G31" i="9"/>
  <c r="I31" i="9"/>
  <c r="H31" i="9"/>
  <c r="D31" i="9"/>
  <c r="C31" i="9"/>
  <c r="N31" i="9"/>
  <c r="F31" i="9"/>
  <c r="M31" i="9"/>
  <c r="E31" i="9"/>
  <c r="I33" i="1" s="1"/>
  <c r="O31" i="9"/>
  <c r="P31" i="9"/>
  <c r="N8" i="9"/>
  <c r="G8" i="9"/>
  <c r="O8" i="9"/>
  <c r="I8" i="9"/>
  <c r="H8" i="9"/>
  <c r="D8" i="9"/>
  <c r="P8" i="9"/>
  <c r="C8" i="9"/>
  <c r="E8" i="9"/>
  <c r="I10" i="1" s="1"/>
  <c r="F8" i="9"/>
  <c r="M8" i="9"/>
  <c r="E29" i="9"/>
  <c r="I31" i="1" s="1"/>
  <c r="F29" i="9"/>
  <c r="N29" i="9"/>
  <c r="M29" i="9"/>
  <c r="P29" i="9"/>
  <c r="H29" i="9"/>
  <c r="O29" i="9"/>
  <c r="I29" i="9"/>
  <c r="D29" i="9"/>
  <c r="C29" i="9"/>
  <c r="G29" i="9"/>
  <c r="E33" i="9"/>
  <c r="I35" i="1" s="1"/>
  <c r="F33" i="9"/>
  <c r="G33" i="9"/>
  <c r="I33" i="9"/>
  <c r="H33" i="9"/>
  <c r="D33" i="9"/>
  <c r="C33" i="9"/>
  <c r="M33" i="9"/>
  <c r="N33" i="9"/>
  <c r="P33" i="9"/>
  <c r="O33" i="9"/>
  <c r="N16" i="9"/>
  <c r="G16" i="9"/>
  <c r="O16" i="9"/>
  <c r="I16" i="9"/>
  <c r="H16" i="9"/>
  <c r="P16" i="9"/>
  <c r="M16" i="9"/>
  <c r="E16" i="9"/>
  <c r="I18" i="1" s="1"/>
  <c r="F16" i="9"/>
  <c r="C16" i="9"/>
  <c r="C18" i="1" s="1"/>
  <c r="N10" i="9"/>
  <c r="O10" i="9"/>
  <c r="E10" i="9"/>
  <c r="I12" i="1" s="1"/>
  <c r="P10" i="9"/>
  <c r="F10" i="9"/>
  <c r="G10" i="9"/>
  <c r="I10" i="9"/>
  <c r="H10" i="9"/>
  <c r="D10" i="9"/>
  <c r="C10" i="9"/>
  <c r="M10" i="9"/>
  <c r="E13" i="9"/>
  <c r="I15" i="1" s="1"/>
  <c r="F13" i="9"/>
  <c r="M13" i="9"/>
  <c r="N13" i="9"/>
  <c r="H13" i="9"/>
  <c r="I13" i="9"/>
  <c r="D13" i="9"/>
  <c r="G13" i="9"/>
  <c r="O13" i="9"/>
  <c r="P13" i="9"/>
  <c r="C13" i="9"/>
  <c r="N6" i="9"/>
  <c r="O6" i="9"/>
  <c r="E6" i="9"/>
  <c r="I8" i="1" s="1"/>
  <c r="P6" i="9"/>
  <c r="F6" i="9"/>
  <c r="C6" i="9"/>
  <c r="G6" i="9"/>
  <c r="I6" i="9"/>
  <c r="D6" i="9"/>
  <c r="M6" i="9"/>
  <c r="H6" i="9"/>
  <c r="G15" i="9"/>
  <c r="I15" i="9"/>
  <c r="H15" i="9"/>
  <c r="D15" i="9"/>
  <c r="C15" i="9"/>
  <c r="F15" i="9"/>
  <c r="O15" i="9"/>
  <c r="M15" i="9"/>
  <c r="E15" i="9"/>
  <c r="I17" i="1" s="1"/>
  <c r="N15" i="9"/>
  <c r="P15" i="9"/>
  <c r="A3" i="5" l="1"/>
  <c r="D3" i="5" l="1"/>
  <c r="C5" i="5"/>
  <c r="C6" i="5"/>
  <c r="C7" i="5"/>
  <c r="C8" i="5"/>
  <c r="C9" i="5"/>
  <c r="C10" i="5"/>
  <c r="D11" i="5"/>
  <c r="D12" i="5"/>
  <c r="C13" i="5"/>
  <c r="C14" i="5"/>
  <c r="C15" i="5"/>
  <c r="C16" i="5"/>
  <c r="D17" i="5"/>
  <c r="C18" i="5"/>
  <c r="D19" i="5"/>
  <c r="D20" i="5"/>
  <c r="C21" i="5"/>
  <c r="C22" i="5"/>
  <c r="C23" i="5"/>
  <c r="C24" i="5"/>
  <c r="C25" i="5"/>
  <c r="C26" i="5"/>
  <c r="D27" i="5"/>
  <c r="D28" i="5"/>
  <c r="D29" i="5"/>
  <c r="C30" i="5"/>
  <c r="D10" i="5" l="1"/>
  <c r="D9" i="5"/>
  <c r="D26" i="5"/>
  <c r="C20" i="5"/>
  <c r="C19" i="5"/>
  <c r="C17" i="5"/>
  <c r="D13" i="5"/>
  <c r="C3" i="5"/>
  <c r="D6" i="5"/>
  <c r="C29" i="5"/>
  <c r="C12" i="5"/>
  <c r="D25" i="5"/>
  <c r="D5" i="5"/>
  <c r="C28" i="5"/>
  <c r="C11" i="5"/>
  <c r="D21" i="5"/>
  <c r="D18" i="5"/>
  <c r="C27" i="5"/>
  <c r="D24" i="5"/>
  <c r="D16" i="5"/>
  <c r="D8" i="5"/>
  <c r="D2" i="5"/>
  <c r="D23" i="5"/>
  <c r="D15" i="5"/>
  <c r="D7" i="5"/>
  <c r="D30" i="5"/>
  <c r="D22" i="5"/>
  <c r="D14" i="5"/>
  <c r="F8" i="3" l="1"/>
  <c r="G8" i="3"/>
  <c r="F9" i="3"/>
  <c r="G9" i="3"/>
  <c r="F10" i="3"/>
  <c r="G10" i="3"/>
  <c r="F11" i="3"/>
  <c r="G11" i="3"/>
  <c r="F12" i="3"/>
  <c r="G12" i="3"/>
  <c r="F13" i="3"/>
  <c r="G13" i="3"/>
  <c r="F14" i="3"/>
  <c r="G14" i="3"/>
  <c r="F15" i="3"/>
  <c r="G15" i="3"/>
  <c r="F16" i="3"/>
  <c r="G16" i="3"/>
  <c r="F17" i="3"/>
  <c r="G17" i="3"/>
  <c r="F18" i="3"/>
  <c r="G18" i="3"/>
  <c r="F19" i="3"/>
  <c r="G19" i="3"/>
  <c r="F20" i="3"/>
  <c r="G20" i="3"/>
  <c r="F21" i="3"/>
  <c r="G21" i="3"/>
  <c r="F22" i="3"/>
  <c r="G22" i="3"/>
  <c r="F23" i="3"/>
  <c r="G23" i="3"/>
  <c r="F24" i="3"/>
  <c r="G24" i="3"/>
  <c r="F25" i="3"/>
  <c r="G25" i="3"/>
  <c r="F26" i="3"/>
  <c r="G26" i="3"/>
  <c r="F27" i="3"/>
  <c r="G27" i="3"/>
  <c r="F28" i="3"/>
  <c r="G28" i="3"/>
  <c r="F29" i="3"/>
  <c r="G29" i="3"/>
  <c r="F30" i="3"/>
  <c r="G30" i="3"/>
  <c r="F31" i="3"/>
  <c r="G31" i="3"/>
  <c r="F32" i="3"/>
  <c r="G32" i="3"/>
  <c r="F33" i="3"/>
  <c r="G33" i="3"/>
  <c r="F34" i="3"/>
  <c r="G34" i="3"/>
  <c r="F35" i="3"/>
  <c r="G35" i="3"/>
  <c r="F36" i="3"/>
  <c r="G36" i="3"/>
  <c r="F37" i="3"/>
  <c r="G37" i="3"/>
  <c r="F38" i="3"/>
  <c r="G38" i="3"/>
  <c r="F39" i="3"/>
  <c r="G39" i="3"/>
  <c r="E38" i="3"/>
  <c r="E39" i="3"/>
  <c r="E34" i="3"/>
  <c r="E35" i="3"/>
  <c r="E33" i="3"/>
  <c r="E20" i="3"/>
  <c r="E12" i="3"/>
  <c r="E11" i="3"/>
  <c r="E9" i="3"/>
  <c r="E10" i="3"/>
  <c r="E13" i="3"/>
  <c r="E14" i="3"/>
  <c r="E15" i="3"/>
  <c r="E16" i="3"/>
  <c r="E17" i="3"/>
  <c r="E18" i="3"/>
  <c r="E19" i="3"/>
  <c r="E21" i="3"/>
  <c r="E22" i="3"/>
  <c r="E23" i="3"/>
  <c r="E24" i="3"/>
  <c r="E25" i="3"/>
  <c r="E26" i="3"/>
  <c r="E27" i="3"/>
  <c r="E28" i="3"/>
  <c r="E29" i="3"/>
  <c r="E30" i="3"/>
  <c r="E31" i="3"/>
  <c r="E32" i="3"/>
  <c r="E36" i="3"/>
  <c r="E8" i="3"/>
  <c r="C32" i="1" l="1"/>
  <c r="G10" i="1"/>
  <c r="D31" i="1"/>
  <c r="D6" i="1"/>
  <c r="C26" i="1"/>
  <c r="E26" i="1"/>
  <c r="C31" i="1"/>
  <c r="G6" i="1"/>
  <c r="F6" i="1"/>
  <c r="E6" i="1"/>
  <c r="C6" i="1"/>
  <c r="B6" i="1"/>
  <c r="B26" i="1"/>
  <c r="D26" i="1"/>
  <c r="F31" i="1"/>
  <c r="G26" i="1"/>
  <c r="C10" i="1"/>
  <c r="D32" i="1"/>
  <c r="B32" i="1"/>
  <c r="F26" i="1"/>
  <c r="F32" i="1"/>
  <c r="E10" i="1"/>
  <c r="B10" i="1"/>
  <c r="G32" i="1"/>
  <c r="E32" i="1"/>
  <c r="F10" i="1"/>
  <c r="D10" i="1"/>
  <c r="B31" i="1"/>
  <c r="G31" i="1"/>
  <c r="E31" i="1"/>
  <c r="G12" i="1"/>
  <c r="B12" i="1"/>
  <c r="C12" i="1"/>
  <c r="E12" i="1"/>
  <c r="D12" i="1"/>
  <c r="F12" i="1"/>
  <c r="F25" i="1"/>
  <c r="B25" i="1"/>
  <c r="G25" i="1"/>
  <c r="D25" i="1"/>
  <c r="E25" i="1"/>
  <c r="C25" i="1"/>
  <c r="C5" i="1"/>
  <c r="B5" i="1"/>
  <c r="D5" i="1"/>
  <c r="F5" i="1"/>
  <c r="G5" i="1"/>
  <c r="E5" i="1"/>
  <c r="B34" i="1"/>
  <c r="G34" i="1"/>
  <c r="C34" i="1"/>
  <c r="D34" i="1"/>
  <c r="E34" i="1"/>
  <c r="F34" i="1"/>
  <c r="E20" i="1"/>
  <c r="B20" i="1"/>
  <c r="G20" i="1"/>
  <c r="D20" i="1"/>
  <c r="F20" i="1"/>
  <c r="G4" i="1"/>
  <c r="B4" i="1"/>
  <c r="C4" i="1"/>
  <c r="D4" i="1"/>
  <c r="E4" i="1"/>
  <c r="F4" i="1"/>
  <c r="D27" i="1"/>
  <c r="C27" i="1"/>
  <c r="B27" i="1"/>
  <c r="E27" i="1"/>
  <c r="F27" i="1"/>
  <c r="G27" i="1"/>
  <c r="D17" i="1"/>
  <c r="F17" i="1"/>
  <c r="G17" i="1"/>
  <c r="C17" i="1"/>
  <c r="B17" i="1"/>
  <c r="E17" i="1"/>
  <c r="F19" i="1"/>
  <c r="B19" i="1"/>
  <c r="D19" i="1"/>
  <c r="E19" i="1"/>
  <c r="G19" i="1"/>
  <c r="D7" i="1"/>
  <c r="E7" i="1"/>
  <c r="F7" i="1"/>
  <c r="C7" i="1"/>
  <c r="B7" i="1"/>
  <c r="G7" i="1"/>
  <c r="D9" i="1"/>
  <c r="F9" i="1"/>
  <c r="G9" i="1"/>
  <c r="B9" i="1"/>
  <c r="E9" i="1"/>
  <c r="C9" i="1"/>
  <c r="F11" i="1"/>
  <c r="C11" i="1"/>
  <c r="B11" i="1"/>
  <c r="D11" i="1"/>
  <c r="G11" i="1"/>
  <c r="E11" i="1"/>
  <c r="E24" i="1"/>
  <c r="G24" i="1"/>
  <c r="D24" i="1"/>
  <c r="F24" i="1"/>
  <c r="C24" i="1"/>
  <c r="B24" i="1"/>
  <c r="C13" i="1"/>
  <c r="B13" i="1"/>
  <c r="D13" i="1"/>
  <c r="E13" i="1"/>
  <c r="F13" i="1"/>
  <c r="G13" i="1"/>
  <c r="B28" i="1"/>
  <c r="D28" i="1"/>
  <c r="E28" i="1"/>
  <c r="F28" i="1"/>
  <c r="G28" i="1"/>
  <c r="F23" i="1"/>
  <c r="C23" i="1"/>
  <c r="D23" i="1"/>
  <c r="B23" i="1"/>
  <c r="E23" i="1"/>
  <c r="G23" i="1"/>
  <c r="E22" i="1"/>
  <c r="G22" i="1"/>
  <c r="B22" i="1"/>
  <c r="C22" i="1"/>
  <c r="D22" i="1"/>
  <c r="F22" i="1"/>
  <c r="B18" i="1"/>
  <c r="E18" i="1"/>
  <c r="G18" i="1"/>
  <c r="F18" i="1"/>
  <c r="D18" i="1"/>
  <c r="D29" i="1"/>
  <c r="E29" i="1"/>
  <c r="B29" i="1"/>
  <c r="F29" i="1"/>
  <c r="C29" i="1"/>
  <c r="G29" i="1"/>
  <c r="F21" i="1"/>
  <c r="B21" i="1"/>
  <c r="D21" i="1"/>
  <c r="E21" i="1"/>
  <c r="G21" i="1"/>
  <c r="E30" i="1"/>
  <c r="F30" i="1"/>
  <c r="B30" i="1"/>
  <c r="G30" i="1"/>
  <c r="C30" i="1"/>
  <c r="D30" i="1"/>
  <c r="D15" i="1"/>
  <c r="E15" i="1"/>
  <c r="F15" i="1"/>
  <c r="G15" i="1"/>
  <c r="C15" i="1"/>
  <c r="B15" i="1"/>
  <c r="E16" i="1"/>
  <c r="F16" i="1"/>
  <c r="G16" i="1"/>
  <c r="B16" i="1"/>
  <c r="D16" i="1"/>
  <c r="C16" i="1"/>
  <c r="E8" i="1"/>
  <c r="F8" i="1"/>
  <c r="G8" i="1"/>
  <c r="C8" i="1"/>
  <c r="D8" i="1"/>
  <c r="B8" i="1"/>
  <c r="D14" i="1"/>
  <c r="B14" i="1"/>
  <c r="E14" i="1"/>
  <c r="C14" i="1"/>
  <c r="F14" i="1"/>
  <c r="G14" i="1"/>
  <c r="F33" i="1"/>
  <c r="E33" i="1"/>
  <c r="C33" i="1"/>
  <c r="B33" i="1"/>
  <c r="G33" i="1"/>
  <c r="D33" i="1"/>
  <c r="D35" i="1"/>
  <c r="E35" i="1"/>
  <c r="G35" i="1"/>
  <c r="B35" i="1"/>
  <c r="C35" i="1"/>
  <c r="F35" i="1"/>
  <c r="C4" i="5" l="1"/>
  <c r="D4" i="5"/>
</calcChain>
</file>

<file path=xl/comments1.xml><?xml version="1.0" encoding="utf-8"?>
<comments xmlns="http://schemas.openxmlformats.org/spreadsheetml/2006/main">
  <authors>
    <author>WangWenke</author>
  </authors>
  <commentLis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如果更换基准地,填入更换后昨日的现货价格即可,这个值不含基地升贴水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每日自动更新,特殊情况可手动更新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自动表示自动判断是午间还是收盘;如有需要也可手动选择</t>
        </r>
      </text>
    </comment>
  </commentList>
</comments>
</file>

<file path=xl/comments2.xml><?xml version="1.0" encoding="utf-8"?>
<comments xmlns="http://schemas.openxmlformats.org/spreadsheetml/2006/main">
  <authors>
    <author>WangWenke</author>
  </authors>
  <commentList>
    <comment ref="H7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换月那一天设定为1即可,其他时期都设定为0</t>
        </r>
      </text>
    </comment>
  </commentList>
</comments>
</file>

<file path=xl/sharedStrings.xml><?xml version="1.0" encoding="utf-8"?>
<sst xmlns="http://schemas.openxmlformats.org/spreadsheetml/2006/main" count="2319" uniqueCount="535">
  <si>
    <t>品种</t>
  </si>
  <si>
    <t>仓单报价</t>
  </si>
  <si>
    <t>贴水幅度</t>
  </si>
  <si>
    <t>基准地</t>
  </si>
  <si>
    <t>动力煤</t>
  </si>
  <si>
    <t>焦炭</t>
  </si>
  <si>
    <t>甲醇</t>
  </si>
  <si>
    <t>焦煤</t>
  </si>
  <si>
    <t>淀粉</t>
  </si>
  <si>
    <t>热卷</t>
  </si>
  <si>
    <t>白糖</t>
  </si>
  <si>
    <t>豆粕</t>
  </si>
  <si>
    <t>螺纹钢</t>
  </si>
  <si>
    <t>PTA</t>
  </si>
  <si>
    <t>玉米</t>
  </si>
  <si>
    <t>豆一</t>
  </si>
  <si>
    <t>菜油</t>
  </si>
  <si>
    <t>玻璃</t>
  </si>
  <si>
    <t>中证500</t>
  </si>
  <si>
    <t>上证50</t>
  </si>
  <si>
    <t>铁矿石</t>
  </si>
  <si>
    <t>LLDPE</t>
  </si>
  <si>
    <t>铝</t>
  </si>
  <si>
    <t>菜粕</t>
  </si>
  <si>
    <t>棉纱</t>
  </si>
  <si>
    <t>棕榈油</t>
  </si>
  <si>
    <t>沥青</t>
  </si>
  <si>
    <t>主力</t>
    <phoneticPr fontId="2" type="noConversion"/>
  </si>
  <si>
    <t>次主力</t>
    <phoneticPr fontId="2" type="noConversion"/>
  </si>
  <si>
    <t>远月</t>
    <phoneticPr fontId="2" type="noConversion"/>
  </si>
  <si>
    <t>近交割合约</t>
    <phoneticPr fontId="2" type="noConversion"/>
  </si>
  <si>
    <t>天胶</t>
  </si>
  <si>
    <t>PVC</t>
  </si>
  <si>
    <t>PP</t>
  </si>
  <si>
    <t>豆油</t>
  </si>
  <si>
    <t>棉花</t>
  </si>
  <si>
    <t>铜</t>
  </si>
  <si>
    <t>锌</t>
  </si>
  <si>
    <t>镍</t>
  </si>
  <si>
    <t>沪深300</t>
  </si>
  <si>
    <t>午间现货</t>
    <phoneticPr fontId="2" type="noConversion"/>
  </si>
  <si>
    <t>收盘现货</t>
    <phoneticPr fontId="2" type="noConversion"/>
  </si>
  <si>
    <t>基地升贴水</t>
    <phoneticPr fontId="2" type="noConversion"/>
  </si>
  <si>
    <t>基准地</t>
    <phoneticPr fontId="2" type="noConversion"/>
  </si>
  <si>
    <t>仓单报价</t>
    <phoneticPr fontId="2" type="noConversion"/>
  </si>
  <si>
    <t>变动</t>
  </si>
  <si>
    <t>基准地升贴水</t>
  </si>
  <si>
    <t>主力基差</t>
  </si>
  <si>
    <t>J</t>
    <phoneticPr fontId="2" type="noConversion"/>
  </si>
  <si>
    <t>JM</t>
    <phoneticPr fontId="2" type="noConversion"/>
  </si>
  <si>
    <t>ZC</t>
    <phoneticPr fontId="2" type="noConversion"/>
  </si>
  <si>
    <t>I</t>
    <phoneticPr fontId="2" type="noConversion"/>
  </si>
  <si>
    <t>RB</t>
    <phoneticPr fontId="2" type="noConversion"/>
  </si>
  <si>
    <t>HC</t>
    <phoneticPr fontId="2" type="noConversion"/>
  </si>
  <si>
    <t>RU</t>
    <phoneticPr fontId="2" type="noConversion"/>
  </si>
  <si>
    <t>FG</t>
    <phoneticPr fontId="2" type="noConversion"/>
  </si>
  <si>
    <t>V</t>
    <phoneticPr fontId="2" type="noConversion"/>
  </si>
  <si>
    <t>L</t>
    <phoneticPr fontId="2" type="noConversion"/>
  </si>
  <si>
    <t>PP</t>
    <phoneticPr fontId="2" type="noConversion"/>
  </si>
  <si>
    <t>TA</t>
    <phoneticPr fontId="2" type="noConversion"/>
  </si>
  <si>
    <t>BU</t>
    <phoneticPr fontId="2" type="noConversion"/>
  </si>
  <si>
    <t>MA</t>
    <phoneticPr fontId="2" type="noConversion"/>
  </si>
  <si>
    <t>A</t>
    <phoneticPr fontId="2" type="noConversion"/>
  </si>
  <si>
    <t>M</t>
    <phoneticPr fontId="2" type="noConversion"/>
  </si>
  <si>
    <t>RM</t>
    <phoneticPr fontId="2" type="noConversion"/>
  </si>
  <si>
    <t>C</t>
    <phoneticPr fontId="2" type="noConversion"/>
  </si>
  <si>
    <t>CS</t>
    <phoneticPr fontId="2" type="noConversion"/>
  </si>
  <si>
    <t>Y</t>
    <phoneticPr fontId="2" type="noConversion"/>
  </si>
  <si>
    <t>P</t>
    <phoneticPr fontId="2" type="noConversion"/>
  </si>
  <si>
    <t>OI</t>
    <phoneticPr fontId="2" type="noConversion"/>
  </si>
  <si>
    <t>SR</t>
    <phoneticPr fontId="2" type="noConversion"/>
  </si>
  <si>
    <t>CF</t>
    <phoneticPr fontId="2" type="noConversion"/>
  </si>
  <si>
    <t>CY</t>
    <phoneticPr fontId="2" type="noConversion"/>
  </si>
  <si>
    <t>CU</t>
    <phoneticPr fontId="2" type="noConversion"/>
  </si>
  <si>
    <t>AL</t>
    <phoneticPr fontId="2" type="noConversion"/>
  </si>
  <si>
    <t>ZN</t>
    <phoneticPr fontId="2" type="noConversion"/>
  </si>
  <si>
    <t>NI</t>
    <phoneticPr fontId="2" type="noConversion"/>
  </si>
  <si>
    <t>IC</t>
    <phoneticPr fontId="2" type="noConversion"/>
  </si>
  <si>
    <t>IH</t>
    <phoneticPr fontId="2" type="noConversion"/>
  </si>
  <si>
    <t>IF</t>
    <phoneticPr fontId="2" type="noConversion"/>
  </si>
  <si>
    <t>DCE</t>
    <phoneticPr fontId="2" type="noConversion"/>
  </si>
  <si>
    <t>CZC</t>
    <phoneticPr fontId="2" type="noConversion"/>
  </si>
  <si>
    <t>SHF</t>
    <phoneticPr fontId="2" type="noConversion"/>
  </si>
  <si>
    <t>CFE</t>
    <phoneticPr fontId="2" type="noConversion"/>
  </si>
  <si>
    <t>常规</t>
    <phoneticPr fontId="2" type="noConversion"/>
  </si>
  <si>
    <t>铁矿螺纹</t>
    <phoneticPr fontId="2" type="noConversion"/>
  </si>
  <si>
    <t>沥青</t>
    <phoneticPr fontId="2" type="noConversion"/>
  </si>
  <si>
    <t>金属</t>
    <phoneticPr fontId="2" type="noConversion"/>
  </si>
  <si>
    <t>股指</t>
    <phoneticPr fontId="2" type="noConversion"/>
  </si>
  <si>
    <t>日期</t>
    <phoneticPr fontId="2" type="noConversion"/>
  </si>
  <si>
    <t>品种</t>
    <phoneticPr fontId="2" type="noConversion"/>
  </si>
  <si>
    <t>午间or收盘</t>
    <phoneticPr fontId="2" type="noConversion"/>
  </si>
  <si>
    <t>主力</t>
  </si>
  <si>
    <t>次主力</t>
  </si>
  <si>
    <t>远月</t>
  </si>
  <si>
    <t>参数设置</t>
    <phoneticPr fontId="2" type="noConversion"/>
  </si>
  <si>
    <t>合约模式(换月的时候请修改黄底的合约月份)</t>
    <phoneticPr fontId="2" type="noConversion"/>
  </si>
  <si>
    <t>近交割合约基差</t>
    <phoneticPr fontId="2" type="noConversion"/>
  </si>
  <si>
    <t>品种</t>
    <phoneticPr fontId="2" type="noConversion"/>
  </si>
  <si>
    <t>近交割合约</t>
    <phoneticPr fontId="2" type="noConversion"/>
  </si>
  <si>
    <t>最新价格</t>
    <phoneticPr fontId="2" type="noConversion"/>
  </si>
  <si>
    <t>午间现货</t>
  </si>
  <si>
    <t>收盘现货</t>
  </si>
  <si>
    <t>品种</t>
    <phoneticPr fontId="2" type="noConversion"/>
  </si>
  <si>
    <t>股指现货数据会自动更新</t>
    <phoneticPr fontId="2" type="noConversion"/>
  </si>
  <si>
    <t>品种</t>
    <phoneticPr fontId="2" type="noConversion"/>
  </si>
  <si>
    <t>现货折盘面</t>
  </si>
  <si>
    <t>现货</t>
  </si>
  <si>
    <t>近月</t>
  </si>
  <si>
    <t>次近月</t>
  </si>
  <si>
    <t>河南</t>
  </si>
  <si>
    <t>东北</t>
  </si>
  <si>
    <t>秦皇岛港</t>
  </si>
  <si>
    <t>上海</t>
  </si>
  <si>
    <t>哈尔滨</t>
  </si>
  <si>
    <t>柳州</t>
  </si>
  <si>
    <t>广州</t>
  </si>
  <si>
    <t>沙河</t>
  </si>
  <si>
    <t>华北</t>
  </si>
  <si>
    <t>天津港</t>
  </si>
  <si>
    <t>东莞</t>
  </si>
  <si>
    <t>鲅鱼圈平舱价</t>
  </si>
  <si>
    <t>日照港</t>
  </si>
  <si>
    <t>日照</t>
  </si>
  <si>
    <t>华东</t>
  </si>
  <si>
    <t>新疆</t>
  </si>
  <si>
    <t>江苏</t>
  </si>
  <si>
    <t>广东东莞</t>
  </si>
  <si>
    <t>现货价格</t>
    <phoneticPr fontId="2" type="noConversion"/>
  </si>
  <si>
    <t>青岛港</t>
  </si>
  <si>
    <t>主力是否换月</t>
    <phoneticPr fontId="2" type="noConversion"/>
  </si>
  <si>
    <t>基差</t>
    <phoneticPr fontId="2" type="noConversion"/>
  </si>
  <si>
    <t>贴水率</t>
    <phoneticPr fontId="2" type="noConversion"/>
  </si>
  <si>
    <t>主力</t>
    <phoneticPr fontId="2" type="noConversion"/>
  </si>
  <si>
    <t>次主力</t>
    <phoneticPr fontId="2" type="noConversion"/>
  </si>
  <si>
    <t>远月</t>
    <phoneticPr fontId="2" type="noConversion"/>
  </si>
  <si>
    <t>变动</t>
    <phoneticPr fontId="2" type="noConversion"/>
  </si>
  <si>
    <t>现货</t>
    <phoneticPr fontId="2" type="noConversion"/>
  </si>
  <si>
    <t>主力基差</t>
    <phoneticPr fontId="2" type="noConversion"/>
  </si>
  <si>
    <t>rank</t>
    <phoneticPr fontId="2" type="noConversion"/>
  </si>
  <si>
    <t>品种</t>
    <phoneticPr fontId="2" type="noConversion"/>
  </si>
  <si>
    <t>前值修正</t>
    <phoneticPr fontId="2" type="noConversion"/>
  </si>
  <si>
    <t>华东</t>
    <phoneticPr fontId="2" type="noConversion"/>
  </si>
  <si>
    <t>更新数据类型</t>
    <phoneticPr fontId="2" type="noConversion"/>
  </si>
  <si>
    <t>自动</t>
  </si>
  <si>
    <t>右边请手动输入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</si>
  <si>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</si>
  <si>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</si>
  <si>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</si>
  <si>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</si>
  <si>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</si>
  <si>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</si>
  <si>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</si>
  <si>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</si>
  <si>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</si>
  <si>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</si>
  <si>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</si>
  <si>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</si>
  <si>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</si>
  <si>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</si>
  <si>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</si>
  <si>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</si>
  <si>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</si>
  <si>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</si>
  <si>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</si>
  <si>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</si>
  <si>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</si>
  <si>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</si>
  <si>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</si>
  <si>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</si>
  <si>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</si>
  <si>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</si>
  <si>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</si>
  <si>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</si>
  <si>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</si>
  <si>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</si>
  <si>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</si>
  <si>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</si>
  <si>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</si>
  <si>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</si>
  <si>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</si>
  <si>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</si>
  <si>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</si>
  <si>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</si>
  <si>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河北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</si>
  <si>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</si>
  <si>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</si>
  <si>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</si>
  <si>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</si>
  <si>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</si>
  <si>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</si>
  <si>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</si>
  <si>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</si>
  <si>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</si>
  <si>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</si>
  <si>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</si>
  <si>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</si>
  <si>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</si>
  <si>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</si>
  <si>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</si>
  <si>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</si>
  <si>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</si>
  <si>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</si>
  <si>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</si>
  <si>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</si>
  <si>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</si>
  <si>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</si>
  <si>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</si>
  <si>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</si>
  <si>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</si>
  <si>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</si>
  <si>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</si>
  <si>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</si>
  <si>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</si>
  <si>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</si>
  <si>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</si>
  <si>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</si>
  <si>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</si>
  <si>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</si>
  <si>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</si>
  <si>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</si>
  <si>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</si>
  <si>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</si>
  <si>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南宁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</si>
  <si>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</si>
  <si>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</si>
  <si>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</si>
  <si>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</si>
  <si>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</si>
  <si>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</si>
  <si>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</si>
  <si>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</si>
  <si>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</si>
  <si>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</si>
  <si>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</si>
  <si>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</si>
  <si>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</si>
  <si>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</si>
  <si>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</si>
  <si>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</si>
  <si>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</si>
  <si>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</si>
  <si>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</si>
  <si>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南宁</t>
  </si>
  <si>
    <t>天津港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</si>
  <si>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</si>
  <si>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</si>
  <si>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</si>
  <si>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</si>
  <si>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</si>
  <si>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</si>
  <si>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</si>
  <si>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</si>
  <si>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</si>
  <si>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</si>
  <si>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</si>
  <si>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</si>
  <si>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</si>
  <si>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</si>
  <si>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</si>
  <si>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</si>
  <si>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</si>
  <si>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</si>
  <si>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上海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</si>
  <si>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</si>
  <si>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</si>
  <si>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</si>
  <si>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</si>
  <si>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</si>
  <si>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</si>
  <si>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</si>
  <si>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</si>
  <si>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</si>
  <si>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</si>
  <si>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</si>
  <si>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</si>
  <si>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</si>
  <si>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</si>
  <si>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</si>
  <si>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</si>
  <si>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</si>
  <si>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</si>
  <si>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</si>
  <si>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</si>
  <si>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</si>
  <si>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</si>
  <si>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</si>
  <si>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</si>
  <si>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</si>
  <si>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</si>
  <si>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</si>
  <si>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</si>
  <si>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</si>
  <si>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</si>
  <si>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</si>
  <si>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</si>
  <si>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</si>
  <si>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</si>
  <si>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</si>
  <si>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</si>
  <si>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</si>
  <si>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</si>
  <si>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</si>
  <si>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</si>
  <si>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</si>
  <si>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</si>
  <si>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</si>
  <si>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</si>
  <si>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</si>
  <si>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</si>
  <si>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</si>
  <si>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</si>
  <si>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</si>
  <si>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</si>
  <si>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</si>
  <si>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</si>
  <si>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</si>
  <si>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</si>
  <si>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</si>
  <si>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</si>
  <si>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</si>
  <si>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</si>
  <si>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</si>
  <si>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</si>
  <si>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</si>
  <si>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</si>
  <si>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</si>
  <si>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</si>
  <si>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</si>
  <si>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</si>
  <si>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</si>
  <si>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</si>
  <si>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</si>
  <si>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</si>
  <si>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</si>
  <si>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</si>
  <si>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</si>
  <si>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鲁南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</si>
  <si>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</si>
  <si>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</si>
  <si>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</si>
  <si>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</si>
  <si>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</si>
  <si>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</si>
  <si>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</si>
  <si>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</si>
  <si>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鲁南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</si>
  <si>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</si>
  <si>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</si>
  <si>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</si>
  <si>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</si>
  <si>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</si>
  <si>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</si>
  <si>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</si>
  <si>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</si>
  <si>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</si>
  <si>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</si>
  <si>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</si>
  <si>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</si>
  <si>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</si>
  <si>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</si>
  <si>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</si>
  <si>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</si>
  <si>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</si>
  <si>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鲁南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</si>
  <si>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</si>
  <si>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</si>
  <si>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</si>
  <si>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</si>
  <si>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</si>
  <si>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</si>
  <si>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</si>
  <si>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</si>
  <si>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</si>
  <si>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2: </t>
    </r>
    <r>
      <rPr>
        <sz val="9"/>
        <color theme="1"/>
        <rFont val="仿宋"/>
        <family val="3"/>
        <charset val="134"/>
      </rPr>
      <t>价差结构指现货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近月主力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次近月主力和远月合约的价格结构，其中红点为现货价格</t>
    </r>
    <phoneticPr fontId="7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</si>
  <si>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4: </t>
    </r>
    <r>
      <rPr>
        <sz val="9"/>
        <color theme="1"/>
        <rFont val="仿宋"/>
        <family val="3"/>
        <charset val="134"/>
      </rPr>
      <t>主力月份为沥青</t>
    </r>
    <r>
      <rPr>
        <sz val="9"/>
        <color theme="1"/>
        <rFont val="Calibri"/>
        <family val="2"/>
      </rPr>
      <t>6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有色金属</t>
    </r>
    <r>
      <rPr>
        <sz val="9"/>
        <color theme="1"/>
        <rFont val="Calibri"/>
        <family val="2"/>
      </rPr>
      <t>3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股指</t>
    </r>
    <r>
      <rPr>
        <sz val="9"/>
        <color theme="1"/>
        <rFont val="Calibri"/>
        <family val="2"/>
      </rPr>
      <t>3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其余</t>
    </r>
    <r>
      <rPr>
        <sz val="9"/>
        <color theme="1"/>
        <rFont val="Calibri"/>
        <family val="2"/>
      </rPr>
      <t>5</t>
    </r>
    <r>
      <rPr>
        <sz val="9"/>
        <color theme="1"/>
        <rFont val="仿宋"/>
        <family val="3"/>
        <charset val="134"/>
      </rPr>
      <t>月</t>
    </r>
    <phoneticPr fontId="7" type="noConversion"/>
  </si>
  <si>
    <r>
      <rPr>
        <b/>
        <sz val="12"/>
        <color theme="0"/>
        <rFont val="华文细黑"/>
        <family val="3"/>
        <charset val="134"/>
      </rPr>
      <t>品种</t>
    </r>
  </si>
  <si>
    <r>
      <rPr>
        <b/>
        <sz val="12"/>
        <color theme="0"/>
        <rFont val="华文细黑"/>
        <family val="3"/>
        <charset val="134"/>
      </rPr>
      <t>现货折盘面</t>
    </r>
    <phoneticPr fontId="2" type="noConversion"/>
  </si>
  <si>
    <r>
      <rPr>
        <b/>
        <sz val="12"/>
        <color theme="0"/>
        <rFont val="华文细黑"/>
        <family val="3"/>
        <charset val="134"/>
      </rPr>
      <t>变动</t>
    </r>
    <phoneticPr fontId="2" type="noConversion"/>
  </si>
  <si>
    <r>
      <rPr>
        <b/>
        <sz val="12"/>
        <color theme="0"/>
        <rFont val="华文细黑"/>
        <family val="3"/>
        <charset val="134"/>
      </rPr>
      <t>主力基差</t>
    </r>
    <phoneticPr fontId="2" type="noConversion"/>
  </si>
  <si>
    <r>
      <rPr>
        <b/>
        <sz val="12"/>
        <color theme="0"/>
        <rFont val="华文细黑"/>
        <family val="3"/>
        <charset val="134"/>
      </rPr>
      <t>贴水幅度</t>
    </r>
  </si>
  <si>
    <r>
      <rPr>
        <b/>
        <sz val="12"/>
        <color theme="0"/>
        <rFont val="华文细黑"/>
        <family val="3"/>
        <charset val="134"/>
      </rPr>
      <t>价差结构</t>
    </r>
    <phoneticPr fontId="2" type="noConversion"/>
  </si>
  <si>
    <t>现货基准地</t>
    <phoneticPr fontId="7" type="noConversion"/>
  </si>
  <si>
    <t>鲁南</t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</si>
  <si>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</si>
  <si>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</si>
  <si>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</si>
  <si>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</si>
  <si>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</si>
  <si>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</si>
  <si>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</si>
  <si>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</si>
  <si>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</si>
  <si>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</si>
  <si>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</si>
  <si>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</si>
  <si>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</si>
  <si>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</si>
  <si>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</si>
  <si>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</si>
  <si>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</si>
  <si>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</si>
  <si>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</si>
  <si>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</si>
  <si>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</si>
  <si>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</si>
  <si>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</si>
  <si>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</si>
  <si>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</si>
  <si>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</si>
  <si>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</si>
  <si>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</si>
  <si>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</si>
  <si>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</si>
  <si>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</si>
  <si>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</si>
  <si>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</si>
  <si>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</si>
  <si>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</si>
  <si>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</si>
  <si>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</si>
  <si>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</si>
  <si>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</si>
  <si>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</si>
  <si>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</si>
  <si>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</si>
  <si>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</si>
  <si>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</si>
  <si>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</si>
  <si>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</si>
  <si>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</si>
  <si>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</si>
  <si>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</si>
  <si>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</si>
  <si>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</si>
  <si>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</si>
  <si>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</si>
  <si>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</si>
  <si>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</si>
  <si>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</si>
  <si>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</si>
  <si>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</si>
  <si>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</si>
  <si>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</si>
  <si>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</si>
  <si>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</si>
  <si>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</si>
  <si>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</si>
  <si>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</si>
  <si>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</si>
  <si>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</si>
  <si>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</si>
  <si>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</si>
  <si>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</si>
  <si>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</si>
  <si>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</si>
  <si>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</si>
  <si>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</si>
  <si>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</si>
  <si>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</si>
  <si>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</si>
  <si>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</si>
  <si>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</si>
  <si>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</si>
  <si>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</si>
  <si>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</si>
  <si>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</si>
  <si>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</si>
  <si>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</si>
  <si>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</si>
  <si>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</si>
  <si>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</si>
  <si>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</si>
  <si>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</si>
  <si>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</si>
  <si>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</si>
  <si>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</si>
  <si>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</si>
  <si>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</si>
  <si>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</si>
  <si>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</si>
  <si>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</si>
  <si>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</si>
  <si>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</si>
  <si>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</si>
  <si>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</si>
  <si>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</si>
  <si>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</si>
  <si>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</si>
  <si>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</si>
  <si>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</si>
  <si>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</si>
  <si>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更新全部</t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</si>
  <si>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</si>
  <si>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</si>
  <si>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</si>
  <si>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</si>
  <si>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</si>
  <si>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</si>
  <si>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</si>
  <si>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</si>
  <si>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</si>
  <si>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</si>
  <si>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</si>
  <si>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</si>
  <si>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</si>
  <si>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</si>
  <si>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</si>
  <si>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</si>
  <si>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</si>
  <si>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</si>
  <si>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</si>
  <si>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</si>
  <si>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</si>
  <si>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</si>
  <si>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</si>
  <si>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</si>
  <si>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</si>
  <si>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</si>
  <si>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</si>
  <si>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</si>
  <si>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</si>
  <si>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</si>
  <si>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</si>
  <si>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</si>
  <si>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</si>
  <si>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</si>
  <si>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</si>
  <si>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</si>
  <si>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1: </t>
    </r>
    <r>
      <rPr>
        <sz val="9"/>
        <color theme="1"/>
        <rFont val="仿宋"/>
        <family val="3"/>
        <charset val="134"/>
      </rPr>
      <t>主力基差</t>
    </r>
    <r>
      <rPr>
        <sz val="9"/>
        <color theme="1"/>
        <rFont val="Calibri"/>
        <family val="2"/>
      </rPr>
      <t>=</t>
    </r>
    <r>
      <rPr>
        <sz val="9"/>
        <color theme="1"/>
        <rFont val="仿宋"/>
        <family val="3"/>
        <charset val="134"/>
      </rPr>
      <t>现货</t>
    </r>
    <r>
      <rPr>
        <sz val="9"/>
        <color theme="1"/>
        <rFont val="Calibri"/>
        <family val="2"/>
      </rPr>
      <t>-</t>
    </r>
    <r>
      <rPr>
        <sz val="9"/>
        <color theme="1"/>
        <rFont val="仿宋"/>
        <family val="3"/>
        <charset val="134"/>
      </rPr>
      <t>主力合约</t>
    </r>
    <r>
      <rPr>
        <sz val="9"/>
        <color theme="1"/>
        <rFont val="Calibri"/>
        <family val="2"/>
      </rPr>
      <t xml:space="preserve">; </t>
    </r>
    <r>
      <rPr>
        <sz val="9"/>
        <color theme="1"/>
        <rFont val="仿宋"/>
        <family val="3"/>
        <charset val="134"/>
      </rPr>
      <t>贴水幅度</t>
    </r>
    <r>
      <rPr>
        <sz val="9"/>
        <color theme="1"/>
        <rFont val="Calibri"/>
        <family val="2"/>
      </rPr>
      <t>=(</t>
    </r>
    <r>
      <rPr>
        <sz val="9"/>
        <color theme="1"/>
        <rFont val="仿宋"/>
        <family val="3"/>
        <charset val="134"/>
      </rPr>
      <t>现货价格</t>
    </r>
    <r>
      <rPr>
        <sz val="9"/>
        <color theme="1"/>
        <rFont val="Calibri"/>
        <family val="2"/>
      </rPr>
      <t>-</t>
    </r>
    <r>
      <rPr>
        <sz val="9"/>
        <color theme="1"/>
        <rFont val="仿宋"/>
        <family val="3"/>
        <charset val="134"/>
      </rPr>
      <t>期货价格</t>
    </r>
    <r>
      <rPr>
        <sz val="9"/>
        <color theme="1"/>
        <rFont val="Calibri"/>
        <family val="2"/>
      </rPr>
      <t>)/</t>
    </r>
    <r>
      <rPr>
        <sz val="9"/>
        <color theme="1"/>
        <rFont val="仿宋"/>
        <family val="3"/>
        <charset val="134"/>
      </rPr>
      <t>期货价格；变动指与上个交易日同时段数值的比较</t>
    </r>
    <phoneticPr fontId="7" type="noConversion"/>
  </si>
  <si>
    <t>厦门</t>
  </si>
  <si>
    <t>厦门</t>
    <phoneticPr fontId="2" type="noConversion"/>
  </si>
  <si>
    <t>河南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</si>
  <si>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3: </t>
    </r>
    <r>
      <rPr>
        <sz val="9"/>
        <color theme="1"/>
        <rFont val="仿宋"/>
        <family val="3"/>
        <charset val="134"/>
      </rPr>
      <t>现货价格为当日上午或下午基准地报价</t>
    </r>
    <r>
      <rPr>
        <sz val="9"/>
        <color theme="1"/>
        <rFont val="Calibri"/>
        <family val="2"/>
      </rPr>
      <t>(</t>
    </r>
    <r>
      <rPr>
        <sz val="9"/>
        <color theme="1"/>
        <rFont val="仿宋"/>
        <family val="3"/>
        <charset val="134"/>
      </rPr>
      <t>菜粕为昨日价格</t>
    </r>
    <r>
      <rPr>
        <sz val="9"/>
        <color theme="1"/>
        <rFont val="Calibri"/>
        <family val="2"/>
      </rPr>
      <t>),</t>
    </r>
    <r>
      <rPr>
        <sz val="9"/>
        <color theme="1"/>
        <rFont val="仿宋"/>
        <family val="3"/>
        <charset val="134"/>
      </rPr>
      <t>期货价格为发布时最新价</t>
    </r>
    <r>
      <rPr>
        <sz val="9"/>
        <color theme="1"/>
        <rFont val="Calibri"/>
        <family val="2"/>
      </rPr>
      <t>;</t>
    </r>
    <r>
      <rPr>
        <sz val="9"/>
        <color theme="1"/>
        <rFont val="仿宋"/>
        <family val="3"/>
        <charset val="134"/>
      </rPr>
      <t>其中股指期现都用最新价</t>
    </r>
    <phoneticPr fontId="7" type="noConversion"/>
  </si>
  <si>
    <t>2018年3月20日收盘基差表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</si>
</sst>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.00_);[Red]\(0.00\)"/>
    <numFmt numFmtId="178" formatCode="0.0%"/>
    <numFmt numFmtId="179" formatCode="\+0;\-0;\-"/>
    <numFmt numFmtId="180" formatCode="#,##0_ "/>
  </numFmts>
  <fonts count="2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2"/>
      <color theme="0"/>
      <name val="华文细黑"/>
      <family val="3"/>
      <charset val="134"/>
    </font>
    <font>
      <sz val="12"/>
      <color theme="1"/>
      <name val="华文细黑"/>
      <family val="3"/>
      <charset val="134"/>
    </font>
    <font>
      <sz val="12"/>
      <color theme="1"/>
      <name val="Calibri"/>
      <family val="2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name val="Arial"/>
      <family val="2"/>
    </font>
    <font>
      <b/>
      <sz val="14"/>
      <color theme="0"/>
      <name val="华文细黑"/>
      <family val="3"/>
      <charset val="134"/>
    </font>
    <font>
      <sz val="12"/>
      <color theme="1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theme="0" tint="-0.34998626667073579"/>
      <name val="等线"/>
      <family val="2"/>
      <charset val="134"/>
      <scheme val="minor"/>
    </font>
    <font>
      <sz val="9"/>
      <color theme="0" tint="-0.34998626667073579"/>
      <name val="等线"/>
      <family val="3"/>
      <charset val="134"/>
      <scheme val="minor"/>
    </font>
    <font>
      <sz val="9"/>
      <color theme="1"/>
      <name val="仿宋"/>
      <family val="3"/>
      <charset val="134"/>
    </font>
    <font>
      <sz val="9"/>
      <color theme="1"/>
      <name val="Calibri"/>
      <family val="2"/>
    </font>
    <font>
      <b/>
      <sz val="12"/>
      <color theme="0"/>
      <name val="Calibri"/>
      <family val="2"/>
    </font>
    <font>
      <b/>
      <sz val="14"/>
      <color theme="0"/>
      <name val="黑体"/>
      <family val="3"/>
      <charset val="134"/>
    </font>
    <font>
      <sz val="11"/>
      <color rgb="FFFF0000"/>
      <name val="等线"/>
      <charset val="134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BF190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theme="4" tint="0.79998168889431442"/>
      </patternFill>
    </fill>
    <fill>
      <gradientFill type="path">
        <stop position="0">
          <color theme="0"/>
        </stop>
        <stop position="1">
          <color rgb="FFFFC000"/>
        </stop>
      </gradientFill>
    </fill>
    <fill>
      <patternFill patternType="solid">
        <fgColor rgb="FF42893D"/>
        <bgColor indexed="64"/>
      </patternFill>
    </fill>
    <fill>
      <patternFill patternType="solid">
        <fgColor rgb="FFF7F0EF"/>
        <bgColor theme="4" tint="0.79998168889431442"/>
      </patternFill>
    </fill>
  </fills>
  <borders count="20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77111117893"/>
      </left>
      <right/>
      <top style="medium">
        <color indexed="64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6" fillId="0" borderId="0"/>
    <xf numFmtId="0" fontId="8" fillId="0" borderId="0"/>
  </cellStyleXfs>
  <cellXfs count="7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>
      <alignment vertical="center"/>
    </xf>
    <xf numFmtId="0" fontId="0" fillId="3" borderId="0" xfId="0" applyFill="1">
      <alignment vertical="center"/>
    </xf>
    <xf numFmtId="0" fontId="0" fillId="6" borderId="1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176" fontId="9" fillId="3" borderId="0" xfId="0" applyNumberFormat="1" applyFont="1" applyFill="1" applyBorder="1" applyAlignment="1">
      <alignment horizontal="center" vertical="center" wrapText="1"/>
    </xf>
    <xf numFmtId="176" fontId="3" fillId="3" borderId="0" xfId="0" applyNumberFormat="1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 wrapText="1"/>
    </xf>
    <xf numFmtId="14" fontId="13" fillId="3" borderId="10" xfId="0" applyNumberFormat="1" applyFont="1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3" borderId="8" xfId="0" applyFill="1" applyBorder="1">
      <alignment vertical="center"/>
    </xf>
    <xf numFmtId="0" fontId="0" fillId="3" borderId="8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1" fontId="0" fillId="3" borderId="10" xfId="0" applyNumberFormat="1" applyFill="1" applyBorder="1" applyAlignment="1">
      <alignment horizontal="center" vertical="center"/>
    </xf>
    <xf numFmtId="14" fontId="0" fillId="8" borderId="0" xfId="0" applyNumberFormat="1" applyFill="1" applyAlignment="1">
      <alignment horizontal="left" vertical="center"/>
    </xf>
    <xf numFmtId="0" fontId="0" fillId="0" borderId="14" xfId="0" applyBorder="1">
      <alignment vertical="center"/>
    </xf>
    <xf numFmtId="0" fontId="0" fillId="3" borderId="15" xfId="0" applyFill="1" applyBorder="1">
      <alignment vertical="center"/>
    </xf>
    <xf numFmtId="0" fontId="13" fillId="3" borderId="0" xfId="0" applyFont="1" applyFill="1">
      <alignment vertical="center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/>
    </xf>
    <xf numFmtId="0" fontId="0" fillId="0" borderId="0" xfId="3" applyNumberFormat="1" applyFont="1" applyAlignment="1">
      <alignment horizontal="center" vertical="center"/>
    </xf>
    <xf numFmtId="178" fontId="0" fillId="0" borderId="0" xfId="3" applyNumberFormat="1" applyFont="1">
      <alignment vertical="center"/>
    </xf>
    <xf numFmtId="178" fontId="0" fillId="3" borderId="0" xfId="0" applyNumberFormat="1" applyFill="1">
      <alignment vertical="center"/>
    </xf>
    <xf numFmtId="0" fontId="10" fillId="3" borderId="0" xfId="0" applyFont="1" applyFill="1">
      <alignment vertical="center"/>
    </xf>
    <xf numFmtId="0" fontId="0" fillId="0" borderId="6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" fontId="0" fillId="3" borderId="18" xfId="0" applyNumberFormat="1" applyFill="1" applyBorder="1" applyAlignment="1">
      <alignment horizontal="center" vertical="center"/>
    </xf>
    <xf numFmtId="0" fontId="0" fillId="3" borderId="19" xfId="0" applyFill="1" applyBorder="1">
      <alignment vertical="center"/>
    </xf>
    <xf numFmtId="176" fontId="3" fillId="5" borderId="0" xfId="0" applyNumberFormat="1" applyFont="1" applyFill="1" applyBorder="1" applyAlignment="1">
      <alignment horizontal="center" vertical="center"/>
    </xf>
    <xf numFmtId="0" fontId="4" fillId="7" borderId="0" xfId="0" applyFont="1" applyFill="1" applyBorder="1" applyAlignment="1">
      <alignment horizontal="center" vertical="center"/>
    </xf>
    <xf numFmtId="178" fontId="5" fillId="3" borderId="0" xfId="3" applyNumberFormat="1" applyFont="1" applyFill="1" applyBorder="1" applyAlignment="1">
      <alignment horizontal="center" vertical="center" wrapText="1"/>
    </xf>
    <xf numFmtId="0" fontId="17" fillId="3" borderId="0" xfId="0" applyFont="1" applyFill="1" applyBorder="1">
      <alignment vertical="center"/>
    </xf>
    <xf numFmtId="0" fontId="17" fillId="3" borderId="0" xfId="0" applyFont="1" applyFill="1" applyBorder="1" applyAlignment="1">
      <alignment horizontal="center" vertical="center"/>
    </xf>
    <xf numFmtId="0" fontId="17" fillId="7" borderId="0" xfId="0" applyFont="1" applyFill="1" applyBorder="1" applyAlignment="1">
      <alignment horizontal="center" vertical="center"/>
    </xf>
    <xf numFmtId="14" fontId="5" fillId="3" borderId="0" xfId="0" applyNumberFormat="1" applyFont="1" applyFill="1" applyBorder="1" applyAlignment="1">
      <alignment horizontal="center" vertical="center"/>
    </xf>
    <xf numFmtId="180" fontId="5" fillId="7" borderId="0" xfId="1" applyNumberFormat="1" applyFont="1" applyFill="1" applyBorder="1" applyAlignment="1">
      <alignment horizontal="center" vertical="center"/>
    </xf>
    <xf numFmtId="179" fontId="5" fillId="7" borderId="0" xfId="1" applyNumberFormat="1" applyFont="1" applyFill="1" applyBorder="1" applyAlignment="1">
      <alignment horizontal="center" vertical="center"/>
    </xf>
    <xf numFmtId="180" fontId="5" fillId="3" borderId="0" xfId="2" applyNumberFormat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 vertical="center"/>
    </xf>
    <xf numFmtId="176" fontId="18" fillId="5" borderId="0" xfId="0" applyNumberFormat="1" applyFont="1" applyFill="1" applyBorder="1" applyAlignment="1">
      <alignment horizontal="center" vertical="center"/>
    </xf>
    <xf numFmtId="177" fontId="18" fillId="5" borderId="0" xfId="0" applyNumberFormat="1" applyFont="1" applyFill="1" applyBorder="1" applyAlignment="1">
      <alignment horizontal="center" vertical="center"/>
    </xf>
    <xf numFmtId="180" fontId="5" fillId="10" borderId="0" xfId="1" applyNumberFormat="1" applyFont="1" applyFill="1" applyBorder="1" applyAlignment="1">
      <alignment horizontal="center" vertical="center"/>
    </xf>
    <xf numFmtId="179" fontId="5" fillId="10" borderId="0" xfId="1" applyNumberFormat="1" applyFont="1" applyFill="1" applyBorder="1" applyAlignment="1">
      <alignment horizontal="center" vertical="center"/>
    </xf>
    <xf numFmtId="178" fontId="5" fillId="10" borderId="0" xfId="3" applyNumberFormat="1" applyFont="1" applyFill="1" applyBorder="1" applyAlignment="1">
      <alignment horizontal="center" vertical="center"/>
    </xf>
    <xf numFmtId="0" fontId="5" fillId="10" borderId="0" xfId="0" applyFont="1" applyFill="1" applyBorder="1" applyAlignment="1">
      <alignment horizontal="center" vertical="center"/>
    </xf>
    <xf numFmtId="176" fontId="3" fillId="5" borderId="0" xfId="0" applyNumberFormat="1" applyFont="1" applyFill="1" applyBorder="1" applyAlignment="1">
      <alignment horizontal="center" vertical="center" wrapText="1"/>
    </xf>
    <xf numFmtId="176" fontId="3" fillId="5" borderId="0" xfId="0" applyNumberFormat="1" applyFont="1" applyFill="1" applyBorder="1" applyAlignment="1">
      <alignment horizontal="center" vertical="center"/>
    </xf>
    <xf numFmtId="0" fontId="19" fillId="5" borderId="0" xfId="0" applyNumberFormat="1" applyFont="1" applyFill="1" applyBorder="1" applyAlignment="1">
      <alignment horizontal="center" vertical="center" wrapText="1"/>
    </xf>
    <xf numFmtId="0" fontId="14" fillId="3" borderId="15" xfId="0" applyFont="1" applyFill="1" applyBorder="1" applyAlignment="1">
      <alignment horizontal="center" vertical="center" wrapText="1"/>
    </xf>
    <xf numFmtId="0" fontId="15" fillId="3" borderId="15" xfId="0" applyFont="1" applyFill="1" applyBorder="1" applyAlignment="1">
      <alignment horizontal="center" vertical="center" wrapText="1"/>
    </xf>
    <xf numFmtId="0" fontId="0" fillId="3" borderId="18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6">
    <cellStyle name="百分比" xfId="3" builtinId="5"/>
    <cellStyle name="常规" xfId="0" builtinId="0"/>
    <cellStyle name="常规 2" xfId="5"/>
    <cellStyle name="常规 39" xfId="4"/>
    <cellStyle name="千位分隔" xfId="1" builtinId="3"/>
    <cellStyle name="千位分隔[0]" xfId="2" builtinId="6"/>
  </cellStyles>
  <dxfs count="26"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5"/>
      <tableStyleElement type="headerRow" dxfId="24"/>
    </tableStyle>
  </tableStyles>
  <colors>
    <mruColors>
      <color rgb="FFF7F0EF"/>
      <color rgb="FFF4EAE8"/>
      <color rgb="FFF6D5F7"/>
      <color rgb="FF42893D"/>
      <color rgb="FFFAEADE"/>
      <color rgb="FFFAE8DA"/>
      <color rgb="FFD5A9A9"/>
      <color rgb="FFBD0996"/>
      <color rgb="FFB52811"/>
      <color rgb="FFCFB4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16</xdr:row>
      <xdr:rowOff>25680</xdr:rowOff>
    </xdr:from>
    <xdr:ext cx="9237005" cy="1134670"/>
    <xdr:sp macro="" textlink="">
      <xdr:nvSpPr>
        <xdr:cNvPr id="3" name="矩形 2"/>
        <xdr:cNvSpPr/>
      </xdr:nvSpPr>
      <xdr:spPr>
        <a:xfrm rot="20201025">
          <a:off x="0" y="3782763"/>
          <a:ext cx="9237005" cy="1134670"/>
        </a:xfrm>
        <a:prstGeom prst="rect">
          <a:avLst/>
        </a:prstGeom>
        <a:noFill/>
        <a:effectLst>
          <a:outerShdw blurRad="1270000" dist="50800" dir="21540000" sx="200000" sy="200000" algn="ctr" rotWithShape="0">
            <a:srgbClr val="000000">
              <a:alpha val="0"/>
            </a:srgbClr>
          </a:outerShdw>
        </a:effectLst>
      </xdr:spPr>
      <xdr:txBody>
        <a:bodyPr wrap="square" lIns="91440" tIns="45720" rIns="91440" bIns="45720">
          <a:spAutoFit/>
          <a:scene3d>
            <a:camera prst="orthographicFront">
              <a:rot lat="0" lon="0" rev="0"/>
            </a:camera>
            <a:lightRig rig="threePt" dir="t"/>
          </a:scene3d>
        </a:bodyPr>
        <a:lstStyle/>
        <a:p>
          <a:pPr algn="ctr"/>
          <a:r>
            <a:rPr lang="zh-CN" altLang="en-US" sz="6000" b="0" cap="none" spc="0">
              <a:ln w="10541" cmpd="sng">
                <a:noFill/>
                <a:prstDash val="solid"/>
              </a:ln>
              <a:solidFill>
                <a:schemeClr val="tx1">
                  <a:lumMod val="50000"/>
                  <a:lumOff val="50000"/>
                  <a:alpha val="15000"/>
                </a:schemeClr>
              </a:solidFill>
              <a:effectLst/>
            </a:rPr>
            <a:t>浙商期货研究中心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152400</xdr:rowOff>
        </xdr:from>
        <xdr:to>
          <xdr:col>0</xdr:col>
          <xdr:colOff>847725</xdr:colOff>
          <xdr:row>17</xdr:row>
          <xdr:rowOff>76200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等线"/>
                </a:rPr>
                <a:t>更新数据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BD0996"/>
  </sheetPr>
  <dimension ref="B1:R39"/>
  <sheetViews>
    <sheetView tabSelected="1" zoomScaleNormal="100" workbookViewId="0">
      <selection activeCell="I39" sqref="B2:I39"/>
    </sheetView>
  </sheetViews>
  <sheetFormatPr defaultRowHeight="13.5"/>
  <cols>
    <col min="1" max="1" width="9" style="8"/>
    <col min="2" max="7" width="11.625" style="8" customWidth="1"/>
    <col min="8" max="8" width="15.25" style="8" customWidth="1"/>
    <col min="9" max="9" width="13.875" style="15" customWidth="1"/>
    <col min="10" max="10" width="11.5" style="15" customWidth="1"/>
    <col min="11" max="11" width="12.875" style="8" customWidth="1"/>
    <col min="12" max="12" width="12.25" style="8" customWidth="1"/>
    <col min="13" max="16384" width="9" style="8"/>
  </cols>
  <sheetData>
    <row r="1" spans="2:14" ht="18" customHeight="1"/>
    <row r="2" spans="2:14" ht="21" customHeight="1">
      <c r="B2" s="66" t="s">
        <v>534</v>
      </c>
      <c r="C2" s="66"/>
      <c r="D2" s="66"/>
      <c r="E2" s="66"/>
      <c r="F2" s="66"/>
      <c r="G2" s="66"/>
      <c r="H2" s="66"/>
      <c r="I2" s="66"/>
      <c r="J2" s="12"/>
      <c r="K2" s="65" t="s">
        <v>1</v>
      </c>
      <c r="L2" s="64" t="s">
        <v>97</v>
      </c>
    </row>
    <row r="3" spans="2:14" ht="18" customHeight="1">
      <c r="B3" s="58" t="s">
        <v>376</v>
      </c>
      <c r="C3" s="58" t="s">
        <v>377</v>
      </c>
      <c r="D3" s="59" t="s">
        <v>378</v>
      </c>
      <c r="E3" s="58" t="s">
        <v>379</v>
      </c>
      <c r="F3" s="58" t="s">
        <v>378</v>
      </c>
      <c r="G3" s="58" t="s">
        <v>380</v>
      </c>
      <c r="H3" s="58" t="s">
        <v>381</v>
      </c>
      <c r="I3" s="47" t="s">
        <v>382</v>
      </c>
      <c r="J3" s="13"/>
      <c r="K3" s="65"/>
      <c r="L3" s="64"/>
    </row>
    <row r="4" spans="2:14" ht="18" customHeight="1">
      <c r="B4" s="53" t="str">
        <f>排序表!A2</f>
        <v>动力煤</v>
      </c>
      <c r="C4" s="54">
        <f>排序表!C2</f>
        <v>641</v>
      </c>
      <c r="D4" s="55">
        <f>排序表!D2</f>
        <v>-1</v>
      </c>
      <c r="E4" s="56">
        <f>排序表!G2</f>
        <v>49.600000000000023</v>
      </c>
      <c r="F4" s="55">
        <f>排序表!H2</f>
        <v>7.2000000000000455</v>
      </c>
      <c r="G4" s="49">
        <f>排序表!I2</f>
        <v>8.3868785931687562E-2</v>
      </c>
      <c r="H4" s="49"/>
      <c r="I4" s="57" t="str">
        <f>排序表!E2</f>
        <v>秦皇岛港</v>
      </c>
      <c r="J4" s="48"/>
      <c r="K4" s="53"/>
      <c r="L4" s="53"/>
    </row>
    <row r="5" spans="2:14" ht="18" customHeight="1">
      <c r="B5" s="60" t="str">
        <f>排序表!A3</f>
        <v>淀粉</v>
      </c>
      <c r="C5" s="60">
        <f>排序表!C3</f>
        <v>2300</v>
      </c>
      <c r="D5" s="61">
        <f>排序表!D3</f>
        <v>0</v>
      </c>
      <c r="E5" s="60">
        <f>排序表!G3</f>
        <v>161</v>
      </c>
      <c r="F5" s="61">
        <f>排序表!H3</f>
        <v>8</v>
      </c>
      <c r="G5" s="62">
        <f>排序表!I3</f>
        <v>7.5268817204301078E-2</v>
      </c>
      <c r="H5" s="60"/>
      <c r="I5" s="63" t="str">
        <f>排序表!E3</f>
        <v>东北</v>
      </c>
      <c r="J5" s="48"/>
      <c r="K5" s="60"/>
      <c r="L5" s="60"/>
    </row>
    <row r="6" spans="2:14" ht="18" customHeight="1">
      <c r="B6" s="53" t="str">
        <f>排序表!A4</f>
        <v>玉米</v>
      </c>
      <c r="C6" s="54">
        <f>排序表!C4</f>
        <v>1940</v>
      </c>
      <c r="D6" s="55">
        <f>排序表!D4</f>
        <v>10</v>
      </c>
      <c r="E6" s="56">
        <f>排序表!G4</f>
        <v>130</v>
      </c>
      <c r="F6" s="55">
        <f>排序表!H4</f>
        <v>14</v>
      </c>
      <c r="G6" s="49">
        <f>排序表!I4</f>
        <v>7.18232044198895E-2</v>
      </c>
      <c r="H6" s="49"/>
      <c r="I6" s="57" t="str">
        <f>排序表!E4</f>
        <v>鲅鱼圈平舱价</v>
      </c>
      <c r="J6" s="48"/>
      <c r="K6" s="53"/>
      <c r="L6" s="53"/>
    </row>
    <row r="7" spans="2:14" ht="18" customHeight="1">
      <c r="B7" s="60" t="str">
        <f>排序表!A5</f>
        <v>焦煤</v>
      </c>
      <c r="C7" s="60">
        <f>排序表!C5</f>
        <v>1380</v>
      </c>
      <c r="D7" s="61">
        <f>排序表!D5</f>
        <v>0</v>
      </c>
      <c r="E7" s="60">
        <f>排序表!G5</f>
        <v>91.5</v>
      </c>
      <c r="F7" s="61">
        <f>排序表!H5</f>
        <v>-2.5</v>
      </c>
      <c r="G7" s="62">
        <f>排序表!I5</f>
        <v>7.1012805587892899E-2</v>
      </c>
      <c r="H7" s="60"/>
      <c r="I7" s="63" t="str">
        <f>排序表!E5</f>
        <v>日照港</v>
      </c>
      <c r="J7" s="48"/>
      <c r="K7" s="60"/>
      <c r="L7" s="60"/>
    </row>
    <row r="8" spans="2:14" ht="18" customHeight="1">
      <c r="B8" s="53" t="str">
        <f>排序表!A6</f>
        <v>螺纹钢</v>
      </c>
      <c r="C8" s="54">
        <f>排序表!C6</f>
        <v>3886.6</v>
      </c>
      <c r="D8" s="55">
        <f>排序表!D6</f>
        <v>-61.400000000000091</v>
      </c>
      <c r="E8" s="56">
        <f>排序表!G6</f>
        <v>237.59999999999991</v>
      </c>
      <c r="F8" s="55">
        <f>排序表!H6</f>
        <v>-59.400000000000091</v>
      </c>
      <c r="G8" s="49">
        <f>排序表!I6</f>
        <v>6.5113729788983263E-2</v>
      </c>
      <c r="H8" s="49"/>
      <c r="I8" s="57" t="str">
        <f>排序表!E6</f>
        <v>上海</v>
      </c>
      <c r="J8" s="48"/>
      <c r="K8" s="53"/>
      <c r="L8" s="53"/>
      <c r="N8" s="32"/>
    </row>
    <row r="9" spans="2:14" ht="18" customHeight="1">
      <c r="B9" s="60" t="str">
        <f>排序表!A7</f>
        <v>铁矿石</v>
      </c>
      <c r="C9" s="60">
        <f>排序表!C7</f>
        <v>486.3</v>
      </c>
      <c r="D9" s="61">
        <f>排序表!D7</f>
        <v>-19.300000000000011</v>
      </c>
      <c r="E9" s="60">
        <f>排序表!G7</f>
        <v>27.300000000000011</v>
      </c>
      <c r="F9" s="61">
        <f>排序表!H7</f>
        <v>-15.800000000000011</v>
      </c>
      <c r="G9" s="62">
        <f>排序表!I7</f>
        <v>5.9477124183006561E-2</v>
      </c>
      <c r="H9" s="60"/>
      <c r="I9" s="63" t="str">
        <f>排序表!E7</f>
        <v>青岛港</v>
      </c>
      <c r="J9" s="48"/>
      <c r="K9" s="60"/>
      <c r="L9" s="60"/>
    </row>
    <row r="10" spans="2:14" ht="18" customHeight="1">
      <c r="B10" s="53" t="str">
        <f>排序表!A8</f>
        <v>焦炭</v>
      </c>
      <c r="C10" s="54">
        <f>排序表!C8</f>
        <v>2050</v>
      </c>
      <c r="D10" s="55">
        <f>排序表!D8</f>
        <v>0</v>
      </c>
      <c r="E10" s="56">
        <f>排序表!G8</f>
        <v>110</v>
      </c>
      <c r="F10" s="55">
        <f>排序表!H8</f>
        <v>5</v>
      </c>
      <c r="G10" s="49">
        <f>排序表!I8</f>
        <v>5.6701030927835051E-2</v>
      </c>
      <c r="H10" s="49"/>
      <c r="I10" s="57" t="str">
        <f>排序表!E8</f>
        <v>日照</v>
      </c>
      <c r="J10" s="48"/>
      <c r="K10" s="53"/>
      <c r="L10" s="53"/>
    </row>
    <row r="11" spans="2:14" ht="18" customHeight="1">
      <c r="B11" s="60" t="str">
        <f>排序表!A9</f>
        <v>玻璃</v>
      </c>
      <c r="C11" s="60">
        <f>排序表!C9</f>
        <v>1540</v>
      </c>
      <c r="D11" s="61">
        <f>排序表!D9</f>
        <v>20</v>
      </c>
      <c r="E11" s="60">
        <f>排序表!G9</f>
        <v>77</v>
      </c>
      <c r="F11" s="61">
        <f>排序表!H9</f>
        <v>40</v>
      </c>
      <c r="G11" s="62">
        <f>排序表!I9</f>
        <v>5.2631578947368418E-2</v>
      </c>
      <c r="H11" s="60"/>
      <c r="I11" s="63" t="str">
        <f>排序表!E9</f>
        <v>沙河</v>
      </c>
      <c r="J11" s="48"/>
      <c r="K11" s="60"/>
      <c r="L11" s="60"/>
    </row>
    <row r="12" spans="2:14" ht="18" customHeight="1">
      <c r="B12" s="53" t="str">
        <f>排序表!A10</f>
        <v>棉花</v>
      </c>
      <c r="C12" s="54">
        <f>排序表!C10</f>
        <v>15555</v>
      </c>
      <c r="D12" s="55">
        <f>排序表!D10</f>
        <v>0</v>
      </c>
      <c r="E12" s="56">
        <f>排序表!G10</f>
        <v>635</v>
      </c>
      <c r="F12" s="55">
        <f>排序表!H10</f>
        <v>0</v>
      </c>
      <c r="G12" s="49">
        <f>排序表!I10</f>
        <v>4.2560321715817695E-2</v>
      </c>
      <c r="H12" s="49"/>
      <c r="I12" s="57" t="str">
        <f>排序表!E10</f>
        <v>新疆</v>
      </c>
      <c r="J12" s="48"/>
      <c r="K12" s="53"/>
      <c r="L12" s="53"/>
    </row>
    <row r="13" spans="2:14" ht="18" customHeight="1">
      <c r="B13" s="60" t="str">
        <f>排序表!A11</f>
        <v>菜油</v>
      </c>
      <c r="C13" s="60">
        <f>排序表!C11</f>
        <v>6640</v>
      </c>
      <c r="D13" s="61">
        <f>排序表!D11</f>
        <v>-20</v>
      </c>
      <c r="E13" s="60">
        <f>排序表!G11</f>
        <v>262</v>
      </c>
      <c r="F13" s="61">
        <f>排序表!H11</f>
        <v>8</v>
      </c>
      <c r="G13" s="62">
        <f>排序表!I11</f>
        <v>4.1078708058952647E-2</v>
      </c>
      <c r="H13" s="60"/>
      <c r="I13" s="63" t="str">
        <f>排序表!E11</f>
        <v>广东东莞</v>
      </c>
      <c r="J13" s="48"/>
      <c r="K13" s="60"/>
      <c r="L13" s="60"/>
    </row>
    <row r="14" spans="2:14" ht="18" customHeight="1">
      <c r="B14" s="53" t="str">
        <f>排序表!A12</f>
        <v>热卷</v>
      </c>
      <c r="C14" s="54">
        <f>排序表!C12</f>
        <v>3960</v>
      </c>
      <c r="D14" s="55">
        <f>排序表!D12</f>
        <v>-10</v>
      </c>
      <c r="E14" s="56">
        <f>排序表!G12</f>
        <v>144</v>
      </c>
      <c r="F14" s="55">
        <f>排序表!H12</f>
        <v>-11</v>
      </c>
      <c r="G14" s="49">
        <f>排序表!I12</f>
        <v>3.7735849056603772E-2</v>
      </c>
      <c r="H14" s="49"/>
      <c r="I14" s="57" t="str">
        <f>排序表!E12</f>
        <v>上海</v>
      </c>
      <c r="J14" s="48"/>
      <c r="K14" s="53"/>
      <c r="L14" s="53"/>
    </row>
    <row r="15" spans="2:14" ht="18" customHeight="1">
      <c r="B15" s="60" t="str">
        <f>排序表!A13</f>
        <v>豆粕</v>
      </c>
      <c r="C15" s="60">
        <f>排序表!C13</f>
        <v>3100</v>
      </c>
      <c r="D15" s="61">
        <f>排序表!D13</f>
        <v>-60</v>
      </c>
      <c r="E15" s="60">
        <f>排序表!G13</f>
        <v>92</v>
      </c>
      <c r="F15" s="61">
        <f>排序表!H13</f>
        <v>-44</v>
      </c>
      <c r="G15" s="62">
        <f>排序表!I13</f>
        <v>3.0585106382978722E-2</v>
      </c>
      <c r="H15" s="60"/>
      <c r="I15" s="63" t="str">
        <f>排序表!E13</f>
        <v>东莞</v>
      </c>
      <c r="J15" s="48"/>
      <c r="K15" s="60"/>
      <c r="L15" s="60"/>
    </row>
    <row r="16" spans="2:14" ht="18" customHeight="1">
      <c r="B16" s="53" t="str">
        <f>排序表!A14</f>
        <v>甲醇</v>
      </c>
      <c r="C16" s="54">
        <f>排序表!C14</f>
        <v>2850</v>
      </c>
      <c r="D16" s="55">
        <f>排序表!D14</f>
        <v>40</v>
      </c>
      <c r="E16" s="56">
        <f>排序表!G14</f>
        <v>63</v>
      </c>
      <c r="F16" s="55">
        <f>排序表!H14</f>
        <v>52</v>
      </c>
      <c r="G16" s="49">
        <f>排序表!I14</f>
        <v>2.2604951560818085E-2</v>
      </c>
      <c r="H16" s="49"/>
      <c r="I16" s="57" t="str">
        <f>排序表!E14</f>
        <v>河南</v>
      </c>
      <c r="J16" s="48"/>
      <c r="K16" s="53"/>
      <c r="L16" s="53"/>
    </row>
    <row r="17" spans="2:18" ht="18" customHeight="1">
      <c r="B17" s="60" t="str">
        <f>排序表!A15</f>
        <v>PTA</v>
      </c>
      <c r="C17" s="60">
        <f>排序表!C15</f>
        <v>5562</v>
      </c>
      <c r="D17" s="61">
        <f>排序表!D15</f>
        <v>-53</v>
      </c>
      <c r="E17" s="60">
        <f>排序表!G15</f>
        <v>38</v>
      </c>
      <c r="F17" s="61">
        <f>排序表!H15</f>
        <v>-17</v>
      </c>
      <c r="G17" s="62">
        <f>排序表!I15</f>
        <v>6.8790731354091235E-3</v>
      </c>
      <c r="H17" s="60"/>
      <c r="I17" s="63" t="str">
        <f>排序表!E15</f>
        <v>华东</v>
      </c>
      <c r="J17" s="48"/>
      <c r="K17" s="60"/>
      <c r="L17" s="60"/>
    </row>
    <row r="18" spans="2:18" ht="18" customHeight="1">
      <c r="B18" s="53" t="str">
        <f>排序表!A16</f>
        <v>上证50</v>
      </c>
      <c r="C18" s="54">
        <f>排序表!C16</f>
        <v>2904.4</v>
      </c>
      <c r="D18" s="55">
        <f>排序表!D16</f>
        <v>7.1399999999998727</v>
      </c>
      <c r="E18" s="56">
        <f>排序表!G16</f>
        <v>15.400000000000091</v>
      </c>
      <c r="F18" s="55">
        <f>排序表!H16</f>
        <v>7.1399999999998727</v>
      </c>
      <c r="G18" s="49">
        <f>排序表!I16</f>
        <v>5.3305642090689135E-3</v>
      </c>
      <c r="H18" s="49"/>
      <c r="I18" s="57" t="str">
        <f>排序表!E16</f>
        <v>无</v>
      </c>
      <c r="J18" s="48"/>
      <c r="K18" s="53"/>
      <c r="L18" s="53"/>
    </row>
    <row r="19" spans="2:18" ht="18" customHeight="1">
      <c r="B19" s="60" t="str">
        <f>排序表!A17</f>
        <v>豆油</v>
      </c>
      <c r="C19" s="60">
        <f>排序表!C17</f>
        <v>5660</v>
      </c>
      <c r="D19" s="61">
        <f>排序表!D17</f>
        <v>-20</v>
      </c>
      <c r="E19" s="60">
        <f>排序表!G17</f>
        <v>0</v>
      </c>
      <c r="F19" s="61">
        <f>排序表!H17</f>
        <v>6</v>
      </c>
      <c r="G19" s="62">
        <f>排序表!I17</f>
        <v>0</v>
      </c>
      <c r="H19" s="60"/>
      <c r="I19" s="63" t="str">
        <f>排序表!E17</f>
        <v>日照</v>
      </c>
      <c r="J19" s="48"/>
      <c r="K19" s="60"/>
      <c r="L19" s="60"/>
    </row>
    <row r="20" spans="2:18" ht="18" customHeight="1">
      <c r="B20" s="53" t="str">
        <f>排序表!A18</f>
        <v>中证500</v>
      </c>
      <c r="C20" s="54">
        <f>排序表!C18</f>
        <v>6173.7</v>
      </c>
      <c r="D20" s="55">
        <f>排序表!D18</f>
        <v>19.869999999999891</v>
      </c>
      <c r="E20" s="56">
        <f>排序表!G18</f>
        <v>-0.5</v>
      </c>
      <c r="F20" s="55">
        <f>排序表!H18</f>
        <v>19.869999999999891</v>
      </c>
      <c r="G20" s="49">
        <f>排序表!I18</f>
        <v>-8.098215153380195E-5</v>
      </c>
      <c r="H20" s="49"/>
      <c r="I20" s="57" t="str">
        <f>排序表!E18</f>
        <v>无</v>
      </c>
      <c r="J20" s="48"/>
      <c r="K20" s="53"/>
      <c r="L20" s="53"/>
      <c r="R20" s="33"/>
    </row>
    <row r="21" spans="2:18" ht="18" customHeight="1">
      <c r="B21" s="60" t="str">
        <f>排序表!A19</f>
        <v>白糖</v>
      </c>
      <c r="C21" s="60">
        <f>排序表!C19</f>
        <v>5700</v>
      </c>
      <c r="D21" s="61">
        <f>排序表!D19</f>
        <v>-50</v>
      </c>
      <c r="E21" s="60">
        <f>排序表!G19</f>
        <v>-4</v>
      </c>
      <c r="F21" s="61">
        <f>排序表!H19</f>
        <v>-33</v>
      </c>
      <c r="G21" s="62">
        <f>排序表!I19</f>
        <v>-7.0126227208976155E-4</v>
      </c>
      <c r="H21" s="60"/>
      <c r="I21" s="63" t="str">
        <f>排序表!E19</f>
        <v>南宁</v>
      </c>
      <c r="J21" s="48"/>
      <c r="K21" s="60"/>
      <c r="L21" s="60"/>
    </row>
    <row r="22" spans="2:18" ht="18" customHeight="1">
      <c r="B22" s="53" t="str">
        <f>排序表!A20</f>
        <v>沪深300</v>
      </c>
      <c r="C22" s="54">
        <f>排序表!C20</f>
        <v>4077.7000000000003</v>
      </c>
      <c r="D22" s="55">
        <f>排序表!D20</f>
        <v>3.4500000000002728</v>
      </c>
      <c r="E22" s="56">
        <f>排序表!G20</f>
        <v>-4.2999999999997272</v>
      </c>
      <c r="F22" s="55">
        <f>排序表!H20</f>
        <v>3.4500000000002728</v>
      </c>
      <c r="G22" s="49">
        <f>排序表!I20</f>
        <v>-1.0534051935325152E-3</v>
      </c>
      <c r="H22" s="49"/>
      <c r="I22" s="57" t="str">
        <f>排序表!E20</f>
        <v>无</v>
      </c>
      <c r="J22" s="48"/>
      <c r="K22" s="53"/>
      <c r="L22" s="53"/>
    </row>
    <row r="23" spans="2:18" ht="18" customHeight="1">
      <c r="B23" s="60" t="str">
        <f>排序表!A21</f>
        <v>菜粕</v>
      </c>
      <c r="C23" s="60">
        <f>排序表!C21</f>
        <v>2470</v>
      </c>
      <c r="D23" s="61">
        <f>排序表!D21</f>
        <v>0</v>
      </c>
      <c r="E23" s="60">
        <f>排序表!G21</f>
        <v>-7</v>
      </c>
      <c r="F23" s="61">
        <f>排序表!H21</f>
        <v>7</v>
      </c>
      <c r="G23" s="62">
        <f>排序表!I21</f>
        <v>-2.8259991925716592E-3</v>
      </c>
      <c r="H23" s="60"/>
      <c r="I23" s="63" t="str">
        <f>排序表!E21</f>
        <v>厦门</v>
      </c>
      <c r="J23" s="48"/>
      <c r="K23" s="60"/>
      <c r="L23" s="60"/>
    </row>
    <row r="24" spans="2:18" ht="18" customHeight="1">
      <c r="B24" s="53" t="str">
        <f>排序表!A22</f>
        <v>铝</v>
      </c>
      <c r="C24" s="54">
        <f>排序表!C22</f>
        <v>13760</v>
      </c>
      <c r="D24" s="55">
        <f>排序表!D22</f>
        <v>50</v>
      </c>
      <c r="E24" s="56">
        <f>排序表!G22</f>
        <v>-60</v>
      </c>
      <c r="F24" s="55">
        <f>排序表!H22</f>
        <v>50</v>
      </c>
      <c r="G24" s="49">
        <f>排序表!I22</f>
        <v>-4.3415340086830683E-3</v>
      </c>
      <c r="H24" s="49"/>
      <c r="I24" s="57" t="str">
        <f>排序表!E22</f>
        <v>上海</v>
      </c>
      <c r="J24" s="48"/>
      <c r="K24" s="53"/>
      <c r="L24" s="53"/>
    </row>
    <row r="25" spans="2:18" ht="18" customHeight="1">
      <c r="B25" s="60" t="str">
        <f>排序表!A23</f>
        <v>棉纱</v>
      </c>
      <c r="C25" s="60">
        <f>排序表!C23</f>
        <v>23000</v>
      </c>
      <c r="D25" s="61">
        <f>排序表!D23</f>
        <v>0</v>
      </c>
      <c r="E25" s="60">
        <f>排序表!G23</f>
        <v>-150</v>
      </c>
      <c r="F25" s="61">
        <f>排序表!H23</f>
        <v>0</v>
      </c>
      <c r="G25" s="62">
        <f>排序表!I23</f>
        <v>-6.4794816414686825E-3</v>
      </c>
      <c r="H25" s="60"/>
      <c r="I25" s="63" t="str">
        <f>排序表!E23</f>
        <v>江苏</v>
      </c>
      <c r="J25" s="48"/>
      <c r="K25" s="60"/>
      <c r="L25" s="60"/>
    </row>
    <row r="26" spans="2:18" ht="18" customHeight="1">
      <c r="B26" s="53" t="str">
        <f>排序表!A24</f>
        <v>锌</v>
      </c>
      <c r="C26" s="54">
        <f>排序表!C24</f>
        <v>24590</v>
      </c>
      <c r="D26" s="55">
        <f>排序表!D24</f>
        <v>-160</v>
      </c>
      <c r="E26" s="56">
        <f>排序表!G24</f>
        <v>-170</v>
      </c>
      <c r="F26" s="55">
        <f>排序表!H24</f>
        <v>-160</v>
      </c>
      <c r="G26" s="49">
        <f>排序表!I24</f>
        <v>-6.8659127625201937E-3</v>
      </c>
      <c r="H26" s="49"/>
      <c r="I26" s="57" t="str">
        <f>排序表!E24</f>
        <v>上海</v>
      </c>
      <c r="J26" s="48"/>
      <c r="K26" s="53"/>
      <c r="L26" s="53"/>
    </row>
    <row r="27" spans="2:18" ht="18" customHeight="1">
      <c r="B27" s="60" t="str">
        <f>排序表!A25</f>
        <v>LLDPE</v>
      </c>
      <c r="C27" s="60">
        <f>排序表!C25</f>
        <v>9215</v>
      </c>
      <c r="D27" s="61">
        <f>排序表!D25</f>
        <v>-30</v>
      </c>
      <c r="E27" s="60">
        <f>排序表!G25</f>
        <v>-100</v>
      </c>
      <c r="F27" s="61">
        <f>排序表!H25</f>
        <v>0</v>
      </c>
      <c r="G27" s="62">
        <f>排序表!I25</f>
        <v>-1.0735373054213635E-2</v>
      </c>
      <c r="H27" s="60"/>
      <c r="I27" s="63" t="str">
        <f>排序表!E25</f>
        <v>华北</v>
      </c>
      <c r="J27" s="48"/>
      <c r="K27" s="60"/>
      <c r="L27" s="60"/>
    </row>
    <row r="28" spans="2:18" ht="18" customHeight="1">
      <c r="B28" s="53" t="str">
        <f>排序表!A26</f>
        <v>PVC</v>
      </c>
      <c r="C28" s="54">
        <f>排序表!C26</f>
        <v>6160</v>
      </c>
      <c r="D28" s="55">
        <f>排序表!D26</f>
        <v>-90</v>
      </c>
      <c r="E28" s="56">
        <f>排序表!G26</f>
        <v>-75</v>
      </c>
      <c r="F28" s="55">
        <f>排序表!H26</f>
        <v>-20</v>
      </c>
      <c r="G28" s="49">
        <f>排序表!I26</f>
        <v>-1.2028869286287089E-2</v>
      </c>
      <c r="H28" s="49"/>
      <c r="I28" s="57" t="str">
        <f>排序表!E26</f>
        <v>华东</v>
      </c>
      <c r="J28" s="48"/>
      <c r="K28" s="53"/>
      <c r="L28" s="53"/>
    </row>
    <row r="29" spans="2:18" ht="18" customHeight="1">
      <c r="B29" s="60" t="str">
        <f>排序表!A27</f>
        <v>铜</v>
      </c>
      <c r="C29" s="60">
        <f>排序表!C27</f>
        <v>50710</v>
      </c>
      <c r="D29" s="61">
        <f>排序表!D27</f>
        <v>-50</v>
      </c>
      <c r="E29" s="60">
        <f>排序表!G27</f>
        <v>-790</v>
      </c>
      <c r="F29" s="61">
        <f>排序表!H27</f>
        <v>-50</v>
      </c>
      <c r="G29" s="62">
        <f>排序表!I27</f>
        <v>-1.5339805825242718E-2</v>
      </c>
      <c r="H29" s="60"/>
      <c r="I29" s="63" t="str">
        <f>排序表!E27</f>
        <v>上海</v>
      </c>
      <c r="J29" s="48"/>
      <c r="K29" s="60"/>
      <c r="L29" s="60"/>
    </row>
    <row r="30" spans="2:18" ht="18" customHeight="1">
      <c r="B30" s="53" t="str">
        <f>排序表!A28</f>
        <v>豆一</v>
      </c>
      <c r="C30" s="54">
        <f>排序表!C28</f>
        <v>3650</v>
      </c>
      <c r="D30" s="55">
        <f>排序表!D28</f>
        <v>0</v>
      </c>
      <c r="E30" s="56">
        <f>排序表!G28</f>
        <v>-57</v>
      </c>
      <c r="F30" s="55">
        <f>排序表!H28</f>
        <v>7</v>
      </c>
      <c r="G30" s="49">
        <f>排序表!I28</f>
        <v>-1.5376315079579175E-2</v>
      </c>
      <c r="H30" s="49"/>
      <c r="I30" s="57" t="str">
        <f>排序表!E28</f>
        <v>哈尔滨</v>
      </c>
      <c r="J30" s="48"/>
      <c r="K30" s="53"/>
      <c r="L30" s="53"/>
    </row>
    <row r="31" spans="2:18" ht="18" customHeight="1">
      <c r="B31" s="60" t="str">
        <f>排序表!A29</f>
        <v>PP</v>
      </c>
      <c r="C31" s="60">
        <f>排序表!C29</f>
        <v>8556</v>
      </c>
      <c r="D31" s="61">
        <f>排序表!D29</f>
        <v>-51</v>
      </c>
      <c r="E31" s="60">
        <f>排序表!G29</f>
        <v>-150</v>
      </c>
      <c r="F31" s="61">
        <f>排序表!H29</f>
        <v>0</v>
      </c>
      <c r="G31" s="62">
        <f>排序表!I29</f>
        <v>-1.722949689869056E-2</v>
      </c>
      <c r="H31" s="60"/>
      <c r="I31" s="63" t="str">
        <f>排序表!E29</f>
        <v>华东</v>
      </c>
      <c r="J31" s="48"/>
      <c r="K31" s="60"/>
      <c r="L31" s="60"/>
    </row>
    <row r="32" spans="2:18" ht="18" customHeight="1">
      <c r="B32" s="53" t="str">
        <f>排序表!A30</f>
        <v>沥青</v>
      </c>
      <c r="C32" s="54">
        <f>排序表!C30</f>
        <v>2725</v>
      </c>
      <c r="D32" s="55">
        <f>排序表!D30</f>
        <v>0</v>
      </c>
      <c r="E32" s="56">
        <f>排序表!G30</f>
        <v>-55</v>
      </c>
      <c r="F32" s="55">
        <f>排序表!H30</f>
        <v>-20</v>
      </c>
      <c r="G32" s="49">
        <f>排序表!I30</f>
        <v>-1.9784172661870502E-2</v>
      </c>
      <c r="H32" s="49"/>
      <c r="I32" s="57" t="str">
        <f>排序表!E30</f>
        <v>华东</v>
      </c>
      <c r="J32" s="48"/>
      <c r="K32" s="53"/>
      <c r="L32" s="53"/>
    </row>
    <row r="33" spans="2:12" ht="18" customHeight="1">
      <c r="B33" s="60" t="str">
        <f>排序表!A31</f>
        <v>镍</v>
      </c>
      <c r="C33" s="60">
        <f>排序表!C31</f>
        <v>100250</v>
      </c>
      <c r="D33" s="61">
        <f>排序表!D31</f>
        <v>-700</v>
      </c>
      <c r="E33" s="60">
        <f>排序表!G31</f>
        <v>-2030</v>
      </c>
      <c r="F33" s="61">
        <f>排序表!H31</f>
        <v>-1290</v>
      </c>
      <c r="G33" s="62">
        <f>排序表!I31</f>
        <v>-1.9847477512710206E-2</v>
      </c>
      <c r="H33" s="60"/>
      <c r="I33" s="63" t="str">
        <f>排序表!E31</f>
        <v>上海</v>
      </c>
      <c r="J33" s="48"/>
      <c r="K33" s="60"/>
      <c r="L33" s="60"/>
    </row>
    <row r="34" spans="2:12" ht="18" customHeight="1">
      <c r="B34" s="53" t="str">
        <f>排序表!A32</f>
        <v>棕榈油</v>
      </c>
      <c r="C34" s="54">
        <f>排序表!C32</f>
        <v>5010</v>
      </c>
      <c r="D34" s="55">
        <f>排序表!D32</f>
        <v>-20</v>
      </c>
      <c r="E34" s="56">
        <f>排序表!G32</f>
        <v>-120</v>
      </c>
      <c r="F34" s="55">
        <f>排序表!H32</f>
        <v>-42</v>
      </c>
      <c r="G34" s="49">
        <f>排序表!I32</f>
        <v>-2.3391812865497075E-2</v>
      </c>
      <c r="H34" s="49"/>
      <c r="I34" s="57" t="str">
        <f>排序表!E32</f>
        <v>天津港</v>
      </c>
      <c r="J34" s="48"/>
      <c r="K34" s="53"/>
      <c r="L34" s="53"/>
    </row>
    <row r="35" spans="2:12" ht="18" customHeight="1">
      <c r="B35" s="60" t="str">
        <f>排序表!A33</f>
        <v>天胶</v>
      </c>
      <c r="C35" s="60">
        <f>排序表!C33</f>
        <v>11390</v>
      </c>
      <c r="D35" s="61">
        <f>排序表!D33</f>
        <v>-270</v>
      </c>
      <c r="E35" s="60">
        <f>排序表!G33</f>
        <v>-850</v>
      </c>
      <c r="F35" s="61">
        <f>排序表!H33</f>
        <v>0</v>
      </c>
      <c r="G35" s="62">
        <f>排序表!I33</f>
        <v>-6.9444444444444448E-2</v>
      </c>
      <c r="H35" s="60"/>
      <c r="I35" s="63" t="str">
        <f>排序表!E33</f>
        <v>上海</v>
      </c>
      <c r="J35" s="48"/>
      <c r="K35" s="60"/>
      <c r="L35" s="60"/>
    </row>
    <row r="36" spans="2:12">
      <c r="B36" s="50" t="s">
        <v>529</v>
      </c>
      <c r="C36" s="51"/>
      <c r="D36" s="51"/>
      <c r="E36" s="51"/>
      <c r="F36" s="51"/>
      <c r="G36" s="51"/>
      <c r="H36" s="51"/>
      <c r="I36" s="52"/>
      <c r="J36" s="14"/>
    </row>
    <row r="37" spans="2:12">
      <c r="B37" s="50" t="s">
        <v>374</v>
      </c>
      <c r="C37" s="50"/>
      <c r="D37" s="50"/>
      <c r="E37" s="50"/>
      <c r="F37" s="50"/>
      <c r="G37" s="50"/>
      <c r="H37" s="50"/>
      <c r="I37" s="52"/>
    </row>
    <row r="38" spans="2:12">
      <c r="B38" s="50" t="s">
        <v>533</v>
      </c>
      <c r="C38" s="50"/>
      <c r="D38" s="50"/>
      <c r="E38" s="50"/>
      <c r="F38" s="50"/>
      <c r="G38" s="50"/>
      <c r="H38" s="50"/>
      <c r="I38" s="52"/>
    </row>
    <row r="39" spans="2:12">
      <c r="B39" s="50" t="s">
        <v>375</v>
      </c>
      <c r="C39" s="50"/>
      <c r="D39" s="50"/>
      <c r="E39" s="50"/>
      <c r="F39" s="50"/>
      <c r="G39" s="50"/>
      <c r="H39" s="50"/>
      <c r="I39" s="52"/>
    </row>
  </sheetData>
  <mergeCells count="3">
    <mergeCell ref="L2:L3"/>
    <mergeCell ref="K2:K3"/>
    <mergeCell ref="B2:I2"/>
  </mergeCells>
  <phoneticPr fontId="7" type="noConversion"/>
  <conditionalFormatting sqref="D4:D5">
    <cfRule type="cellIs" dxfId="23" priority="55" operator="equal">
      <formula>0</formula>
    </cfRule>
    <cfRule type="cellIs" dxfId="22" priority="56" operator="lessThan">
      <formula>0</formula>
    </cfRule>
    <cfRule type="cellIs" dxfId="21" priority="57" operator="greaterThan">
      <formula>0</formula>
    </cfRule>
    <cfRule type="cellIs" dxfId="20" priority="58" operator="greaterThan">
      <formula>0</formula>
    </cfRule>
    <cfRule type="cellIs" dxfId="19" priority="59" operator="greaterThan">
      <formula>-161.5</formula>
    </cfRule>
    <cfRule type="cellIs" dxfId="18" priority="60" operator="greaterThan">
      <formula>0</formula>
    </cfRule>
  </conditionalFormatting>
  <conditionalFormatting sqref="F4:F5">
    <cfRule type="cellIs" dxfId="17" priority="31" operator="equal">
      <formula>0</formula>
    </cfRule>
    <cfRule type="cellIs" dxfId="16" priority="32" operator="lessThan">
      <formula>0</formula>
    </cfRule>
    <cfRule type="cellIs" dxfId="15" priority="33" operator="greaterThan">
      <formula>0</formula>
    </cfRule>
    <cfRule type="cellIs" dxfId="14" priority="34" operator="greaterThan">
      <formula>0</formula>
    </cfRule>
    <cfRule type="cellIs" dxfId="13" priority="35" operator="greaterThan">
      <formula>-161.5</formula>
    </cfRule>
    <cfRule type="cellIs" dxfId="12" priority="36" operator="greaterThan">
      <formula>0</formula>
    </cfRule>
  </conditionalFormatting>
  <conditionalFormatting sqref="D6:D35">
    <cfRule type="cellIs" dxfId="11" priority="7" operator="equal">
      <formula>0</formula>
    </cfRule>
    <cfRule type="cellIs" dxfId="10" priority="8" operator="lessThan">
      <formula>0</formula>
    </cfRule>
    <cfRule type="cellIs" dxfId="9" priority="9" operator="greaterThan">
      <formula>0</formula>
    </cfRule>
    <cfRule type="cellIs" dxfId="8" priority="10" operator="greaterThan">
      <formula>0</formula>
    </cfRule>
    <cfRule type="cellIs" dxfId="7" priority="11" operator="greaterThan">
      <formula>-161.5</formula>
    </cfRule>
    <cfRule type="cellIs" dxfId="6" priority="12" operator="greaterThan">
      <formula>0</formula>
    </cfRule>
  </conditionalFormatting>
  <conditionalFormatting sqref="F6:F35">
    <cfRule type="cellIs" dxfId="5" priority="1" operator="equal">
      <formula>0</formula>
    </cfRule>
    <cfRule type="cellIs" dxfId="4" priority="2" operator="lessThan">
      <formula>0</formula>
    </cfRule>
    <cfRule type="cellIs" dxfId="3" priority="3" operator="greaterThan">
      <formula>0</formula>
    </cfRule>
    <cfRule type="cellIs" dxfId="2" priority="4" operator="greaterThan">
      <formula>0</formula>
    </cfRule>
    <cfRule type="cellIs" dxfId="1" priority="5" operator="greaterThan">
      <formula>-161.5</formula>
    </cfRule>
    <cfRule type="cellIs" dxfId="0" priority="6" operator="greaterThan">
      <formula>0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 first="1">
          <x14:colorSeries rgb="FF323232"/>
          <x14:colorNegative rgb="FFD00000"/>
          <x14:colorAxis rgb="FF000000"/>
          <x14:colorMarkers theme="1"/>
          <x14:colorFirst rgb="FFC00000"/>
          <x14:colorLast rgb="FFD00000"/>
          <x14:colorHigh theme="1"/>
          <x14:colorLow theme="1"/>
          <x14:sparklines>
            <x14:sparkline>
              <xm:f>排序表!M2:P2</xm:f>
              <xm:sqref>H4</xm:sqref>
            </x14:sparkline>
            <x14:sparkline>
              <xm:f>排序表!M3:P3</xm:f>
              <xm:sqref>H5</xm:sqref>
            </x14:sparkline>
            <x14:sparkline>
              <xm:f>排序表!M4:P4</xm:f>
              <xm:sqref>H6</xm:sqref>
            </x14:sparkline>
            <x14:sparkline>
              <xm:f>排序表!M5:P5</xm:f>
              <xm:sqref>H7</xm:sqref>
            </x14:sparkline>
            <x14:sparkline>
              <xm:f>排序表!M6:P6</xm:f>
              <xm:sqref>H8</xm:sqref>
            </x14:sparkline>
            <x14:sparkline>
              <xm:f>排序表!M7:P7</xm:f>
              <xm:sqref>H9</xm:sqref>
            </x14:sparkline>
            <x14:sparkline>
              <xm:f>排序表!M8:P8</xm:f>
              <xm:sqref>H10</xm:sqref>
            </x14:sparkline>
            <x14:sparkline>
              <xm:f>排序表!M9:P9</xm:f>
              <xm:sqref>H11</xm:sqref>
            </x14:sparkline>
            <x14:sparkline>
              <xm:f>排序表!M10:P10</xm:f>
              <xm:sqref>H12</xm:sqref>
            </x14:sparkline>
            <x14:sparkline>
              <xm:f>排序表!M11:P11</xm:f>
              <xm:sqref>H13</xm:sqref>
            </x14:sparkline>
            <x14:sparkline>
              <xm:f>排序表!M12:P12</xm:f>
              <xm:sqref>H14</xm:sqref>
            </x14:sparkline>
            <x14:sparkline>
              <xm:f>排序表!M13:P13</xm:f>
              <xm:sqref>H15</xm:sqref>
            </x14:sparkline>
            <x14:sparkline>
              <xm:f>排序表!M14:P14</xm:f>
              <xm:sqref>H16</xm:sqref>
            </x14:sparkline>
            <x14:sparkline>
              <xm:f>排序表!M15:P15</xm:f>
              <xm:sqref>H17</xm:sqref>
            </x14:sparkline>
            <x14:sparkline>
              <xm:f>排序表!M16:P16</xm:f>
              <xm:sqref>H18</xm:sqref>
            </x14:sparkline>
            <x14:sparkline>
              <xm:f>排序表!M17:P17</xm:f>
              <xm:sqref>H19</xm:sqref>
            </x14:sparkline>
            <x14:sparkline>
              <xm:f>排序表!M18:P18</xm:f>
              <xm:sqref>H20</xm:sqref>
            </x14:sparkline>
            <x14:sparkline>
              <xm:f>排序表!M19:P19</xm:f>
              <xm:sqref>H21</xm:sqref>
            </x14:sparkline>
            <x14:sparkline>
              <xm:f>排序表!M20:P20</xm:f>
              <xm:sqref>H22</xm:sqref>
            </x14:sparkline>
            <x14:sparkline>
              <xm:f>排序表!M21:P21</xm:f>
              <xm:sqref>H23</xm:sqref>
            </x14:sparkline>
            <x14:sparkline>
              <xm:f>排序表!M22:P22</xm:f>
              <xm:sqref>H24</xm:sqref>
            </x14:sparkline>
            <x14:sparkline>
              <xm:f>排序表!M23:P23</xm:f>
              <xm:sqref>H25</xm:sqref>
            </x14:sparkline>
            <x14:sparkline>
              <xm:f>排序表!M24:P24</xm:f>
              <xm:sqref>H26</xm:sqref>
            </x14:sparkline>
            <x14:sparkline>
              <xm:f>排序表!M25:P25</xm:f>
              <xm:sqref>H27</xm:sqref>
            </x14:sparkline>
            <x14:sparkline>
              <xm:f>排序表!M26:P26</xm:f>
              <xm:sqref>H28</xm:sqref>
            </x14:sparkline>
            <x14:sparkline>
              <xm:f>排序表!M27:P27</xm:f>
              <xm:sqref>H29</xm:sqref>
            </x14:sparkline>
            <x14:sparkline>
              <xm:f>排序表!M28:P28</xm:f>
              <xm:sqref>H30</xm:sqref>
            </x14:sparkline>
            <x14:sparkline>
              <xm:f>排序表!M29:P29</xm:f>
              <xm:sqref>H31</xm:sqref>
            </x14:sparkline>
            <x14:sparkline>
              <xm:f>排序表!M30:P30</xm:f>
              <xm:sqref>H32</xm:sqref>
            </x14:sparkline>
            <x14:sparkline>
              <xm:f>排序表!M31:P31</xm:f>
              <xm:sqref>H33</xm:sqref>
            </x14:sparkline>
            <x14:sparkline>
              <xm:f>排序表!M32:P32</xm:f>
              <xm:sqref>H34</xm:sqref>
            </x14:sparkline>
            <x14:sparkline>
              <xm:f>排序表!M33:P33</xm:f>
              <xm:sqref>H35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">
    <tabColor theme="7"/>
  </sheetPr>
  <dimension ref="A1:O48"/>
  <sheetViews>
    <sheetView workbookViewId="0">
      <selection activeCell="H14" sqref="H14"/>
    </sheetView>
  </sheetViews>
  <sheetFormatPr defaultColWidth="0" defaultRowHeight="13.5"/>
  <cols>
    <col min="1" max="1" width="12" style="26" customWidth="1"/>
    <col min="2" max="2" width="9.5" style="15" customWidth="1"/>
    <col min="3" max="3" width="10.625" style="15" customWidth="1"/>
    <col min="4" max="4" width="10.75" style="15" customWidth="1"/>
    <col min="5" max="5" width="3.75" style="26" customWidth="1"/>
    <col min="6" max="6" width="7.75" style="14" customWidth="1"/>
    <col min="7" max="7" width="11.75" style="14" customWidth="1"/>
    <col min="8" max="8" width="12.25" style="14" customWidth="1"/>
    <col min="9" max="9" width="15.125" style="14" customWidth="1"/>
    <col min="10" max="10" width="10.25" style="14" customWidth="1"/>
    <col min="11" max="11" width="11.5" style="14" customWidth="1"/>
    <col min="12" max="12" width="11.875" style="14" customWidth="1"/>
    <col min="13" max="13" width="10.75" hidden="1" customWidth="1"/>
    <col min="14" max="15" width="9.5" hidden="1" customWidth="1"/>
    <col min="16" max="16384" width="9" hidden="1"/>
  </cols>
  <sheetData>
    <row r="1" spans="1:12">
      <c r="A1" s="27" t="s">
        <v>95</v>
      </c>
      <c r="B1" s="17" t="s">
        <v>90</v>
      </c>
      <c r="C1" s="18" t="s">
        <v>40</v>
      </c>
      <c r="D1" s="18" t="s">
        <v>41</v>
      </c>
      <c r="E1" s="44"/>
      <c r="F1" s="14" t="s">
        <v>103</v>
      </c>
      <c r="G1" s="29" t="s">
        <v>101</v>
      </c>
      <c r="H1" s="5" t="s">
        <v>102</v>
      </c>
      <c r="I1" s="5" t="s">
        <v>43</v>
      </c>
      <c r="J1" s="5" t="s">
        <v>42</v>
      </c>
      <c r="K1" s="42" t="s">
        <v>141</v>
      </c>
      <c r="L1" s="34" t="s">
        <v>44</v>
      </c>
    </row>
    <row r="2" spans="1:12" ht="15.75" customHeight="1">
      <c r="A2" t="s">
        <v>89</v>
      </c>
      <c r="B2" s="19" t="s">
        <v>5</v>
      </c>
      <c r="C2" s="22">
        <f>G2-J2</f>
        <v>2050</v>
      </c>
      <c r="D2" s="22">
        <f>H2-J2</f>
        <v>2050</v>
      </c>
      <c r="E2" s="69" t="s">
        <v>145</v>
      </c>
      <c r="F2" s="16" t="s">
        <v>5</v>
      </c>
      <c r="G2" s="35">
        <v>2050</v>
      </c>
      <c r="H2" s="35">
        <v>2050</v>
      </c>
      <c r="I2" s="36" t="s">
        <v>318</v>
      </c>
      <c r="J2" s="36">
        <v>0</v>
      </c>
      <c r="K2" s="43">
        <v>0</v>
      </c>
      <c r="L2" s="37"/>
    </row>
    <row r="3" spans="1:12">
      <c r="A3" s="24">
        <f ca="1">TODAY()</f>
        <v>43179</v>
      </c>
      <c r="B3" s="19" t="s">
        <v>7</v>
      </c>
      <c r="C3" s="22">
        <f t="shared" ref="C3:C30" si="0">G3-J3</f>
        <v>1380</v>
      </c>
      <c r="D3" s="22">
        <f t="shared" ref="D3:D30" si="1">H3-J3</f>
        <v>1380</v>
      </c>
      <c r="E3" s="69"/>
      <c r="F3" s="16" t="s">
        <v>7</v>
      </c>
      <c r="G3" s="35">
        <v>1380</v>
      </c>
      <c r="H3" s="35">
        <v>1380</v>
      </c>
      <c r="I3" s="36" t="s">
        <v>122</v>
      </c>
      <c r="J3" s="36">
        <v>0</v>
      </c>
      <c r="K3" s="43">
        <v>0</v>
      </c>
      <c r="L3" s="37"/>
    </row>
    <row r="4" spans="1:12">
      <c r="A4" s="8"/>
      <c r="B4" s="19" t="s">
        <v>4</v>
      </c>
      <c r="C4" s="22">
        <f t="shared" si="0"/>
        <v>641</v>
      </c>
      <c r="D4" s="22">
        <f t="shared" si="1"/>
        <v>641</v>
      </c>
      <c r="E4" s="69"/>
      <c r="F4" s="16" t="s">
        <v>4</v>
      </c>
      <c r="G4" s="35">
        <v>641</v>
      </c>
      <c r="H4" s="35">
        <v>641</v>
      </c>
      <c r="I4" s="36" t="s">
        <v>112</v>
      </c>
      <c r="J4" s="36">
        <v>0</v>
      </c>
      <c r="K4" s="43">
        <v>0</v>
      </c>
      <c r="L4" s="37"/>
    </row>
    <row r="5" spans="1:12">
      <c r="A5" t="s">
        <v>91</v>
      </c>
      <c r="B5" s="19" t="s">
        <v>20</v>
      </c>
      <c r="C5" s="22">
        <f t="shared" si="0"/>
        <v>486.3</v>
      </c>
      <c r="D5" s="22">
        <f t="shared" si="1"/>
        <v>486.3</v>
      </c>
      <c r="E5" s="69"/>
      <c r="F5" s="16" t="s">
        <v>20</v>
      </c>
      <c r="G5" s="35">
        <v>486.3</v>
      </c>
      <c r="H5" s="35">
        <v>486.3</v>
      </c>
      <c r="I5" s="36" t="s">
        <v>129</v>
      </c>
      <c r="J5" s="36">
        <v>0</v>
      </c>
      <c r="K5" s="43">
        <v>0</v>
      </c>
      <c r="L5" s="37"/>
    </row>
    <row r="6" spans="1:12">
      <c r="A6" s="24" t="s">
        <v>144</v>
      </c>
      <c r="B6" s="19" t="s">
        <v>12</v>
      </c>
      <c r="C6" s="22">
        <f t="shared" si="0"/>
        <v>3886.6</v>
      </c>
      <c r="D6" s="22">
        <f t="shared" si="1"/>
        <v>3886.6</v>
      </c>
      <c r="E6" s="69"/>
      <c r="F6" s="16" t="s">
        <v>12</v>
      </c>
      <c r="G6" s="35">
        <v>3886.6</v>
      </c>
      <c r="H6" s="35">
        <v>3886.6</v>
      </c>
      <c r="I6" s="36" t="s">
        <v>113</v>
      </c>
      <c r="J6" s="36">
        <v>0</v>
      </c>
      <c r="K6" s="43">
        <v>0</v>
      </c>
      <c r="L6" s="37"/>
    </row>
    <row r="7" spans="1:12">
      <c r="A7" s="8"/>
      <c r="B7" s="19" t="s">
        <v>9</v>
      </c>
      <c r="C7" s="22">
        <f t="shared" si="0"/>
        <v>3960</v>
      </c>
      <c r="D7" s="22">
        <f t="shared" si="1"/>
        <v>3960</v>
      </c>
      <c r="E7" s="69"/>
      <c r="F7" s="16" t="s">
        <v>9</v>
      </c>
      <c r="G7" s="35">
        <v>3960</v>
      </c>
      <c r="H7" s="35">
        <v>3960</v>
      </c>
      <c r="I7" s="36" t="s">
        <v>113</v>
      </c>
      <c r="J7" s="36">
        <v>0</v>
      </c>
      <c r="K7" s="43">
        <v>0</v>
      </c>
      <c r="L7" s="37"/>
    </row>
    <row r="8" spans="1:12">
      <c r="A8" s="26" t="s">
        <v>143</v>
      </c>
      <c r="B8" s="19" t="s">
        <v>31</v>
      </c>
      <c r="C8" s="22">
        <f t="shared" si="0"/>
        <v>11350</v>
      </c>
      <c r="D8" s="22">
        <f t="shared" si="1"/>
        <v>11390</v>
      </c>
      <c r="E8" s="69"/>
      <c r="F8" s="16" t="s">
        <v>31</v>
      </c>
      <c r="G8" s="35">
        <v>11350</v>
      </c>
      <c r="H8" s="35">
        <v>11390</v>
      </c>
      <c r="I8" s="36" t="s">
        <v>113</v>
      </c>
      <c r="J8" s="36">
        <v>0</v>
      </c>
      <c r="K8" s="43">
        <v>0</v>
      </c>
      <c r="L8" s="37"/>
    </row>
    <row r="9" spans="1:12">
      <c r="A9" s="24" t="s">
        <v>492</v>
      </c>
      <c r="B9" s="19" t="s">
        <v>17</v>
      </c>
      <c r="C9" s="22">
        <f t="shared" si="0"/>
        <v>1540</v>
      </c>
      <c r="D9" s="22">
        <f t="shared" si="1"/>
        <v>1540</v>
      </c>
      <c r="E9" s="69"/>
      <c r="F9" s="16" t="s">
        <v>17</v>
      </c>
      <c r="G9" s="35">
        <v>1540</v>
      </c>
      <c r="H9" s="35">
        <v>1540</v>
      </c>
      <c r="I9" s="36" t="s">
        <v>117</v>
      </c>
      <c r="J9" s="36">
        <v>0</v>
      </c>
      <c r="K9" s="43">
        <v>0</v>
      </c>
      <c r="L9" s="37"/>
    </row>
    <row r="10" spans="1:12">
      <c r="B10" s="25" t="s">
        <v>32</v>
      </c>
      <c r="C10" s="22">
        <f t="shared" si="0"/>
        <v>6160</v>
      </c>
      <c r="D10" s="22">
        <f t="shared" si="1"/>
        <v>6160</v>
      </c>
      <c r="E10" s="69"/>
      <c r="F10" s="16" t="s">
        <v>32</v>
      </c>
      <c r="G10" s="35">
        <v>6160</v>
      </c>
      <c r="H10" s="35">
        <v>6160</v>
      </c>
      <c r="I10" s="36" t="s">
        <v>124</v>
      </c>
      <c r="J10" s="36">
        <v>0</v>
      </c>
      <c r="K10" s="43">
        <v>0</v>
      </c>
      <c r="L10" s="37"/>
    </row>
    <row r="11" spans="1:12">
      <c r="B11" s="25" t="s">
        <v>21</v>
      </c>
      <c r="C11" s="22">
        <f t="shared" si="0"/>
        <v>9085</v>
      </c>
      <c r="D11" s="22">
        <f t="shared" si="1"/>
        <v>9215</v>
      </c>
      <c r="E11" s="69"/>
      <c r="F11" s="16" t="s">
        <v>21</v>
      </c>
      <c r="G11" s="35">
        <v>9085</v>
      </c>
      <c r="H11" s="35">
        <v>9215</v>
      </c>
      <c r="I11" s="36" t="s">
        <v>118</v>
      </c>
      <c r="J11" s="36">
        <v>0</v>
      </c>
      <c r="K11" s="43">
        <v>0</v>
      </c>
      <c r="L11" s="37"/>
    </row>
    <row r="12" spans="1:12">
      <c r="B12" s="25" t="s">
        <v>33</v>
      </c>
      <c r="C12" s="22">
        <f t="shared" si="0"/>
        <v>8467</v>
      </c>
      <c r="D12" s="22">
        <f t="shared" si="1"/>
        <v>8556</v>
      </c>
      <c r="E12" s="69"/>
      <c r="F12" s="16" t="s">
        <v>33</v>
      </c>
      <c r="G12" s="35">
        <v>8467</v>
      </c>
      <c r="H12" s="35">
        <v>8556</v>
      </c>
      <c r="I12" s="36" t="s">
        <v>124</v>
      </c>
      <c r="J12" s="36">
        <v>0</v>
      </c>
      <c r="K12" s="43">
        <v>0</v>
      </c>
      <c r="L12" s="37"/>
    </row>
    <row r="13" spans="1:12">
      <c r="B13" s="25" t="s">
        <v>13</v>
      </c>
      <c r="C13" s="22">
        <f t="shared" si="0"/>
        <v>5562</v>
      </c>
      <c r="D13" s="22">
        <f t="shared" si="1"/>
        <v>5562</v>
      </c>
      <c r="E13" s="69"/>
      <c r="F13" s="16" t="s">
        <v>13</v>
      </c>
      <c r="G13" s="35">
        <v>5562</v>
      </c>
      <c r="H13" s="35">
        <v>5562</v>
      </c>
      <c r="I13" s="36" t="s">
        <v>124</v>
      </c>
      <c r="J13" s="36">
        <v>0</v>
      </c>
      <c r="K13" s="43">
        <v>0</v>
      </c>
      <c r="L13" s="37"/>
    </row>
    <row r="14" spans="1:12">
      <c r="B14" s="25" t="s">
        <v>26</v>
      </c>
      <c r="C14" s="22">
        <f t="shared" si="0"/>
        <v>2725</v>
      </c>
      <c r="D14" s="22">
        <f t="shared" si="1"/>
        <v>2725</v>
      </c>
      <c r="E14" s="69"/>
      <c r="F14" s="16" t="s">
        <v>26</v>
      </c>
      <c r="G14" s="35">
        <v>2725</v>
      </c>
      <c r="H14" s="35">
        <v>2725</v>
      </c>
      <c r="I14" s="36" t="s">
        <v>142</v>
      </c>
      <c r="J14" s="36">
        <v>0</v>
      </c>
      <c r="K14" s="43">
        <v>0</v>
      </c>
      <c r="L14" s="37"/>
    </row>
    <row r="15" spans="1:12">
      <c r="B15" s="25" t="s">
        <v>6</v>
      </c>
      <c r="C15" s="22">
        <f t="shared" si="0"/>
        <v>2850</v>
      </c>
      <c r="D15" s="22">
        <f t="shared" si="1"/>
        <v>2850</v>
      </c>
      <c r="E15" s="69"/>
      <c r="F15" s="16" t="s">
        <v>6</v>
      </c>
      <c r="G15" s="35">
        <v>2650</v>
      </c>
      <c r="H15" s="35">
        <v>2650</v>
      </c>
      <c r="I15" s="36" t="s">
        <v>532</v>
      </c>
      <c r="J15" s="36">
        <v>-200</v>
      </c>
      <c r="K15" s="43">
        <v>0</v>
      </c>
      <c r="L15" s="37"/>
    </row>
    <row r="16" spans="1:12">
      <c r="B16" s="25" t="s">
        <v>15</v>
      </c>
      <c r="C16" s="22">
        <f t="shared" si="0"/>
        <v>3650</v>
      </c>
      <c r="D16" s="22">
        <f t="shared" si="1"/>
        <v>3650</v>
      </c>
      <c r="E16" s="69"/>
      <c r="F16" s="16" t="s">
        <v>15</v>
      </c>
      <c r="G16" s="35">
        <v>3500</v>
      </c>
      <c r="H16" s="35">
        <v>3500</v>
      </c>
      <c r="I16" s="36" t="s">
        <v>114</v>
      </c>
      <c r="J16" s="36">
        <v>-150</v>
      </c>
      <c r="K16" s="43">
        <v>0</v>
      </c>
      <c r="L16" s="37"/>
    </row>
    <row r="17" spans="1:12">
      <c r="B17" s="25" t="s">
        <v>11</v>
      </c>
      <c r="C17" s="22">
        <f t="shared" si="0"/>
        <v>3100</v>
      </c>
      <c r="D17" s="22">
        <f t="shared" si="1"/>
        <v>3100</v>
      </c>
      <c r="E17" s="69"/>
      <c r="F17" s="16" t="s">
        <v>11</v>
      </c>
      <c r="G17" s="35">
        <v>3100</v>
      </c>
      <c r="H17" s="35">
        <v>3100</v>
      </c>
      <c r="I17" s="36" t="s">
        <v>120</v>
      </c>
      <c r="J17" s="36">
        <v>0</v>
      </c>
      <c r="K17" s="43">
        <v>0</v>
      </c>
      <c r="L17" s="37"/>
    </row>
    <row r="18" spans="1:12">
      <c r="B18" s="25" t="s">
        <v>23</v>
      </c>
      <c r="C18" s="22">
        <f t="shared" si="0"/>
        <v>2470</v>
      </c>
      <c r="D18" s="22">
        <f t="shared" si="1"/>
        <v>2470</v>
      </c>
      <c r="E18" s="69"/>
      <c r="F18" s="16" t="s">
        <v>23</v>
      </c>
      <c r="G18" s="35">
        <v>2470</v>
      </c>
      <c r="H18" s="35">
        <v>2470</v>
      </c>
      <c r="I18" s="36" t="s">
        <v>531</v>
      </c>
      <c r="J18" s="36">
        <v>0</v>
      </c>
      <c r="K18" s="43">
        <v>0</v>
      </c>
      <c r="L18" s="37"/>
    </row>
    <row r="19" spans="1:12">
      <c r="B19" s="25" t="s">
        <v>14</v>
      </c>
      <c r="C19" s="22">
        <f t="shared" si="0"/>
        <v>1940</v>
      </c>
      <c r="D19" s="22">
        <f t="shared" si="1"/>
        <v>1940</v>
      </c>
      <c r="E19" s="69"/>
      <c r="F19" s="16" t="s">
        <v>14</v>
      </c>
      <c r="G19" s="35">
        <v>1940</v>
      </c>
      <c r="H19" s="35">
        <v>1940</v>
      </c>
      <c r="I19" s="36" t="s">
        <v>121</v>
      </c>
      <c r="J19" s="36">
        <v>0</v>
      </c>
      <c r="K19" s="43">
        <v>0</v>
      </c>
      <c r="L19" s="37"/>
    </row>
    <row r="20" spans="1:12">
      <c r="B20" s="25" t="s">
        <v>8</v>
      </c>
      <c r="C20" s="22">
        <f t="shared" si="0"/>
        <v>2300</v>
      </c>
      <c r="D20" s="22">
        <f t="shared" si="1"/>
        <v>2300</v>
      </c>
      <c r="E20" s="69"/>
      <c r="F20" s="16" t="s">
        <v>8</v>
      </c>
      <c r="G20" s="35">
        <v>2300</v>
      </c>
      <c r="H20" s="35">
        <v>2300</v>
      </c>
      <c r="I20" s="36" t="s">
        <v>111</v>
      </c>
      <c r="J20" s="36">
        <v>0</v>
      </c>
      <c r="K20" s="43">
        <v>0</v>
      </c>
      <c r="L20" s="37"/>
    </row>
    <row r="21" spans="1:12">
      <c r="B21" s="25" t="s">
        <v>34</v>
      </c>
      <c r="C21" s="22">
        <f t="shared" si="0"/>
        <v>5660</v>
      </c>
      <c r="D21" s="22">
        <f t="shared" si="1"/>
        <v>5660</v>
      </c>
      <c r="E21" s="69"/>
      <c r="F21" s="16" t="s">
        <v>34</v>
      </c>
      <c r="G21" s="35">
        <v>5610</v>
      </c>
      <c r="H21" s="35">
        <v>5610</v>
      </c>
      <c r="I21" s="36" t="s">
        <v>123</v>
      </c>
      <c r="J21" s="36">
        <v>-50</v>
      </c>
      <c r="K21" s="43">
        <v>0</v>
      </c>
      <c r="L21" s="37"/>
    </row>
    <row r="22" spans="1:12">
      <c r="B22" s="25" t="s">
        <v>25</v>
      </c>
      <c r="C22" s="22">
        <f t="shared" si="0"/>
        <v>5010</v>
      </c>
      <c r="D22" s="22">
        <f t="shared" si="1"/>
        <v>5010</v>
      </c>
      <c r="E22" s="69"/>
      <c r="F22" s="16" t="s">
        <v>25</v>
      </c>
      <c r="G22" s="35">
        <v>5110</v>
      </c>
      <c r="H22" s="35">
        <v>5110</v>
      </c>
      <c r="I22" s="36" t="s">
        <v>244</v>
      </c>
      <c r="J22" s="36">
        <v>100</v>
      </c>
      <c r="K22" s="43">
        <v>0</v>
      </c>
      <c r="L22" s="37"/>
    </row>
    <row r="23" spans="1:12">
      <c r="B23" s="25" t="s">
        <v>16</v>
      </c>
      <c r="C23" s="22">
        <f t="shared" si="0"/>
        <v>6640</v>
      </c>
      <c r="D23" s="22">
        <f t="shared" si="1"/>
        <v>6640</v>
      </c>
      <c r="E23" s="69"/>
      <c r="F23" s="16" t="s">
        <v>16</v>
      </c>
      <c r="G23" s="35">
        <v>6400</v>
      </c>
      <c r="H23" s="35">
        <v>6400</v>
      </c>
      <c r="I23" s="36" t="s">
        <v>127</v>
      </c>
      <c r="J23" s="36">
        <v>-240</v>
      </c>
      <c r="K23" s="43">
        <v>0</v>
      </c>
      <c r="L23" s="37"/>
    </row>
    <row r="24" spans="1:12">
      <c r="B24" s="25" t="s">
        <v>10</v>
      </c>
      <c r="C24" s="22">
        <f t="shared" si="0"/>
        <v>5700</v>
      </c>
      <c r="D24" s="22">
        <f t="shared" si="1"/>
        <v>5700</v>
      </c>
      <c r="E24" s="69"/>
      <c r="F24" s="16" t="s">
        <v>10</v>
      </c>
      <c r="G24" s="35">
        <v>5700</v>
      </c>
      <c r="H24" s="35">
        <v>5700</v>
      </c>
      <c r="I24" s="36" t="s">
        <v>223</v>
      </c>
      <c r="J24" s="36">
        <v>0</v>
      </c>
      <c r="K24" s="43">
        <v>0</v>
      </c>
      <c r="L24" s="37"/>
    </row>
    <row r="25" spans="1:12">
      <c r="B25" s="25" t="s">
        <v>35</v>
      </c>
      <c r="C25" s="22">
        <f t="shared" si="0"/>
        <v>15555</v>
      </c>
      <c r="D25" s="22">
        <f t="shared" si="1"/>
        <v>15555</v>
      </c>
      <c r="E25" s="69"/>
      <c r="F25" s="16" t="s">
        <v>35</v>
      </c>
      <c r="G25" s="35">
        <v>15555</v>
      </c>
      <c r="H25" s="35">
        <v>15555</v>
      </c>
      <c r="I25" s="36" t="s">
        <v>125</v>
      </c>
      <c r="J25" s="36">
        <v>0</v>
      </c>
      <c r="K25" s="43">
        <v>0</v>
      </c>
      <c r="L25" s="37"/>
    </row>
    <row r="26" spans="1:12">
      <c r="B26" s="25" t="s">
        <v>24</v>
      </c>
      <c r="C26" s="22">
        <f t="shared" si="0"/>
        <v>23000</v>
      </c>
      <c r="D26" s="22">
        <f t="shared" si="1"/>
        <v>23000</v>
      </c>
      <c r="E26" s="69"/>
      <c r="F26" s="16" t="s">
        <v>24</v>
      </c>
      <c r="G26" s="35">
        <v>23000</v>
      </c>
      <c r="H26" s="35">
        <v>23000</v>
      </c>
      <c r="I26" s="36" t="s">
        <v>126</v>
      </c>
      <c r="J26" s="36">
        <v>0</v>
      </c>
      <c r="K26" s="43">
        <v>0</v>
      </c>
      <c r="L26" s="37"/>
    </row>
    <row r="27" spans="1:12">
      <c r="B27" s="25" t="s">
        <v>36</v>
      </c>
      <c r="C27" s="22">
        <f t="shared" si="0"/>
        <v>50910</v>
      </c>
      <c r="D27" s="22">
        <f t="shared" si="1"/>
        <v>50710</v>
      </c>
      <c r="E27" s="69"/>
      <c r="F27" s="16" t="s">
        <v>36</v>
      </c>
      <c r="G27" s="35">
        <v>50910</v>
      </c>
      <c r="H27" s="35">
        <v>50710</v>
      </c>
      <c r="I27" s="36" t="s">
        <v>113</v>
      </c>
      <c r="J27" s="36">
        <v>0</v>
      </c>
      <c r="K27" s="43">
        <v>0</v>
      </c>
      <c r="L27" s="37"/>
    </row>
    <row r="28" spans="1:12">
      <c r="B28" s="25" t="s">
        <v>22</v>
      </c>
      <c r="C28" s="22">
        <f t="shared" si="0"/>
        <v>13780</v>
      </c>
      <c r="D28" s="22">
        <f t="shared" si="1"/>
        <v>13760</v>
      </c>
      <c r="E28" s="69"/>
      <c r="F28" s="16" t="s">
        <v>22</v>
      </c>
      <c r="G28" s="35">
        <v>13780</v>
      </c>
      <c r="H28" s="35">
        <v>13760</v>
      </c>
      <c r="I28" s="36" t="s">
        <v>113</v>
      </c>
      <c r="J28" s="36">
        <v>0</v>
      </c>
      <c r="K28" s="43">
        <v>0</v>
      </c>
      <c r="L28" s="37"/>
    </row>
    <row r="29" spans="1:12">
      <c r="B29" s="25" t="s">
        <v>37</v>
      </c>
      <c r="C29" s="22">
        <f t="shared" si="0"/>
        <v>24710</v>
      </c>
      <c r="D29" s="22">
        <f t="shared" si="1"/>
        <v>24590</v>
      </c>
      <c r="E29" s="69"/>
      <c r="F29" s="16" t="s">
        <v>37</v>
      </c>
      <c r="G29" s="35">
        <v>24710</v>
      </c>
      <c r="H29" s="35">
        <v>24590</v>
      </c>
      <c r="I29" s="36" t="s">
        <v>113</v>
      </c>
      <c r="J29" s="36">
        <v>0</v>
      </c>
      <c r="K29" s="43">
        <v>0</v>
      </c>
      <c r="L29" s="37"/>
    </row>
    <row r="30" spans="1:12">
      <c r="B30" s="25" t="s">
        <v>38</v>
      </c>
      <c r="C30" s="22">
        <f t="shared" si="0"/>
        <v>101300</v>
      </c>
      <c r="D30" s="22">
        <f t="shared" si="1"/>
        <v>100250</v>
      </c>
      <c r="E30" s="69"/>
      <c r="F30" s="16" t="s">
        <v>38</v>
      </c>
      <c r="G30" s="38">
        <v>101300</v>
      </c>
      <c r="H30" s="38">
        <v>100250</v>
      </c>
      <c r="I30" s="36" t="s">
        <v>113</v>
      </c>
      <c r="J30" s="36">
        <v>0</v>
      </c>
      <c r="K30" s="43">
        <v>0</v>
      </c>
      <c r="L30" s="39"/>
    </row>
    <row r="31" spans="1:12">
      <c r="A31" s="67" t="s">
        <v>104</v>
      </c>
      <c r="B31" s="25" t="s">
        <v>18</v>
      </c>
      <c r="C31" s="22">
        <v>6130.8600000000006</v>
      </c>
      <c r="D31" s="23">
        <v>6173.7</v>
      </c>
      <c r="E31" s="45"/>
      <c r="L31" s="40"/>
    </row>
    <row r="32" spans="1:12">
      <c r="A32" s="68"/>
      <c r="B32" s="25" t="s">
        <v>19</v>
      </c>
      <c r="C32" s="22">
        <v>2887.46</v>
      </c>
      <c r="D32" s="23">
        <v>2904.4</v>
      </c>
      <c r="E32" s="45"/>
      <c r="L32" s="40"/>
    </row>
    <row r="33" spans="1:12">
      <c r="A33" s="68"/>
      <c r="B33" s="25" t="s">
        <v>39</v>
      </c>
      <c r="C33" s="22">
        <v>4053.36</v>
      </c>
      <c r="D33" s="23">
        <v>4077.7000000000003</v>
      </c>
      <c r="E33" s="45"/>
      <c r="L33" s="40"/>
    </row>
    <row r="48" spans="1:12">
      <c r="B48" s="20"/>
      <c r="C48" s="20"/>
      <c r="D48" s="20"/>
      <c r="E48" s="46"/>
      <c r="F48" s="21"/>
      <c r="G48" s="21"/>
      <c r="H48" s="21"/>
      <c r="I48" s="21"/>
      <c r="J48" s="21"/>
      <c r="K48" s="21"/>
      <c r="L48" s="21"/>
    </row>
  </sheetData>
  <mergeCells count="2">
    <mergeCell ref="A31:A33"/>
    <mergeCell ref="E2:E30"/>
  </mergeCells>
  <phoneticPr fontId="2" type="noConversion"/>
  <dataValidations count="2">
    <dataValidation type="list" allowBlank="1" showInputMessage="1" showErrorMessage="1" sqref="A6">
      <formula1>"午间,收盘,自动"</formula1>
    </dataValidation>
    <dataValidation type="list" allowBlank="1" showInputMessage="1" showErrorMessage="1" sqref="A9">
      <formula1>"更新期货,更新现货,更新全部,只更新变动"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9">
              <controlPr defaultSize="0" print="0" autoFill="0" autoPict="0" macro="[0]!main">
                <anchor moveWithCells="1" sizeWithCells="1">
                  <from>
                    <xdr:col>0</xdr:col>
                    <xdr:colOff>47625</xdr:colOff>
                    <xdr:row>14</xdr:row>
                    <xdr:rowOff>152400</xdr:rowOff>
                  </from>
                  <to>
                    <xdr:col>0</xdr:col>
                    <xdr:colOff>847725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ture"/>
  <dimension ref="A1:AB56"/>
  <sheetViews>
    <sheetView topLeftCell="C19" workbookViewId="0">
      <selection activeCell="N37" sqref="N37:N39"/>
    </sheetView>
  </sheetViews>
  <sheetFormatPr defaultRowHeight="13.5"/>
  <cols>
    <col min="1" max="1" width="8.375" customWidth="1"/>
    <col min="2" max="2" width="7.125" customWidth="1"/>
    <col min="3" max="3" width="9.5" customWidth="1"/>
    <col min="4" max="4" width="13" customWidth="1"/>
    <col min="5" max="5" width="13.625" customWidth="1"/>
    <col min="6" max="6" width="11.75" customWidth="1"/>
    <col min="7" max="7" width="11.625" customWidth="1"/>
    <col min="8" max="8" width="13.125" style="1" customWidth="1"/>
    <col min="9" max="9" width="11.625" customWidth="1"/>
    <col min="10" max="10" width="13" style="1" customWidth="1"/>
    <col min="11" max="11" width="12.375" style="1" customWidth="1"/>
    <col min="12" max="12" width="11.125" style="1" customWidth="1"/>
    <col min="14" max="14" width="7.75" customWidth="1"/>
    <col min="15" max="15" width="8.5" customWidth="1"/>
    <col min="16" max="16" width="10.25" customWidth="1"/>
    <col min="17" max="17" width="10.875" customWidth="1"/>
    <col min="20" max="20" width="9.375" customWidth="1"/>
    <col min="21" max="21" width="8.125" customWidth="1"/>
    <col min="25" max="25" width="6.875" customWidth="1"/>
  </cols>
  <sheetData>
    <row r="1" spans="1:28">
      <c r="C1" s="70" t="s">
        <v>96</v>
      </c>
      <c r="D1" s="70"/>
      <c r="E1" s="70"/>
      <c r="F1" s="70"/>
      <c r="G1" s="70"/>
      <c r="H1" s="1">
        <v>8</v>
      </c>
      <c r="I1">
        <v>9</v>
      </c>
      <c r="J1" s="1">
        <v>10</v>
      </c>
      <c r="K1">
        <v>11</v>
      </c>
      <c r="L1" s="1">
        <v>12</v>
      </c>
      <c r="M1">
        <v>13</v>
      </c>
      <c r="N1" s="1">
        <v>14</v>
      </c>
      <c r="O1">
        <v>15</v>
      </c>
      <c r="P1" s="1">
        <v>16</v>
      </c>
      <c r="Q1">
        <v>17</v>
      </c>
      <c r="R1" s="1">
        <v>18</v>
      </c>
      <c r="S1">
        <v>19</v>
      </c>
      <c r="T1" s="1">
        <v>20</v>
      </c>
      <c r="U1">
        <v>21</v>
      </c>
      <c r="V1" s="1">
        <v>22</v>
      </c>
      <c r="W1">
        <v>23</v>
      </c>
      <c r="X1" s="1">
        <v>24</v>
      </c>
      <c r="Y1">
        <v>25</v>
      </c>
      <c r="Z1" s="1">
        <v>26</v>
      </c>
      <c r="AA1">
        <v>27</v>
      </c>
    </row>
    <row r="2" spans="1:28" s="1" customFormat="1">
      <c r="C2" s="9" t="s">
        <v>84</v>
      </c>
      <c r="D2" s="9"/>
      <c r="E2" s="9">
        <v>1805</v>
      </c>
      <c r="F2" s="9">
        <v>1809</v>
      </c>
      <c r="G2" s="9">
        <v>1901</v>
      </c>
      <c r="J2" s="3"/>
    </row>
    <row r="3" spans="1:28">
      <c r="C3" s="9" t="s">
        <v>85</v>
      </c>
      <c r="D3" s="9"/>
      <c r="E3" s="9">
        <v>1805</v>
      </c>
      <c r="F3" s="9">
        <v>1810</v>
      </c>
      <c r="G3" s="9">
        <v>1901</v>
      </c>
      <c r="I3" s="1"/>
      <c r="J3" s="4"/>
    </row>
    <row r="4" spans="1:28">
      <c r="C4" s="9" t="s">
        <v>86</v>
      </c>
      <c r="D4" s="9"/>
      <c r="E4" s="9">
        <v>1806</v>
      </c>
      <c r="F4" s="9">
        <v>1809</v>
      </c>
      <c r="G4" s="9">
        <v>1812</v>
      </c>
      <c r="I4" s="1"/>
    </row>
    <row r="5" spans="1:28">
      <c r="C5" s="9" t="s">
        <v>87</v>
      </c>
      <c r="D5" s="9"/>
      <c r="E5" s="9">
        <v>1803</v>
      </c>
      <c r="F5" s="9">
        <v>1804</v>
      </c>
      <c r="G5" s="9">
        <v>1805</v>
      </c>
    </row>
    <row r="6" spans="1:28">
      <c r="C6" s="10" t="s">
        <v>88</v>
      </c>
      <c r="D6" s="10"/>
      <c r="E6" s="10">
        <v>1803</v>
      </c>
      <c r="F6" s="10">
        <v>1804</v>
      </c>
      <c r="G6" s="10">
        <v>1806</v>
      </c>
      <c r="I6" s="71" t="s">
        <v>100</v>
      </c>
      <c r="J6" s="71"/>
      <c r="K6" s="71"/>
      <c r="L6" s="71"/>
      <c r="O6" t="s">
        <v>131</v>
      </c>
      <c r="S6" t="s">
        <v>132</v>
      </c>
      <c r="Y6" t="s">
        <v>136</v>
      </c>
    </row>
    <row r="7" spans="1:28">
      <c r="A7" s="2"/>
      <c r="B7" s="2"/>
      <c r="C7" s="2"/>
      <c r="D7" s="2" t="s">
        <v>30</v>
      </c>
      <c r="E7" s="2" t="s">
        <v>27</v>
      </c>
      <c r="F7" s="2" t="s">
        <v>28</v>
      </c>
      <c r="G7" s="2" t="s">
        <v>29</v>
      </c>
      <c r="H7" s="41" t="s">
        <v>130</v>
      </c>
      <c r="I7" s="41" t="s">
        <v>99</v>
      </c>
      <c r="J7" s="6" t="s">
        <v>92</v>
      </c>
      <c r="K7" s="2" t="s">
        <v>93</v>
      </c>
      <c r="L7" s="2" t="s">
        <v>94</v>
      </c>
      <c r="N7" s="41" t="s">
        <v>137</v>
      </c>
      <c r="O7" s="6" t="s">
        <v>92</v>
      </c>
      <c r="P7" s="2" t="s">
        <v>93</v>
      </c>
      <c r="Q7" s="2" t="s">
        <v>94</v>
      </c>
      <c r="T7" s="2" t="s">
        <v>133</v>
      </c>
      <c r="U7" s="2" t="s">
        <v>134</v>
      </c>
      <c r="V7" s="2" t="s">
        <v>135</v>
      </c>
      <c r="W7" s="2" t="s">
        <v>139</v>
      </c>
      <c r="Z7" s="7" t="s">
        <v>137</v>
      </c>
      <c r="AA7" s="7" t="s">
        <v>138</v>
      </c>
      <c r="AB7" s="7"/>
    </row>
    <row r="8" spans="1:28">
      <c r="A8" s="1" t="s">
        <v>5</v>
      </c>
      <c r="B8" s="1" t="s">
        <v>48</v>
      </c>
      <c r="C8" s="1" t="s">
        <v>80</v>
      </c>
      <c r="D8" s="1"/>
      <c r="E8" s="1" t="str">
        <f>IF($C8="CZC",$B8&amp;RIGHT(E$2,3)&amp;"."&amp;$C8,$B8&amp;E$2&amp;"."&amp;$C8)</f>
        <v>J1805.DCE</v>
      </c>
      <c r="F8" s="1" t="str">
        <f>IF($C8="CZC",$B8&amp;RIGHT(F$2,3)&amp;"."&amp;$C8,$B8&amp;F$2&amp;"."&amp;$C8)</f>
        <v>J1809.DCE</v>
      </c>
      <c r="G8" s="1" t="str">
        <f>IF($C8="CZC",$B8&amp;RIGHT(G$2,3)&amp;"."&amp;$C8,$B8&amp;G$2&amp;"."&amp;$C8)</f>
        <v>J1901.DCE</v>
      </c>
      <c r="H8" s="1">
        <v>0</v>
      </c>
      <c r="J8" s="1">
        <v>1940</v>
      </c>
      <c r="K8" s="1">
        <v>1857</v>
      </c>
      <c r="L8" s="1">
        <v>1815</v>
      </c>
      <c r="N8" s="28">
        <v>2050</v>
      </c>
      <c r="O8">
        <v>110</v>
      </c>
      <c r="P8">
        <v>193</v>
      </c>
      <c r="Q8">
        <v>235</v>
      </c>
      <c r="T8" s="31">
        <v>5.6701030927835051E-2</v>
      </c>
      <c r="U8" s="31">
        <v>0.10393107162089392</v>
      </c>
      <c r="V8" s="31">
        <v>0.12947658402203857</v>
      </c>
      <c r="W8">
        <f>IF(A8="","",RANK(T8,$T$8:$T$99))</f>
        <v>7</v>
      </c>
      <c r="Z8">
        <v>0</v>
      </c>
      <c r="AA8">
        <v>5</v>
      </c>
    </row>
    <row r="9" spans="1:28">
      <c r="A9" s="1" t="s">
        <v>7</v>
      </c>
      <c r="B9" s="1" t="s">
        <v>49</v>
      </c>
      <c r="C9" s="1" t="s">
        <v>80</v>
      </c>
      <c r="D9" s="1"/>
      <c r="E9" s="1" t="str">
        <f t="shared" ref="E9:G36" si="0">IF($C9="CZC",$B9&amp;RIGHT(E$2,3)&amp;"."&amp;$C9,$B9&amp;E$2&amp;"."&amp;$C9)</f>
        <v>JM1805.DCE</v>
      </c>
      <c r="F9" s="1" t="str">
        <f t="shared" si="0"/>
        <v>JM1809.DCE</v>
      </c>
      <c r="G9" s="1" t="str">
        <f t="shared" si="0"/>
        <v>JM1901.DCE</v>
      </c>
      <c r="H9" s="1">
        <v>0</v>
      </c>
      <c r="J9" s="1">
        <v>1288.5</v>
      </c>
      <c r="K9" s="1">
        <v>1198.5</v>
      </c>
      <c r="L9" s="1">
        <v>1175</v>
      </c>
      <c r="N9" s="28">
        <v>1380</v>
      </c>
      <c r="O9">
        <v>91.5</v>
      </c>
      <c r="P9">
        <v>181.5</v>
      </c>
      <c r="Q9">
        <v>205</v>
      </c>
      <c r="T9" s="31">
        <v>7.1012805587892899E-2</v>
      </c>
      <c r="U9" s="31">
        <v>0.15143929912390489</v>
      </c>
      <c r="V9" s="31">
        <v>0.17446808510638298</v>
      </c>
      <c r="W9">
        <f t="shared" ref="W9:W56" si="1">IF(A9="","",RANK(T9,$T$8:$T$99))</f>
        <v>4</v>
      </c>
      <c r="Z9">
        <v>0</v>
      </c>
      <c r="AA9">
        <v>-2.5</v>
      </c>
    </row>
    <row r="10" spans="1:28">
      <c r="A10" s="1" t="s">
        <v>4</v>
      </c>
      <c r="B10" s="1" t="s">
        <v>50</v>
      </c>
      <c r="C10" s="1" t="s">
        <v>81</v>
      </c>
      <c r="D10" s="1"/>
      <c r="E10" s="1" t="str">
        <f t="shared" si="0"/>
        <v>ZC805.CZC</v>
      </c>
      <c r="F10" s="1" t="str">
        <f t="shared" si="0"/>
        <v>ZC809.CZC</v>
      </c>
      <c r="G10" s="1" t="str">
        <f t="shared" si="0"/>
        <v>ZC901.CZC</v>
      </c>
      <c r="H10" s="1">
        <v>0</v>
      </c>
      <c r="J10" s="1">
        <v>591.4</v>
      </c>
      <c r="K10" s="1">
        <v>586</v>
      </c>
      <c r="L10" s="1">
        <v>601.6</v>
      </c>
      <c r="N10" s="28">
        <v>641</v>
      </c>
      <c r="O10">
        <v>49.600000000000023</v>
      </c>
      <c r="P10">
        <v>55</v>
      </c>
      <c r="Q10">
        <v>39.399999999999977</v>
      </c>
      <c r="T10" s="31">
        <v>8.3868785931687562E-2</v>
      </c>
      <c r="U10" s="31">
        <v>9.3856655290102384E-2</v>
      </c>
      <c r="V10" s="31">
        <v>6.5492021276595702E-2</v>
      </c>
      <c r="W10">
        <f t="shared" si="1"/>
        <v>1</v>
      </c>
      <c r="Z10">
        <v>-1</v>
      </c>
      <c r="AA10">
        <v>7.2000000000000455</v>
      </c>
    </row>
    <row r="11" spans="1:28">
      <c r="A11" s="1" t="s">
        <v>20</v>
      </c>
      <c r="B11" s="1" t="s">
        <v>51</v>
      </c>
      <c r="C11" s="1" t="s">
        <v>80</v>
      </c>
      <c r="D11" s="1"/>
      <c r="E11" s="1" t="str">
        <f t="shared" ref="E11:G12" si="2">IF($C11="CZC",$B11&amp;RIGHT(E$3,3)&amp;"."&amp;$C11,$B11&amp;E$3&amp;"."&amp;$C11)</f>
        <v>I1805.DCE</v>
      </c>
      <c r="F11" s="1" t="str">
        <f t="shared" si="2"/>
        <v>I1810.DCE</v>
      </c>
      <c r="G11" s="1" t="str">
        <f t="shared" si="2"/>
        <v>I1901.DCE</v>
      </c>
      <c r="H11" s="1">
        <v>0</v>
      </c>
      <c r="J11" s="1">
        <v>459</v>
      </c>
      <c r="K11" s="1">
        <v>469.5</v>
      </c>
      <c r="L11" s="1">
        <v>463.5</v>
      </c>
      <c r="N11" s="28">
        <v>486.3</v>
      </c>
      <c r="O11">
        <v>27.300000000000011</v>
      </c>
      <c r="P11">
        <v>16.800000000000011</v>
      </c>
      <c r="Q11">
        <v>22.800000000000011</v>
      </c>
      <c r="T11" s="31">
        <v>5.9477124183006561E-2</v>
      </c>
      <c r="U11" s="31">
        <v>3.5782747603833889E-2</v>
      </c>
      <c r="V11" s="31">
        <v>4.9190938511326887E-2</v>
      </c>
      <c r="W11">
        <f t="shared" si="1"/>
        <v>6</v>
      </c>
      <c r="Z11">
        <v>-19.300000000000011</v>
      </c>
      <c r="AA11">
        <v>-15.800000000000011</v>
      </c>
    </row>
    <row r="12" spans="1:28">
      <c r="A12" s="1" t="s">
        <v>12</v>
      </c>
      <c r="B12" s="1" t="s">
        <v>52</v>
      </c>
      <c r="C12" s="1" t="s">
        <v>82</v>
      </c>
      <c r="D12" s="1"/>
      <c r="E12" s="1" t="str">
        <f t="shared" si="2"/>
        <v>RB1805.SHF</v>
      </c>
      <c r="F12" s="1" t="str">
        <f t="shared" si="2"/>
        <v>RB1810.SHF</v>
      </c>
      <c r="G12" s="1" t="str">
        <f t="shared" si="2"/>
        <v>RB1901.SHF</v>
      </c>
      <c r="H12" s="1">
        <v>0</v>
      </c>
      <c r="J12" s="1">
        <v>3649</v>
      </c>
      <c r="K12" s="1">
        <v>3469</v>
      </c>
      <c r="L12" s="1">
        <v>3396</v>
      </c>
      <c r="N12" s="28">
        <v>3886.6</v>
      </c>
      <c r="O12">
        <v>237.59999999999991</v>
      </c>
      <c r="P12">
        <v>417.59999999999991</v>
      </c>
      <c r="Q12">
        <v>490.59999999999991</v>
      </c>
      <c r="T12" s="31">
        <v>6.5113729788983263E-2</v>
      </c>
      <c r="U12" s="31">
        <v>0.12038051311617178</v>
      </c>
      <c r="V12" s="31">
        <v>0.14446407538280326</v>
      </c>
      <c r="W12">
        <f t="shared" si="1"/>
        <v>5</v>
      </c>
      <c r="Z12">
        <v>-61.400000000000091</v>
      </c>
      <c r="AA12">
        <v>-59.400000000000091</v>
      </c>
    </row>
    <row r="13" spans="1:28">
      <c r="A13" s="1" t="s">
        <v>9</v>
      </c>
      <c r="B13" s="1" t="s">
        <v>53</v>
      </c>
      <c r="C13" s="1" t="s">
        <v>82</v>
      </c>
      <c r="D13" s="1"/>
      <c r="E13" s="1" t="str">
        <f t="shared" si="0"/>
        <v>HC1805.SHF</v>
      </c>
      <c r="F13" s="1" t="str">
        <f t="shared" si="0"/>
        <v>HC1809.SHF</v>
      </c>
      <c r="G13" s="1" t="str">
        <f t="shared" si="0"/>
        <v>HC1901.SHF</v>
      </c>
      <c r="H13" s="1">
        <v>0</v>
      </c>
      <c r="J13" s="1">
        <v>3816</v>
      </c>
      <c r="K13" s="1">
        <v>3705</v>
      </c>
      <c r="L13" s="1">
        <v>3552</v>
      </c>
      <c r="N13" s="28">
        <v>3960</v>
      </c>
      <c r="O13">
        <v>144</v>
      </c>
      <c r="P13">
        <v>255</v>
      </c>
      <c r="Q13">
        <v>408</v>
      </c>
      <c r="T13" s="31">
        <v>3.7735849056603772E-2</v>
      </c>
      <c r="U13" s="31">
        <v>6.8825910931174086E-2</v>
      </c>
      <c r="V13" s="31">
        <v>0.11486486486486487</v>
      </c>
      <c r="W13">
        <f t="shared" si="1"/>
        <v>11</v>
      </c>
      <c r="Z13">
        <v>-10</v>
      </c>
      <c r="AA13">
        <v>-11</v>
      </c>
    </row>
    <row r="14" spans="1:28">
      <c r="A14" s="1" t="s">
        <v>31</v>
      </c>
      <c r="B14" s="1" t="s">
        <v>54</v>
      </c>
      <c r="C14" s="1" t="s">
        <v>82</v>
      </c>
      <c r="D14" s="1"/>
      <c r="E14" s="1" t="str">
        <f t="shared" si="0"/>
        <v>RU1805.SHF</v>
      </c>
      <c r="F14" s="1" t="str">
        <f t="shared" si="0"/>
        <v>RU1809.SHF</v>
      </c>
      <c r="G14" s="1" t="str">
        <f t="shared" si="0"/>
        <v>RU1901.SHF</v>
      </c>
      <c r="H14" s="1">
        <v>0</v>
      </c>
      <c r="J14" s="1">
        <v>12240</v>
      </c>
      <c r="K14" s="1">
        <v>12585</v>
      </c>
      <c r="L14" s="1">
        <v>14575</v>
      </c>
      <c r="N14" s="28">
        <v>11390</v>
      </c>
      <c r="O14">
        <v>-850</v>
      </c>
      <c r="P14">
        <v>-1195</v>
      </c>
      <c r="Q14">
        <v>-3185</v>
      </c>
      <c r="T14" s="31">
        <v>-6.9444444444444448E-2</v>
      </c>
      <c r="U14" s="31">
        <v>-9.4954310687326182E-2</v>
      </c>
      <c r="V14" s="31">
        <v>-0.21852487135506005</v>
      </c>
      <c r="W14">
        <f t="shared" si="1"/>
        <v>32</v>
      </c>
      <c r="Z14">
        <v>-270</v>
      </c>
      <c r="AA14">
        <v>0</v>
      </c>
    </row>
    <row r="15" spans="1:28">
      <c r="A15" s="1" t="s">
        <v>17</v>
      </c>
      <c r="B15" s="1" t="s">
        <v>55</v>
      </c>
      <c r="C15" s="1" t="s">
        <v>81</v>
      </c>
      <c r="D15" s="1"/>
      <c r="E15" s="1" t="str">
        <f t="shared" si="0"/>
        <v>FG805.CZC</v>
      </c>
      <c r="F15" s="1" t="str">
        <f t="shared" si="0"/>
        <v>FG809.CZC</v>
      </c>
      <c r="G15" s="1" t="str">
        <f t="shared" si="0"/>
        <v>FG901.CZC</v>
      </c>
      <c r="H15" s="1">
        <v>0</v>
      </c>
      <c r="J15" s="1">
        <v>1463</v>
      </c>
      <c r="K15" s="1">
        <v>1428</v>
      </c>
      <c r="L15" s="1">
        <v>1379</v>
      </c>
      <c r="N15" s="28">
        <v>1540</v>
      </c>
      <c r="O15">
        <v>77</v>
      </c>
      <c r="P15">
        <v>112</v>
      </c>
      <c r="Q15">
        <v>161</v>
      </c>
      <c r="T15" s="31">
        <v>5.2631578947368418E-2</v>
      </c>
      <c r="U15" s="31">
        <v>7.8431372549019607E-2</v>
      </c>
      <c r="V15" s="31">
        <v>0.116751269035533</v>
      </c>
      <c r="W15">
        <f t="shared" si="1"/>
        <v>8</v>
      </c>
      <c r="Z15">
        <v>20</v>
      </c>
      <c r="AA15">
        <v>40</v>
      </c>
    </row>
    <row r="16" spans="1:28">
      <c r="A16" s="1" t="s">
        <v>32</v>
      </c>
      <c r="B16" s="1" t="s">
        <v>56</v>
      </c>
      <c r="C16" s="1" t="s">
        <v>80</v>
      </c>
      <c r="D16" s="1"/>
      <c r="E16" s="1" t="str">
        <f t="shared" si="0"/>
        <v>V1805.DCE</v>
      </c>
      <c r="F16" s="1" t="str">
        <f t="shared" si="0"/>
        <v>V1809.DCE</v>
      </c>
      <c r="G16" s="1" t="str">
        <f t="shared" si="0"/>
        <v>V1901.DCE</v>
      </c>
      <c r="H16" s="1">
        <v>0</v>
      </c>
      <c r="J16" s="1">
        <v>6235</v>
      </c>
      <c r="K16" s="1">
        <v>6340</v>
      </c>
      <c r="L16" s="1">
        <v>6305</v>
      </c>
      <c r="N16" s="28">
        <v>6160</v>
      </c>
      <c r="O16">
        <v>-75</v>
      </c>
      <c r="P16">
        <v>-180</v>
      </c>
      <c r="Q16">
        <v>-145</v>
      </c>
      <c r="T16" s="31">
        <v>-1.2028869286287089E-2</v>
      </c>
      <c r="U16" s="31">
        <v>-2.8391167192429023E-2</v>
      </c>
      <c r="V16" s="31">
        <v>-2.2997620935765267E-2</v>
      </c>
      <c r="W16">
        <f t="shared" si="1"/>
        <v>25</v>
      </c>
      <c r="Z16">
        <v>-90</v>
      </c>
      <c r="AA16">
        <v>-20</v>
      </c>
    </row>
    <row r="17" spans="1:27">
      <c r="A17" s="1" t="s">
        <v>21</v>
      </c>
      <c r="B17" s="1" t="s">
        <v>57</v>
      </c>
      <c r="C17" s="1" t="s">
        <v>80</v>
      </c>
      <c r="D17" s="1"/>
      <c r="E17" s="1" t="str">
        <f t="shared" si="0"/>
        <v>L1805.DCE</v>
      </c>
      <c r="F17" s="1" t="str">
        <f t="shared" si="0"/>
        <v>L1809.DCE</v>
      </c>
      <c r="G17" s="1" t="str">
        <f t="shared" si="0"/>
        <v>L1901.DCE</v>
      </c>
      <c r="H17" s="1">
        <v>0</v>
      </c>
      <c r="J17" s="1">
        <v>9315</v>
      </c>
      <c r="K17" s="1">
        <v>9275</v>
      </c>
      <c r="L17" s="1">
        <v>9245</v>
      </c>
      <c r="N17" s="28">
        <v>9215</v>
      </c>
      <c r="O17">
        <v>-100</v>
      </c>
      <c r="P17">
        <v>-60</v>
      </c>
      <c r="Q17">
        <v>-30</v>
      </c>
      <c r="T17" s="31">
        <v>-1.0735373054213635E-2</v>
      </c>
      <c r="U17" s="31">
        <v>-6.4690026954177899E-3</v>
      </c>
      <c r="V17" s="31">
        <v>-3.2449972958355868E-3</v>
      </c>
      <c r="W17">
        <f t="shared" si="1"/>
        <v>24</v>
      </c>
      <c r="Z17">
        <v>-30</v>
      </c>
      <c r="AA17">
        <v>0</v>
      </c>
    </row>
    <row r="18" spans="1:27">
      <c r="A18" s="1" t="s">
        <v>33</v>
      </c>
      <c r="B18" s="1" t="s">
        <v>58</v>
      </c>
      <c r="C18" s="1" t="s">
        <v>80</v>
      </c>
      <c r="D18" s="1"/>
      <c r="E18" s="1" t="str">
        <f t="shared" si="0"/>
        <v>PP1805.DCE</v>
      </c>
      <c r="F18" s="1" t="str">
        <f t="shared" si="0"/>
        <v>PP1809.DCE</v>
      </c>
      <c r="G18" s="1" t="str">
        <f t="shared" si="0"/>
        <v>PP1901.DCE</v>
      </c>
      <c r="H18" s="1">
        <v>0</v>
      </c>
      <c r="J18" s="1">
        <v>8706</v>
      </c>
      <c r="K18" s="1">
        <v>8864</v>
      </c>
      <c r="L18" s="1">
        <v>8874</v>
      </c>
      <c r="N18" s="28">
        <v>8556</v>
      </c>
      <c r="O18">
        <v>-150</v>
      </c>
      <c r="P18">
        <v>-308</v>
      </c>
      <c r="Q18">
        <v>-318</v>
      </c>
      <c r="T18" s="31">
        <v>-1.722949689869056E-2</v>
      </c>
      <c r="U18" s="31">
        <v>-3.4747292418772564E-2</v>
      </c>
      <c r="V18" s="31">
        <v>-3.5835023664638269E-2</v>
      </c>
      <c r="W18">
        <f t="shared" si="1"/>
        <v>28</v>
      </c>
      <c r="Z18">
        <v>-51</v>
      </c>
      <c r="AA18">
        <v>0</v>
      </c>
    </row>
    <row r="19" spans="1:27">
      <c r="A19" s="1" t="s">
        <v>13</v>
      </c>
      <c r="B19" s="1" t="s">
        <v>59</v>
      </c>
      <c r="C19" s="1" t="s">
        <v>81</v>
      </c>
      <c r="D19" s="1"/>
      <c r="E19" s="1" t="str">
        <f t="shared" si="0"/>
        <v>TA805.CZC</v>
      </c>
      <c r="F19" s="1" t="str">
        <f t="shared" si="0"/>
        <v>TA809.CZC</v>
      </c>
      <c r="G19" s="1" t="str">
        <f t="shared" si="0"/>
        <v>TA901.CZC</v>
      </c>
      <c r="H19" s="1">
        <v>0</v>
      </c>
      <c r="J19" s="1">
        <v>5524</v>
      </c>
      <c r="K19" s="1">
        <v>5482</v>
      </c>
      <c r="L19" s="1">
        <v>5482</v>
      </c>
      <c r="N19" s="28">
        <v>5562</v>
      </c>
      <c r="O19">
        <v>38</v>
      </c>
      <c r="P19">
        <v>80</v>
      </c>
      <c r="Q19">
        <v>80</v>
      </c>
      <c r="T19" s="31">
        <v>6.8790731354091235E-3</v>
      </c>
      <c r="U19" s="31">
        <v>1.4593214155417731E-2</v>
      </c>
      <c r="V19" s="31">
        <v>1.4593214155417731E-2</v>
      </c>
      <c r="W19">
        <f t="shared" si="1"/>
        <v>14</v>
      </c>
      <c r="Z19">
        <v>-53</v>
      </c>
      <c r="AA19">
        <v>-17</v>
      </c>
    </row>
    <row r="20" spans="1:27">
      <c r="A20" s="1" t="s">
        <v>26</v>
      </c>
      <c r="B20" s="1" t="s">
        <v>60</v>
      </c>
      <c r="C20" s="1" t="s">
        <v>82</v>
      </c>
      <c r="D20" s="1"/>
      <c r="E20" s="1" t="str">
        <f>IF($C20="CZC",$B20&amp;RIGHT(E$4,3)&amp;"."&amp;$C20,$B20&amp;E$4&amp;"."&amp;$C20)</f>
        <v>BU1806.SHF</v>
      </c>
      <c r="F20" s="1" t="str">
        <f>IF($C20="CZC",$B20&amp;RIGHT(F$4,3)&amp;"."&amp;$C20,$B20&amp;F$4&amp;"."&amp;$C20)</f>
        <v>BU1809.SHF</v>
      </c>
      <c r="G20" s="1" t="str">
        <f>IF($C20="CZC",$B20&amp;RIGHT(G$4,3)&amp;"."&amp;$C20,$B20&amp;G$4&amp;"."&amp;$C20)</f>
        <v>BU1812.SHF</v>
      </c>
      <c r="H20" s="1">
        <v>0</v>
      </c>
      <c r="J20" s="1">
        <v>2780</v>
      </c>
      <c r="K20" s="1">
        <v>2822</v>
      </c>
      <c r="L20" s="1">
        <v>2846</v>
      </c>
      <c r="N20" s="28">
        <v>2725</v>
      </c>
      <c r="O20">
        <v>-55</v>
      </c>
      <c r="P20">
        <v>-97</v>
      </c>
      <c r="Q20">
        <v>-121</v>
      </c>
      <c r="T20" s="31">
        <v>-1.9784172661870502E-2</v>
      </c>
      <c r="U20" s="31">
        <v>-3.4372785258681787E-2</v>
      </c>
      <c r="V20" s="31">
        <v>-4.251581166549543E-2</v>
      </c>
      <c r="W20">
        <f t="shared" si="1"/>
        <v>29</v>
      </c>
      <c r="Z20">
        <v>0</v>
      </c>
      <c r="AA20">
        <v>-20</v>
      </c>
    </row>
    <row r="21" spans="1:27">
      <c r="A21" s="1" t="s">
        <v>6</v>
      </c>
      <c r="B21" s="1" t="s">
        <v>61</v>
      </c>
      <c r="C21" s="1" t="s">
        <v>81</v>
      </c>
      <c r="D21" s="1"/>
      <c r="E21" s="1" t="str">
        <f t="shared" si="0"/>
        <v>MA805.CZC</v>
      </c>
      <c r="F21" s="1" t="str">
        <f t="shared" si="0"/>
        <v>MA809.CZC</v>
      </c>
      <c r="G21" s="1" t="str">
        <f t="shared" si="0"/>
        <v>MA901.CZC</v>
      </c>
      <c r="H21" s="1">
        <v>0</v>
      </c>
      <c r="J21" s="1">
        <v>2787</v>
      </c>
      <c r="K21" s="1">
        <v>2655</v>
      </c>
      <c r="L21" s="1">
        <v>2689</v>
      </c>
      <c r="N21" s="28">
        <v>2850</v>
      </c>
      <c r="O21">
        <v>63</v>
      </c>
      <c r="P21">
        <v>195</v>
      </c>
      <c r="Q21">
        <v>161</v>
      </c>
      <c r="T21" s="31">
        <v>2.2604951560818085E-2</v>
      </c>
      <c r="U21" s="31">
        <v>7.3446327683615822E-2</v>
      </c>
      <c r="V21" s="31">
        <v>5.9873558943845294E-2</v>
      </c>
      <c r="W21">
        <f t="shared" si="1"/>
        <v>13</v>
      </c>
      <c r="Z21">
        <v>40</v>
      </c>
      <c r="AA21">
        <v>52</v>
      </c>
    </row>
    <row r="22" spans="1:27">
      <c r="A22" s="1" t="s">
        <v>15</v>
      </c>
      <c r="B22" s="1" t="s">
        <v>62</v>
      </c>
      <c r="C22" s="1" t="s">
        <v>80</v>
      </c>
      <c r="D22" s="1"/>
      <c r="E22" s="1" t="str">
        <f t="shared" si="0"/>
        <v>A1805.DCE</v>
      </c>
      <c r="F22" s="1" t="str">
        <f t="shared" si="0"/>
        <v>A1809.DCE</v>
      </c>
      <c r="G22" s="1" t="str">
        <f t="shared" si="0"/>
        <v>A1901.DCE</v>
      </c>
      <c r="H22" s="1">
        <v>0</v>
      </c>
      <c r="J22" s="1">
        <v>3707</v>
      </c>
      <c r="K22" s="1">
        <v>3751</v>
      </c>
      <c r="L22" s="1">
        <v>3817</v>
      </c>
      <c r="N22" s="28">
        <v>3650</v>
      </c>
      <c r="O22">
        <v>-57</v>
      </c>
      <c r="P22">
        <v>-101</v>
      </c>
      <c r="Q22">
        <v>-167</v>
      </c>
      <c r="T22" s="31">
        <v>-1.5376315079579175E-2</v>
      </c>
      <c r="U22" s="31">
        <v>-2.692615302585977E-2</v>
      </c>
      <c r="V22" s="31">
        <v>-4.3751637411579773E-2</v>
      </c>
      <c r="W22">
        <f t="shared" si="1"/>
        <v>27</v>
      </c>
      <c r="Z22">
        <v>0</v>
      </c>
      <c r="AA22">
        <v>7</v>
      </c>
    </row>
    <row r="23" spans="1:27">
      <c r="A23" s="1" t="s">
        <v>11</v>
      </c>
      <c r="B23" s="1" t="s">
        <v>63</v>
      </c>
      <c r="C23" s="1" t="s">
        <v>80</v>
      </c>
      <c r="D23" s="1"/>
      <c r="E23" s="1" t="str">
        <f t="shared" si="0"/>
        <v>M1805.DCE</v>
      </c>
      <c r="F23" s="1" t="str">
        <f t="shared" si="0"/>
        <v>M1809.DCE</v>
      </c>
      <c r="G23" s="1" t="str">
        <f t="shared" si="0"/>
        <v>M1901.DCE</v>
      </c>
      <c r="H23" s="1">
        <v>0</v>
      </c>
      <c r="J23" s="1">
        <v>3008</v>
      </c>
      <c r="K23" s="1">
        <v>2979</v>
      </c>
      <c r="L23" s="1">
        <v>2933</v>
      </c>
      <c r="N23" s="28">
        <v>3100</v>
      </c>
      <c r="O23">
        <v>92</v>
      </c>
      <c r="P23">
        <v>121</v>
      </c>
      <c r="Q23">
        <v>167</v>
      </c>
      <c r="T23" s="31">
        <v>3.0585106382978722E-2</v>
      </c>
      <c r="U23" s="31">
        <v>4.061765693185633E-2</v>
      </c>
      <c r="V23" s="31">
        <v>5.6938288441868393E-2</v>
      </c>
      <c r="W23">
        <f t="shared" si="1"/>
        <v>12</v>
      </c>
      <c r="Z23">
        <v>-60</v>
      </c>
      <c r="AA23">
        <v>-44</v>
      </c>
    </row>
    <row r="24" spans="1:27">
      <c r="A24" s="1" t="s">
        <v>23</v>
      </c>
      <c r="B24" s="1" t="s">
        <v>64</v>
      </c>
      <c r="C24" s="1" t="s">
        <v>81</v>
      </c>
      <c r="D24" s="1"/>
      <c r="E24" s="1" t="str">
        <f t="shared" si="0"/>
        <v>RM805.CZC</v>
      </c>
      <c r="F24" s="1" t="str">
        <f t="shared" si="0"/>
        <v>RM809.CZC</v>
      </c>
      <c r="G24" s="1" t="str">
        <f t="shared" si="0"/>
        <v>RM901.CZC</v>
      </c>
      <c r="H24" s="1">
        <v>0</v>
      </c>
      <c r="J24" s="1">
        <v>2477</v>
      </c>
      <c r="K24" s="1">
        <v>2477</v>
      </c>
      <c r="L24" s="1">
        <v>2329</v>
      </c>
      <c r="N24" s="28">
        <v>2470</v>
      </c>
      <c r="O24">
        <v>-7</v>
      </c>
      <c r="P24">
        <v>-7</v>
      </c>
      <c r="Q24">
        <v>141</v>
      </c>
      <c r="T24" s="31">
        <v>-2.8259991925716592E-3</v>
      </c>
      <c r="U24" s="31">
        <v>-2.8259991925716592E-3</v>
      </c>
      <c r="V24" s="31">
        <v>6.0541004723057103E-2</v>
      </c>
      <c r="W24">
        <f t="shared" si="1"/>
        <v>20</v>
      </c>
      <c r="Z24">
        <v>0</v>
      </c>
      <c r="AA24">
        <v>7</v>
      </c>
    </row>
    <row r="25" spans="1:27">
      <c r="A25" s="1" t="s">
        <v>14</v>
      </c>
      <c r="B25" s="1" t="s">
        <v>65</v>
      </c>
      <c r="C25" s="1" t="s">
        <v>80</v>
      </c>
      <c r="D25" s="1"/>
      <c r="E25" s="1" t="str">
        <f t="shared" si="0"/>
        <v>C1805.DCE</v>
      </c>
      <c r="F25" s="1" t="str">
        <f t="shared" si="0"/>
        <v>C1809.DCE</v>
      </c>
      <c r="G25" s="1" t="str">
        <f t="shared" si="0"/>
        <v>C1901.DCE</v>
      </c>
      <c r="H25" s="1">
        <v>0</v>
      </c>
      <c r="J25" s="1">
        <v>1810</v>
      </c>
      <c r="K25" s="1">
        <v>1760</v>
      </c>
      <c r="L25" s="1">
        <v>1778</v>
      </c>
      <c r="N25" s="28">
        <v>1940</v>
      </c>
      <c r="O25">
        <v>130</v>
      </c>
      <c r="P25">
        <v>180</v>
      </c>
      <c r="Q25">
        <v>162</v>
      </c>
      <c r="T25" s="31">
        <v>7.18232044198895E-2</v>
      </c>
      <c r="U25" s="31">
        <v>0.10227272727272728</v>
      </c>
      <c r="V25" s="31">
        <v>9.1113610798650171E-2</v>
      </c>
      <c r="W25">
        <f t="shared" si="1"/>
        <v>3</v>
      </c>
      <c r="Z25">
        <v>10</v>
      </c>
      <c r="AA25">
        <v>14</v>
      </c>
    </row>
    <row r="26" spans="1:27">
      <c r="A26" s="1" t="s">
        <v>8</v>
      </c>
      <c r="B26" s="1" t="s">
        <v>66</v>
      </c>
      <c r="C26" s="1" t="s">
        <v>80</v>
      </c>
      <c r="D26" s="1"/>
      <c r="E26" s="1" t="str">
        <f t="shared" si="0"/>
        <v>CS1805.DCE</v>
      </c>
      <c r="F26" s="1" t="str">
        <f t="shared" si="0"/>
        <v>CS1809.DCE</v>
      </c>
      <c r="G26" s="1" t="str">
        <f t="shared" si="0"/>
        <v>CS1901.DCE</v>
      </c>
      <c r="H26" s="1">
        <v>0</v>
      </c>
      <c r="J26" s="1">
        <v>2139</v>
      </c>
      <c r="K26" s="1">
        <v>2147</v>
      </c>
      <c r="L26" s="1">
        <v>2149</v>
      </c>
      <c r="N26" s="28">
        <v>2300</v>
      </c>
      <c r="O26">
        <v>161</v>
      </c>
      <c r="P26">
        <v>153</v>
      </c>
      <c r="Q26">
        <v>151</v>
      </c>
      <c r="T26" s="31">
        <v>7.5268817204301078E-2</v>
      </c>
      <c r="U26" s="31">
        <v>7.1262226362366093E-2</v>
      </c>
      <c r="V26" s="31">
        <v>7.0265239646347136E-2</v>
      </c>
      <c r="W26">
        <f t="shared" si="1"/>
        <v>2</v>
      </c>
      <c r="Z26">
        <v>0</v>
      </c>
      <c r="AA26">
        <v>8</v>
      </c>
    </row>
    <row r="27" spans="1:27">
      <c r="A27" s="1" t="s">
        <v>34</v>
      </c>
      <c r="B27" s="1" t="s">
        <v>67</v>
      </c>
      <c r="C27" s="1" t="s">
        <v>80</v>
      </c>
      <c r="D27" s="1"/>
      <c r="E27" s="1" t="str">
        <f t="shared" si="0"/>
        <v>Y1805.DCE</v>
      </c>
      <c r="F27" s="1" t="str">
        <f t="shared" si="0"/>
        <v>Y1809.DCE</v>
      </c>
      <c r="G27" s="1" t="str">
        <f t="shared" si="0"/>
        <v>Y1901.DCE</v>
      </c>
      <c r="H27" s="1">
        <v>0</v>
      </c>
      <c r="J27" s="1">
        <v>5660</v>
      </c>
      <c r="K27" s="1">
        <v>5808</v>
      </c>
      <c r="L27" s="1">
        <v>5950</v>
      </c>
      <c r="N27" s="28">
        <v>5660</v>
      </c>
      <c r="O27">
        <v>0</v>
      </c>
      <c r="P27">
        <v>-148</v>
      </c>
      <c r="Q27">
        <v>-290</v>
      </c>
      <c r="T27" s="31">
        <v>0</v>
      </c>
      <c r="U27" s="31">
        <v>-2.5482093663911846E-2</v>
      </c>
      <c r="V27" s="31">
        <v>-4.8739495798319328E-2</v>
      </c>
      <c r="W27">
        <f t="shared" si="1"/>
        <v>16</v>
      </c>
      <c r="Z27">
        <v>-20</v>
      </c>
      <c r="AA27">
        <v>6</v>
      </c>
    </row>
    <row r="28" spans="1:27">
      <c r="A28" s="1" t="s">
        <v>25</v>
      </c>
      <c r="B28" s="1" t="s">
        <v>68</v>
      </c>
      <c r="C28" s="1" t="s">
        <v>80</v>
      </c>
      <c r="D28" s="1"/>
      <c r="E28" s="1" t="str">
        <f t="shared" si="0"/>
        <v>P1805.DCE</v>
      </c>
      <c r="F28" s="1" t="str">
        <f t="shared" si="0"/>
        <v>P1809.DCE</v>
      </c>
      <c r="G28" s="1" t="str">
        <f t="shared" si="0"/>
        <v>P1901.DCE</v>
      </c>
      <c r="H28" s="1">
        <v>0</v>
      </c>
      <c r="J28" s="1">
        <v>5130</v>
      </c>
      <c r="K28" s="1">
        <v>5126</v>
      </c>
      <c r="L28" s="1">
        <v>5128</v>
      </c>
      <c r="N28" s="28">
        <v>5010</v>
      </c>
      <c r="O28">
        <v>-120</v>
      </c>
      <c r="P28">
        <v>-116</v>
      </c>
      <c r="Q28">
        <v>-118</v>
      </c>
      <c r="T28" s="31">
        <v>-2.3391812865497075E-2</v>
      </c>
      <c r="U28" s="31">
        <v>-2.2629730784237221E-2</v>
      </c>
      <c r="V28" s="31">
        <v>-2.3010920436817472E-2</v>
      </c>
      <c r="W28">
        <f t="shared" si="1"/>
        <v>31</v>
      </c>
      <c r="Z28">
        <v>-20</v>
      </c>
      <c r="AA28">
        <v>-42</v>
      </c>
    </row>
    <row r="29" spans="1:27">
      <c r="A29" s="1" t="s">
        <v>16</v>
      </c>
      <c r="B29" s="1" t="s">
        <v>69</v>
      </c>
      <c r="C29" s="1" t="s">
        <v>81</v>
      </c>
      <c r="D29" s="1"/>
      <c r="E29" s="1" t="str">
        <f t="shared" si="0"/>
        <v>OI805.CZC</v>
      </c>
      <c r="F29" s="1" t="str">
        <f t="shared" si="0"/>
        <v>OI809.CZC</v>
      </c>
      <c r="G29" s="1" t="str">
        <f t="shared" si="0"/>
        <v>OI901.CZC</v>
      </c>
      <c r="H29" s="1">
        <v>0</v>
      </c>
      <c r="J29" s="1">
        <v>6378</v>
      </c>
      <c r="K29" s="1">
        <v>6562</v>
      </c>
      <c r="L29" s="1">
        <v>6700</v>
      </c>
      <c r="N29" s="28">
        <v>6640</v>
      </c>
      <c r="O29">
        <v>262</v>
      </c>
      <c r="P29">
        <v>78</v>
      </c>
      <c r="Q29">
        <v>-60</v>
      </c>
      <c r="T29" s="31">
        <v>4.1078708058952647E-2</v>
      </c>
      <c r="U29" s="31">
        <v>1.1886619932947273E-2</v>
      </c>
      <c r="V29" s="31">
        <v>-8.9552238805970154E-3</v>
      </c>
      <c r="W29">
        <f t="shared" si="1"/>
        <v>10</v>
      </c>
      <c r="Z29">
        <v>-20</v>
      </c>
      <c r="AA29">
        <v>8</v>
      </c>
    </row>
    <row r="30" spans="1:27">
      <c r="A30" s="1" t="s">
        <v>10</v>
      </c>
      <c r="B30" s="1" t="s">
        <v>70</v>
      </c>
      <c r="C30" s="1" t="s">
        <v>81</v>
      </c>
      <c r="D30" s="1"/>
      <c r="E30" s="1" t="str">
        <f t="shared" si="0"/>
        <v>SR805.CZC</v>
      </c>
      <c r="F30" s="1" t="str">
        <f t="shared" si="0"/>
        <v>SR809.CZC</v>
      </c>
      <c r="G30" s="1" t="str">
        <f t="shared" si="0"/>
        <v>SR901.CZC</v>
      </c>
      <c r="H30" s="1">
        <v>0</v>
      </c>
      <c r="J30" s="1">
        <v>5704</v>
      </c>
      <c r="K30" s="1">
        <v>5688</v>
      </c>
      <c r="L30" s="1">
        <v>5615</v>
      </c>
      <c r="N30" s="28">
        <v>5700</v>
      </c>
      <c r="O30">
        <v>-4</v>
      </c>
      <c r="P30">
        <v>12</v>
      </c>
      <c r="Q30">
        <v>85</v>
      </c>
      <c r="T30" s="31">
        <v>-7.0126227208976155E-4</v>
      </c>
      <c r="U30" s="31">
        <v>2.1097046413502108E-3</v>
      </c>
      <c r="V30" s="31">
        <v>1.5138023152270703E-2</v>
      </c>
      <c r="W30">
        <f t="shared" si="1"/>
        <v>18</v>
      </c>
      <c r="Z30">
        <v>-50</v>
      </c>
      <c r="AA30">
        <v>-33</v>
      </c>
    </row>
    <row r="31" spans="1:27">
      <c r="A31" s="1" t="s">
        <v>35</v>
      </c>
      <c r="B31" s="1" t="s">
        <v>71</v>
      </c>
      <c r="C31" s="1" t="s">
        <v>81</v>
      </c>
      <c r="D31" s="1"/>
      <c r="E31" s="1" t="str">
        <f t="shared" si="0"/>
        <v>CF805.CZC</v>
      </c>
      <c r="F31" s="1" t="str">
        <f t="shared" si="0"/>
        <v>CF809.CZC</v>
      </c>
      <c r="G31" s="1" t="str">
        <f t="shared" si="0"/>
        <v>CF901.CZC</v>
      </c>
      <c r="H31" s="1">
        <v>0</v>
      </c>
      <c r="J31" s="1">
        <v>14920</v>
      </c>
      <c r="K31" s="1">
        <v>15415</v>
      </c>
      <c r="L31" s="1">
        <v>15810</v>
      </c>
      <c r="N31" s="28">
        <v>15555</v>
      </c>
      <c r="O31">
        <v>635</v>
      </c>
      <c r="P31">
        <v>140</v>
      </c>
      <c r="Q31">
        <v>-255</v>
      </c>
      <c r="T31" s="31">
        <v>4.2560321715817695E-2</v>
      </c>
      <c r="U31" s="31">
        <v>9.0820629257216991E-3</v>
      </c>
      <c r="V31" s="31">
        <v>-1.6129032258064516E-2</v>
      </c>
      <c r="W31">
        <f t="shared" si="1"/>
        <v>9</v>
      </c>
      <c r="Z31">
        <v>0</v>
      </c>
      <c r="AA31">
        <v>0</v>
      </c>
    </row>
    <row r="32" spans="1:27">
      <c r="A32" s="1" t="s">
        <v>24</v>
      </c>
      <c r="B32" s="1" t="s">
        <v>72</v>
      </c>
      <c r="C32" s="1" t="s">
        <v>81</v>
      </c>
      <c r="D32" s="1"/>
      <c r="E32" s="1" t="str">
        <f t="shared" si="0"/>
        <v>CY805.CZC</v>
      </c>
      <c r="F32" s="1" t="str">
        <f t="shared" si="0"/>
        <v>CY809.CZC</v>
      </c>
      <c r="G32" s="1" t="str">
        <f t="shared" si="0"/>
        <v>CY901.CZC</v>
      </c>
      <c r="H32" s="1">
        <v>0</v>
      </c>
      <c r="J32" s="1">
        <v>23150</v>
      </c>
      <c r="K32" s="1">
        <v>23515</v>
      </c>
      <c r="L32" s="1">
        <v>22985</v>
      </c>
      <c r="N32" s="28">
        <v>23000</v>
      </c>
      <c r="O32">
        <v>-150</v>
      </c>
      <c r="P32">
        <v>-515</v>
      </c>
      <c r="Q32">
        <v>15</v>
      </c>
      <c r="T32" s="31">
        <v>-6.4794816414686825E-3</v>
      </c>
      <c r="U32" s="31">
        <v>-2.1900914310014886E-2</v>
      </c>
      <c r="V32" s="31">
        <v>6.5259952142701758E-4</v>
      </c>
      <c r="W32">
        <f t="shared" si="1"/>
        <v>22</v>
      </c>
      <c r="Z32">
        <v>0</v>
      </c>
      <c r="AA32">
        <v>0</v>
      </c>
    </row>
    <row r="33" spans="1:27">
      <c r="A33" s="1" t="s">
        <v>36</v>
      </c>
      <c r="B33" s="1" t="s">
        <v>73</v>
      </c>
      <c r="C33" s="1" t="s">
        <v>82</v>
      </c>
      <c r="D33" s="1"/>
      <c r="E33" s="1" t="str">
        <f>IF($C33="CZC",$B33&amp;RIGHT(E$5,3)&amp;"."&amp;$C33,$B33&amp;E$5&amp;"."&amp;$C33)</f>
        <v>CU1803.SHF</v>
      </c>
      <c r="F33" s="1" t="str">
        <f>IF($C33="CZC",$B33&amp;RIGHT(F$5,3)&amp;"."&amp;$C33,$B33&amp;F$5&amp;"."&amp;$C33)</f>
        <v>CU1804.SHF</v>
      </c>
      <c r="G33" s="1" t="str">
        <f>IF($C33="CZC",$B33&amp;RIGHT(G$5,3)&amp;"."&amp;$C33,$B33&amp;G$5&amp;"."&amp;$C33)</f>
        <v>CU1805.SHF</v>
      </c>
      <c r="H33" s="1">
        <v>0</v>
      </c>
      <c r="J33" s="1">
        <v>51500</v>
      </c>
      <c r="K33" s="1">
        <v>51210</v>
      </c>
      <c r="L33" s="1">
        <v>51440</v>
      </c>
      <c r="N33" s="28">
        <v>50710</v>
      </c>
      <c r="O33">
        <v>-790</v>
      </c>
      <c r="P33">
        <v>-500</v>
      </c>
      <c r="Q33">
        <v>-730</v>
      </c>
      <c r="T33" s="31">
        <v>-1.5339805825242718E-2</v>
      </c>
      <c r="U33" s="31">
        <v>-9.7637180238234721E-3</v>
      </c>
      <c r="V33" s="31">
        <v>-1.4191290824261276E-2</v>
      </c>
      <c r="W33">
        <f t="shared" si="1"/>
        <v>26</v>
      </c>
      <c r="Z33">
        <v>-50</v>
      </c>
      <c r="AA33">
        <v>-50</v>
      </c>
    </row>
    <row r="34" spans="1:27">
      <c r="A34" s="1" t="s">
        <v>22</v>
      </c>
      <c r="B34" s="1" t="s">
        <v>74</v>
      </c>
      <c r="C34" s="1" t="s">
        <v>82</v>
      </c>
      <c r="D34" s="1"/>
      <c r="E34" s="1" t="str">
        <f t="shared" ref="E34:G35" si="3">IF($C34="CZC",$B34&amp;RIGHT(E$5,3)&amp;"."&amp;$C34,$B34&amp;E$5&amp;"."&amp;$C34)</f>
        <v>AL1803.SHF</v>
      </c>
      <c r="F34" s="1" t="str">
        <f t="shared" si="3"/>
        <v>AL1804.SHF</v>
      </c>
      <c r="G34" s="1" t="str">
        <f t="shared" si="3"/>
        <v>AL1805.SHF</v>
      </c>
      <c r="H34" s="1">
        <v>0</v>
      </c>
      <c r="J34" s="1">
        <v>13820</v>
      </c>
      <c r="K34" s="1">
        <v>13915</v>
      </c>
      <c r="L34" s="1">
        <v>13990</v>
      </c>
      <c r="N34" s="28">
        <v>13760</v>
      </c>
      <c r="O34">
        <v>-60</v>
      </c>
      <c r="P34">
        <v>-155</v>
      </c>
      <c r="Q34">
        <v>-230</v>
      </c>
      <c r="T34" s="31">
        <v>-4.3415340086830683E-3</v>
      </c>
      <c r="U34" s="31">
        <v>-1.1139058569888609E-2</v>
      </c>
      <c r="V34" s="31">
        <v>-1.6440314510364547E-2</v>
      </c>
      <c r="W34">
        <f t="shared" si="1"/>
        <v>21</v>
      </c>
      <c r="Z34">
        <v>50</v>
      </c>
      <c r="AA34">
        <v>50</v>
      </c>
    </row>
    <row r="35" spans="1:27">
      <c r="A35" s="1" t="s">
        <v>37</v>
      </c>
      <c r="B35" s="1" t="s">
        <v>75</v>
      </c>
      <c r="C35" s="1" t="s">
        <v>82</v>
      </c>
      <c r="D35" s="1"/>
      <c r="E35" s="1" t="str">
        <f t="shared" si="3"/>
        <v>ZN1803.SHF</v>
      </c>
      <c r="F35" s="1" t="str">
        <f t="shared" si="3"/>
        <v>ZN1804.SHF</v>
      </c>
      <c r="G35" s="1" t="str">
        <f t="shared" si="3"/>
        <v>ZN1805.SHF</v>
      </c>
      <c r="H35" s="1">
        <v>0</v>
      </c>
      <c r="J35" s="1">
        <v>24760</v>
      </c>
      <c r="K35" s="1">
        <v>24795</v>
      </c>
      <c r="L35" s="1">
        <v>24770</v>
      </c>
      <c r="N35" s="28">
        <v>24590</v>
      </c>
      <c r="O35">
        <v>-170</v>
      </c>
      <c r="P35">
        <v>-205</v>
      </c>
      <c r="Q35">
        <v>-180</v>
      </c>
      <c r="T35" s="31">
        <v>-6.8659127625201937E-3</v>
      </c>
      <c r="U35" s="31">
        <v>-8.2677959265981052E-3</v>
      </c>
      <c r="V35" s="31">
        <v>-7.2668550666128385E-3</v>
      </c>
      <c r="W35">
        <f t="shared" si="1"/>
        <v>23</v>
      </c>
      <c r="Z35">
        <v>-160</v>
      </c>
      <c r="AA35">
        <v>-160</v>
      </c>
    </row>
    <row r="36" spans="1:27">
      <c r="A36" s="1" t="s">
        <v>38</v>
      </c>
      <c r="B36" s="1" t="s">
        <v>76</v>
      </c>
      <c r="C36" s="1" t="s">
        <v>82</v>
      </c>
      <c r="D36" s="1"/>
      <c r="E36" s="1" t="str">
        <f t="shared" si="0"/>
        <v>NI1805.SHF</v>
      </c>
      <c r="F36" s="1" t="str">
        <f t="shared" si="0"/>
        <v>NI1809.SHF</v>
      </c>
      <c r="G36" s="1" t="str">
        <f t="shared" si="0"/>
        <v>NI1901.SHF</v>
      </c>
      <c r="H36" s="1">
        <v>0</v>
      </c>
      <c r="J36" s="1">
        <v>102280</v>
      </c>
      <c r="K36" s="1">
        <v>103260</v>
      </c>
      <c r="L36" s="1">
        <v>104490</v>
      </c>
      <c r="N36" s="28">
        <v>100250</v>
      </c>
      <c r="O36">
        <v>-2030</v>
      </c>
      <c r="P36">
        <v>-3010</v>
      </c>
      <c r="Q36">
        <v>-4240</v>
      </c>
      <c r="T36" s="31">
        <v>-1.9847477512710206E-2</v>
      </c>
      <c r="U36" s="31">
        <v>-2.9149719155529732E-2</v>
      </c>
      <c r="V36" s="31">
        <v>-4.0578045746004404E-2</v>
      </c>
      <c r="W36">
        <f t="shared" si="1"/>
        <v>30</v>
      </c>
      <c r="Z36">
        <v>-700</v>
      </c>
      <c r="AA36">
        <v>-1290</v>
      </c>
    </row>
    <row r="37" spans="1:27">
      <c r="A37" s="1" t="s">
        <v>18</v>
      </c>
      <c r="B37" s="1" t="s">
        <v>77</v>
      </c>
      <c r="C37" s="1" t="s">
        <v>83</v>
      </c>
      <c r="D37" s="1"/>
      <c r="E37" s="1" t="str">
        <f>IF($C37="CZC",$B37&amp;RIGHT(E$6,3)&amp;"."&amp;$C37,$B37&amp;E$6&amp;"."&amp;$C37)</f>
        <v>IC1803.CFE</v>
      </c>
      <c r="F37" s="1" t="str">
        <f>IF($C37="CZC",$B37&amp;RIGHT(F$6,3)&amp;"."&amp;$C37,$B37&amp;F$6&amp;"."&amp;$C37)</f>
        <v>IC1804.CFE</v>
      </c>
      <c r="G37" s="1" t="str">
        <f>IF($C37="CZC",$B37&amp;RIGHT(G$6,3)&amp;"."&amp;$C37,$B37&amp;G$6&amp;"."&amp;$C37)</f>
        <v>IC1806.CFE</v>
      </c>
      <c r="H37" s="1">
        <v>0</v>
      </c>
      <c r="J37" s="1">
        <v>6174.2</v>
      </c>
      <c r="K37" s="1">
        <v>6103.2</v>
      </c>
      <c r="L37" s="1">
        <v>6014</v>
      </c>
      <c r="N37" s="28">
        <v>6173.7</v>
      </c>
      <c r="O37">
        <v>-0.5</v>
      </c>
      <c r="P37">
        <v>70.5</v>
      </c>
      <c r="Q37">
        <v>159.69999999999982</v>
      </c>
      <c r="T37" s="31">
        <v>-8.098215153380195E-5</v>
      </c>
      <c r="U37" s="31">
        <v>1.1551317341722376E-2</v>
      </c>
      <c r="V37" s="31">
        <v>2.655470568673093E-2</v>
      </c>
      <c r="W37">
        <f t="shared" si="1"/>
        <v>17</v>
      </c>
      <c r="Z37">
        <v>19.869999999999891</v>
      </c>
      <c r="AA37">
        <v>19.869999999999891</v>
      </c>
    </row>
    <row r="38" spans="1:27">
      <c r="A38" s="1" t="s">
        <v>19</v>
      </c>
      <c r="B38" s="1" t="s">
        <v>78</v>
      </c>
      <c r="C38" s="1" t="s">
        <v>83</v>
      </c>
      <c r="D38" s="1"/>
      <c r="E38" s="1" t="str">
        <f t="shared" ref="E38:G39" si="4">IF($C38="CZC",$B38&amp;RIGHT(E$6,3)&amp;"."&amp;$C38,$B38&amp;E$6&amp;"."&amp;$C38)</f>
        <v>IH1803.CFE</v>
      </c>
      <c r="F38" s="1" t="str">
        <f t="shared" si="4"/>
        <v>IH1804.CFE</v>
      </c>
      <c r="G38" s="1" t="str">
        <f t="shared" si="4"/>
        <v>IH1806.CFE</v>
      </c>
      <c r="H38" s="1">
        <v>0</v>
      </c>
      <c r="J38" s="1">
        <v>2889</v>
      </c>
      <c r="K38" s="1">
        <v>2900</v>
      </c>
      <c r="L38" s="1">
        <v>2894.2000000000003</v>
      </c>
      <c r="N38" s="28">
        <v>2904.4</v>
      </c>
      <c r="O38">
        <v>15.400000000000091</v>
      </c>
      <c r="P38">
        <v>4.4000000000000909</v>
      </c>
      <c r="Q38">
        <v>10.199999999999818</v>
      </c>
      <c r="T38" s="31">
        <v>5.3305642090689135E-3</v>
      </c>
      <c r="U38" s="31">
        <v>1.5172413793103762E-3</v>
      </c>
      <c r="V38" s="31">
        <v>3.5242899592287393E-3</v>
      </c>
      <c r="W38">
        <f t="shared" si="1"/>
        <v>15</v>
      </c>
      <c r="Z38">
        <v>7.1399999999998727</v>
      </c>
      <c r="AA38">
        <v>7.1399999999998727</v>
      </c>
    </row>
    <row r="39" spans="1:27">
      <c r="A39" s="1" t="s">
        <v>39</v>
      </c>
      <c r="B39" s="1" t="s">
        <v>79</v>
      </c>
      <c r="C39" s="1" t="s">
        <v>83</v>
      </c>
      <c r="D39" s="1"/>
      <c r="E39" s="1" t="str">
        <f t="shared" si="4"/>
        <v>IF1803.CFE</v>
      </c>
      <c r="F39" s="1" t="str">
        <f t="shared" si="4"/>
        <v>IF1804.CFE</v>
      </c>
      <c r="G39" s="1" t="str">
        <f t="shared" si="4"/>
        <v>IF1806.CFE</v>
      </c>
      <c r="H39" s="1">
        <v>0</v>
      </c>
      <c r="J39" s="1">
        <v>4082</v>
      </c>
      <c r="K39" s="1">
        <v>4049.6</v>
      </c>
      <c r="L39" s="1">
        <v>4022</v>
      </c>
      <c r="N39" s="28">
        <v>4077.7000000000003</v>
      </c>
      <c r="O39">
        <v>-4.2999999999997272</v>
      </c>
      <c r="P39">
        <v>28.100000000000364</v>
      </c>
      <c r="Q39">
        <v>55.700000000000273</v>
      </c>
      <c r="T39" s="31">
        <v>-1.0534051935325152E-3</v>
      </c>
      <c r="U39" s="31">
        <v>6.9389569340182642E-3</v>
      </c>
      <c r="V39" s="31">
        <v>1.3848831427150739E-2</v>
      </c>
      <c r="W39">
        <f t="shared" si="1"/>
        <v>19</v>
      </c>
      <c r="Z39">
        <v>3.4500000000002728</v>
      </c>
      <c r="AA39">
        <v>3.4500000000002728</v>
      </c>
    </row>
    <row r="40" spans="1:27">
      <c r="W40" t="str">
        <f t="shared" si="1"/>
        <v/>
      </c>
    </row>
    <row r="41" spans="1:27">
      <c r="W41" t="str">
        <f t="shared" si="1"/>
        <v/>
      </c>
    </row>
    <row r="42" spans="1:27">
      <c r="W42" t="str">
        <f t="shared" si="1"/>
        <v/>
      </c>
    </row>
    <row r="43" spans="1:27">
      <c r="W43" t="str">
        <f t="shared" si="1"/>
        <v/>
      </c>
    </row>
    <row r="44" spans="1:27">
      <c r="W44" t="str">
        <f t="shared" si="1"/>
        <v/>
      </c>
    </row>
    <row r="45" spans="1:27">
      <c r="W45" t="str">
        <f t="shared" si="1"/>
        <v/>
      </c>
    </row>
    <row r="46" spans="1:27">
      <c r="W46" t="str">
        <f t="shared" si="1"/>
        <v/>
      </c>
    </row>
    <row r="47" spans="1:27">
      <c r="W47" t="str">
        <f t="shared" si="1"/>
        <v/>
      </c>
    </row>
    <row r="48" spans="1:27">
      <c r="W48" t="str">
        <f t="shared" si="1"/>
        <v/>
      </c>
    </row>
    <row r="49" spans="23:23">
      <c r="W49" t="str">
        <f t="shared" si="1"/>
        <v/>
      </c>
    </row>
    <row r="50" spans="23:23">
      <c r="W50" t="str">
        <f t="shared" si="1"/>
        <v/>
      </c>
    </row>
    <row r="51" spans="23:23">
      <c r="W51" t="str">
        <f t="shared" si="1"/>
        <v/>
      </c>
    </row>
    <row r="52" spans="23:23">
      <c r="W52" t="str">
        <f t="shared" si="1"/>
        <v/>
      </c>
    </row>
    <row r="53" spans="23:23">
      <c r="W53" t="str">
        <f t="shared" si="1"/>
        <v/>
      </c>
    </row>
    <row r="54" spans="23:23">
      <c r="W54" t="str">
        <f t="shared" si="1"/>
        <v/>
      </c>
    </row>
    <row r="55" spans="23:23">
      <c r="W55" t="str">
        <f t="shared" si="1"/>
        <v/>
      </c>
    </row>
    <row r="56" spans="23:23">
      <c r="W56" t="str">
        <f t="shared" si="1"/>
        <v/>
      </c>
    </row>
  </sheetData>
  <mergeCells count="2">
    <mergeCell ref="C1:G1"/>
    <mergeCell ref="I6:L6"/>
  </mergeCells>
  <phoneticPr fontId="2" type="noConversion"/>
  <pageMargins left="0.7" right="0.7" top="0.75" bottom="0.75" header="0.3" footer="0.3"/>
  <ignoredErrors>
    <ignoredError sqref="E20 F20:G20" formula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"/>
  <dimension ref="A1:CC33"/>
  <sheetViews>
    <sheetView workbookViewId="0">
      <selection activeCell="B31" sqref="B31:B33"/>
    </sheetView>
  </sheetViews>
  <sheetFormatPr defaultRowHeight="13.5"/>
  <cols>
    <col min="1" max="16" width="9" customWidth="1"/>
    <col min="17" max="17" width="10.625" customWidth="1"/>
    <col min="18" max="32" width="9" customWidth="1"/>
    <col min="33" max="35" width="9.875" customWidth="1"/>
    <col min="36" max="45" width="10.5" bestFit="1" customWidth="1"/>
  </cols>
  <sheetData>
    <row r="1" spans="1:81">
      <c r="A1" t="s">
        <v>98</v>
      </c>
      <c r="B1" s="11">
        <v>43179</v>
      </c>
      <c r="C1" s="11">
        <v>43178</v>
      </c>
      <c r="D1" s="11">
        <v>43175</v>
      </c>
      <c r="E1" s="11">
        <v>43174</v>
      </c>
      <c r="F1" s="11">
        <v>43173</v>
      </c>
      <c r="G1" s="11">
        <v>43172</v>
      </c>
      <c r="H1" s="11">
        <v>43171</v>
      </c>
      <c r="I1" s="11">
        <v>43168</v>
      </c>
      <c r="J1" s="11">
        <v>43167</v>
      </c>
      <c r="K1" s="11">
        <v>43166</v>
      </c>
      <c r="L1" s="11">
        <v>43165</v>
      </c>
      <c r="M1" s="11">
        <v>43164</v>
      </c>
      <c r="N1" s="11">
        <v>43161</v>
      </c>
      <c r="O1" s="11">
        <v>43160</v>
      </c>
      <c r="P1" s="11">
        <v>43159</v>
      </c>
      <c r="Q1" s="11">
        <v>43158</v>
      </c>
      <c r="R1" s="11">
        <v>43157</v>
      </c>
      <c r="S1" s="11">
        <v>43154</v>
      </c>
      <c r="T1" s="11">
        <v>43153</v>
      </c>
      <c r="U1" s="11">
        <v>43145</v>
      </c>
      <c r="V1" s="11">
        <v>43144</v>
      </c>
      <c r="W1" s="11">
        <v>43143</v>
      </c>
      <c r="X1" s="11">
        <v>43140</v>
      </c>
      <c r="Y1" s="11">
        <v>43139</v>
      </c>
      <c r="Z1" s="11">
        <v>43138</v>
      </c>
      <c r="AA1" s="11">
        <v>43137</v>
      </c>
      <c r="AB1" s="11">
        <v>43136</v>
      </c>
      <c r="AC1" s="11">
        <v>43133</v>
      </c>
      <c r="AD1" s="11">
        <v>43132</v>
      </c>
      <c r="AE1" s="11">
        <v>43131</v>
      </c>
      <c r="AF1" s="11">
        <v>43130</v>
      </c>
      <c r="AG1" s="11">
        <v>43129</v>
      </c>
      <c r="AH1" s="11">
        <v>43126</v>
      </c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</row>
    <row r="2" spans="1:81">
      <c r="A2" t="s">
        <v>5</v>
      </c>
      <c r="B2">
        <v>2050</v>
      </c>
      <c r="C2">
        <v>2050</v>
      </c>
      <c r="D2">
        <v>2050</v>
      </c>
      <c r="E2">
        <v>2100</v>
      </c>
      <c r="F2">
        <v>2100</v>
      </c>
      <c r="G2">
        <v>2100</v>
      </c>
      <c r="H2">
        <v>2100</v>
      </c>
      <c r="I2">
        <v>2100</v>
      </c>
      <c r="J2">
        <v>2050</v>
      </c>
      <c r="K2">
        <v>2050</v>
      </c>
      <c r="L2">
        <v>2050</v>
      </c>
      <c r="M2">
        <v>2050</v>
      </c>
      <c r="N2">
        <v>2050</v>
      </c>
      <c r="O2">
        <v>2050</v>
      </c>
      <c r="P2">
        <v>2050</v>
      </c>
      <c r="Q2">
        <v>2050</v>
      </c>
      <c r="R2">
        <v>2050</v>
      </c>
      <c r="S2">
        <v>2050</v>
      </c>
      <c r="T2">
        <v>1950</v>
      </c>
      <c r="U2">
        <v>1950</v>
      </c>
      <c r="V2">
        <v>1950</v>
      </c>
      <c r="W2">
        <v>1950</v>
      </c>
      <c r="X2">
        <v>1950</v>
      </c>
      <c r="Y2">
        <v>1950</v>
      </c>
      <c r="Z2">
        <v>1950</v>
      </c>
      <c r="AA2">
        <v>1950</v>
      </c>
      <c r="AB2">
        <v>1950</v>
      </c>
      <c r="AC2">
        <v>1950</v>
      </c>
      <c r="AD2">
        <v>1950</v>
      </c>
      <c r="AE2">
        <v>2050</v>
      </c>
      <c r="AF2">
        <v>2050</v>
      </c>
      <c r="AG2">
        <v>2050</v>
      </c>
      <c r="AH2">
        <v>2050</v>
      </c>
    </row>
    <row r="3" spans="1:81">
      <c r="A3" t="s">
        <v>7</v>
      </c>
      <c r="B3">
        <v>1380</v>
      </c>
      <c r="C3">
        <v>1380</v>
      </c>
      <c r="D3">
        <v>1380</v>
      </c>
      <c r="E3">
        <v>1380</v>
      </c>
      <c r="F3">
        <v>1380</v>
      </c>
      <c r="G3">
        <v>1380</v>
      </c>
      <c r="H3">
        <v>1380</v>
      </c>
      <c r="I3">
        <v>1380</v>
      </c>
      <c r="J3">
        <v>1380</v>
      </c>
      <c r="K3">
        <v>1380</v>
      </c>
      <c r="L3">
        <v>1380</v>
      </c>
      <c r="M3">
        <v>1380</v>
      </c>
      <c r="N3">
        <v>1380</v>
      </c>
      <c r="O3">
        <v>1380</v>
      </c>
      <c r="P3">
        <v>1380</v>
      </c>
      <c r="Q3">
        <v>1380</v>
      </c>
      <c r="R3">
        <v>1350</v>
      </c>
      <c r="S3">
        <v>1350</v>
      </c>
      <c r="T3">
        <v>1350</v>
      </c>
      <c r="U3">
        <v>1350</v>
      </c>
      <c r="V3">
        <v>1350</v>
      </c>
      <c r="W3">
        <v>1350</v>
      </c>
      <c r="X3">
        <v>1350</v>
      </c>
      <c r="Y3">
        <v>1350</v>
      </c>
      <c r="Z3">
        <v>1350</v>
      </c>
      <c r="AA3">
        <v>1350</v>
      </c>
      <c r="AB3">
        <v>1350</v>
      </c>
      <c r="AC3">
        <v>1320</v>
      </c>
      <c r="AD3">
        <v>1320</v>
      </c>
      <c r="AE3">
        <v>1300</v>
      </c>
      <c r="AF3">
        <v>1300</v>
      </c>
      <c r="AG3">
        <v>1360</v>
      </c>
      <c r="AH3">
        <v>1360</v>
      </c>
    </row>
    <row r="4" spans="1:81">
      <c r="A4" t="s">
        <v>4</v>
      </c>
      <c r="B4">
        <v>641</v>
      </c>
      <c r="C4">
        <v>642</v>
      </c>
      <c r="D4">
        <v>643</v>
      </c>
      <c r="E4">
        <v>644</v>
      </c>
      <c r="F4">
        <v>647</v>
      </c>
      <c r="G4">
        <v>650</v>
      </c>
      <c r="H4">
        <v>650</v>
      </c>
      <c r="I4">
        <v>653</v>
      </c>
      <c r="J4">
        <v>663</v>
      </c>
      <c r="K4">
        <v>672</v>
      </c>
      <c r="L4">
        <v>678</v>
      </c>
      <c r="M4">
        <v>686</v>
      </c>
      <c r="N4">
        <v>689</v>
      </c>
      <c r="O4">
        <v>700</v>
      </c>
      <c r="P4">
        <v>708</v>
      </c>
      <c r="Q4">
        <v>722</v>
      </c>
      <c r="R4">
        <v>728</v>
      </c>
      <c r="S4">
        <v>735</v>
      </c>
      <c r="T4">
        <v>742</v>
      </c>
      <c r="U4">
        <v>742</v>
      </c>
      <c r="V4">
        <v>746</v>
      </c>
      <c r="W4">
        <v>749</v>
      </c>
      <c r="X4">
        <v>749</v>
      </c>
      <c r="Y4">
        <v>750</v>
      </c>
      <c r="Z4">
        <v>750</v>
      </c>
      <c r="AA4">
        <v>750</v>
      </c>
      <c r="AB4">
        <v>768</v>
      </c>
      <c r="AC4">
        <v>764</v>
      </c>
      <c r="AD4">
        <v>764</v>
      </c>
      <c r="AE4">
        <v>760</v>
      </c>
      <c r="AF4">
        <v>759</v>
      </c>
      <c r="AG4">
        <v>751</v>
      </c>
      <c r="AH4">
        <v>750</v>
      </c>
    </row>
    <row r="5" spans="1:81">
      <c r="A5" t="s">
        <v>20</v>
      </c>
      <c r="B5">
        <v>486.3</v>
      </c>
      <c r="C5">
        <v>505.6</v>
      </c>
      <c r="D5">
        <v>508.3</v>
      </c>
      <c r="E5">
        <v>508.3</v>
      </c>
      <c r="F5">
        <v>500.3</v>
      </c>
      <c r="G5">
        <v>500.3</v>
      </c>
      <c r="H5">
        <v>508.9</v>
      </c>
      <c r="I5">
        <v>530.4</v>
      </c>
      <c r="J5">
        <v>546.5</v>
      </c>
      <c r="K5">
        <v>546.5</v>
      </c>
      <c r="L5">
        <v>560.5</v>
      </c>
      <c r="M5">
        <v>560.5</v>
      </c>
      <c r="N5">
        <v>568</v>
      </c>
      <c r="O5">
        <v>566</v>
      </c>
      <c r="P5">
        <v>569.1</v>
      </c>
      <c r="Q5">
        <v>571.20000000000005</v>
      </c>
      <c r="R5">
        <v>565.9</v>
      </c>
      <c r="S5">
        <v>558.29999999999995</v>
      </c>
      <c r="T5">
        <v>551.9</v>
      </c>
      <c r="U5">
        <v>550.79999999999995</v>
      </c>
      <c r="V5">
        <v>549.70000000000005</v>
      </c>
      <c r="W5">
        <v>545.4</v>
      </c>
      <c r="X5">
        <v>544.4</v>
      </c>
      <c r="Y5">
        <v>545.4</v>
      </c>
      <c r="Z5">
        <v>545.4</v>
      </c>
      <c r="AA5">
        <v>546.5</v>
      </c>
      <c r="AB5">
        <v>540.1</v>
      </c>
      <c r="AC5">
        <v>536.79999999999995</v>
      </c>
      <c r="AD5">
        <v>534.70000000000005</v>
      </c>
      <c r="AE5">
        <v>537.9</v>
      </c>
      <c r="AF5">
        <v>537.9</v>
      </c>
      <c r="AG5">
        <v>534.70000000000005</v>
      </c>
      <c r="AH5">
        <v>541.1</v>
      </c>
    </row>
    <row r="6" spans="1:81">
      <c r="A6" t="s">
        <v>12</v>
      </c>
      <c r="B6">
        <v>3886.6</v>
      </c>
      <c r="C6">
        <v>3948</v>
      </c>
      <c r="D6">
        <v>3980</v>
      </c>
      <c r="E6">
        <v>3980</v>
      </c>
      <c r="F6">
        <v>3980</v>
      </c>
      <c r="G6">
        <v>4000</v>
      </c>
      <c r="H6">
        <v>4000</v>
      </c>
      <c r="I6">
        <v>3990</v>
      </c>
      <c r="J6">
        <v>4082</v>
      </c>
      <c r="K6">
        <v>4154</v>
      </c>
      <c r="L6">
        <v>4154</v>
      </c>
      <c r="M6">
        <v>4206</v>
      </c>
      <c r="N6">
        <v>4226</v>
      </c>
      <c r="O6">
        <v>4226</v>
      </c>
      <c r="P6">
        <v>4226</v>
      </c>
      <c r="Q6">
        <v>4226</v>
      </c>
      <c r="R6">
        <v>4196</v>
      </c>
      <c r="S6">
        <v>4010</v>
      </c>
      <c r="T6">
        <v>4010</v>
      </c>
      <c r="U6">
        <v>4010</v>
      </c>
      <c r="V6">
        <v>4010</v>
      </c>
      <c r="W6">
        <v>4010</v>
      </c>
      <c r="X6">
        <v>4010</v>
      </c>
      <c r="Y6">
        <v>4010</v>
      </c>
      <c r="Z6">
        <v>4010</v>
      </c>
      <c r="AA6">
        <v>4010</v>
      </c>
      <c r="AB6">
        <v>4010</v>
      </c>
      <c r="AC6">
        <v>4010</v>
      </c>
      <c r="AD6">
        <v>4010</v>
      </c>
      <c r="AE6">
        <v>4010</v>
      </c>
      <c r="AF6">
        <v>4020</v>
      </c>
      <c r="AG6">
        <v>4020</v>
      </c>
      <c r="AH6">
        <v>4020</v>
      </c>
    </row>
    <row r="7" spans="1:81">
      <c r="A7" t="s">
        <v>9</v>
      </c>
      <c r="B7">
        <v>3960</v>
      </c>
      <c r="C7">
        <v>3970</v>
      </c>
      <c r="D7">
        <v>3970</v>
      </c>
      <c r="E7">
        <v>3950</v>
      </c>
      <c r="F7">
        <v>3920</v>
      </c>
      <c r="G7">
        <v>3920</v>
      </c>
      <c r="H7">
        <v>3920</v>
      </c>
      <c r="I7">
        <v>3970</v>
      </c>
      <c r="J7">
        <v>4040</v>
      </c>
      <c r="K7">
        <v>4090</v>
      </c>
      <c r="L7">
        <v>4100</v>
      </c>
      <c r="M7">
        <v>4120</v>
      </c>
      <c r="N7">
        <v>4150</v>
      </c>
      <c r="O7">
        <v>4160</v>
      </c>
      <c r="P7">
        <v>4170</v>
      </c>
      <c r="Q7">
        <v>4180</v>
      </c>
      <c r="R7">
        <v>4180</v>
      </c>
      <c r="S7">
        <v>4130</v>
      </c>
      <c r="T7">
        <v>4070</v>
      </c>
      <c r="U7">
        <v>4070</v>
      </c>
      <c r="V7">
        <v>4070</v>
      </c>
      <c r="W7">
        <v>4070</v>
      </c>
      <c r="X7">
        <v>4070</v>
      </c>
      <c r="Y7">
        <v>4070</v>
      </c>
      <c r="Z7">
        <v>4080</v>
      </c>
      <c r="AA7">
        <v>4080</v>
      </c>
      <c r="AB7">
        <v>4080</v>
      </c>
      <c r="AC7">
        <v>4080</v>
      </c>
      <c r="AD7">
        <v>4080</v>
      </c>
      <c r="AE7">
        <v>4090</v>
      </c>
      <c r="AF7">
        <v>4090</v>
      </c>
      <c r="AG7">
        <v>4120</v>
      </c>
      <c r="AH7">
        <v>4120</v>
      </c>
    </row>
    <row r="8" spans="1:81">
      <c r="A8" t="s">
        <v>31</v>
      </c>
      <c r="B8">
        <v>11350</v>
      </c>
      <c r="C8">
        <v>11695</v>
      </c>
      <c r="D8">
        <v>11700</v>
      </c>
      <c r="E8">
        <v>11940</v>
      </c>
      <c r="F8">
        <v>11775</v>
      </c>
      <c r="G8">
        <v>11795</v>
      </c>
      <c r="H8">
        <v>11875</v>
      </c>
      <c r="I8">
        <v>11835</v>
      </c>
      <c r="J8">
        <v>12170</v>
      </c>
      <c r="K8">
        <v>12105</v>
      </c>
      <c r="L8">
        <v>12150</v>
      </c>
      <c r="M8">
        <v>12285</v>
      </c>
      <c r="N8">
        <v>12160</v>
      </c>
      <c r="O8">
        <v>12245</v>
      </c>
      <c r="P8">
        <v>12110</v>
      </c>
      <c r="Q8">
        <v>11905</v>
      </c>
      <c r="R8">
        <v>12025</v>
      </c>
      <c r="S8">
        <v>11940</v>
      </c>
      <c r="T8">
        <v>11435</v>
      </c>
      <c r="U8">
        <v>11470</v>
      </c>
      <c r="V8">
        <v>11540</v>
      </c>
      <c r="W8">
        <v>11565</v>
      </c>
      <c r="X8">
        <v>11455</v>
      </c>
      <c r="Y8">
        <v>11145</v>
      </c>
      <c r="Z8">
        <v>11455</v>
      </c>
      <c r="AA8">
        <v>11365</v>
      </c>
      <c r="AB8">
        <v>11515</v>
      </c>
      <c r="AC8">
        <v>11520</v>
      </c>
      <c r="AD8">
        <v>11545</v>
      </c>
      <c r="AE8">
        <v>11415</v>
      </c>
      <c r="AF8">
        <v>11960</v>
      </c>
      <c r="AG8">
        <v>12000</v>
      </c>
      <c r="AH8">
        <v>11920</v>
      </c>
    </row>
    <row r="9" spans="1:81">
      <c r="A9" t="s">
        <v>17</v>
      </c>
      <c r="B9">
        <v>1540</v>
      </c>
      <c r="C9">
        <v>1520</v>
      </c>
      <c r="D9">
        <v>1520</v>
      </c>
      <c r="E9">
        <v>1520</v>
      </c>
      <c r="F9">
        <v>1520</v>
      </c>
      <c r="G9">
        <v>1480</v>
      </c>
      <c r="H9">
        <v>1480</v>
      </c>
      <c r="I9">
        <v>1480</v>
      </c>
      <c r="J9">
        <v>1480</v>
      </c>
      <c r="K9">
        <v>1480</v>
      </c>
      <c r="L9">
        <v>1480</v>
      </c>
      <c r="M9">
        <v>1480</v>
      </c>
      <c r="N9">
        <v>1480</v>
      </c>
      <c r="O9">
        <v>1480</v>
      </c>
      <c r="P9">
        <v>1480</v>
      </c>
      <c r="Q9">
        <v>1480</v>
      </c>
      <c r="R9">
        <v>1450</v>
      </c>
      <c r="S9">
        <v>1450</v>
      </c>
      <c r="T9">
        <v>1450</v>
      </c>
      <c r="U9">
        <v>1450</v>
      </c>
      <c r="V9">
        <v>1450</v>
      </c>
      <c r="W9">
        <v>1450</v>
      </c>
      <c r="X9">
        <v>1450</v>
      </c>
      <c r="Y9">
        <v>1450</v>
      </c>
      <c r="Z9">
        <v>1450</v>
      </c>
      <c r="AA9">
        <v>1450</v>
      </c>
      <c r="AB9">
        <v>1450</v>
      </c>
      <c r="AC9">
        <v>1450</v>
      </c>
      <c r="AD9">
        <v>1450</v>
      </c>
      <c r="AE9">
        <v>1450</v>
      </c>
      <c r="AF9">
        <v>1450</v>
      </c>
      <c r="AG9">
        <v>1450</v>
      </c>
      <c r="AH9">
        <v>1450</v>
      </c>
    </row>
    <row r="10" spans="1:81">
      <c r="A10" t="s">
        <v>32</v>
      </c>
      <c r="B10">
        <v>6160</v>
      </c>
      <c r="C10">
        <v>6250</v>
      </c>
      <c r="D10">
        <v>6250</v>
      </c>
      <c r="E10">
        <v>6250</v>
      </c>
      <c r="F10">
        <v>6275</v>
      </c>
      <c r="G10">
        <v>6250</v>
      </c>
      <c r="H10">
        <v>6300</v>
      </c>
      <c r="I10">
        <v>6370</v>
      </c>
      <c r="J10">
        <v>6540</v>
      </c>
      <c r="K10">
        <v>6580</v>
      </c>
      <c r="L10">
        <v>6580</v>
      </c>
      <c r="M10">
        <v>6665</v>
      </c>
      <c r="N10">
        <v>6690</v>
      </c>
      <c r="O10">
        <v>6690</v>
      </c>
      <c r="P10">
        <v>6600</v>
      </c>
      <c r="Q10">
        <v>6600</v>
      </c>
      <c r="R10">
        <v>6600</v>
      </c>
      <c r="S10">
        <v>6640</v>
      </c>
      <c r="T10">
        <v>6650</v>
      </c>
      <c r="U10">
        <v>6485</v>
      </c>
      <c r="V10">
        <v>6580</v>
      </c>
      <c r="W10">
        <v>6600</v>
      </c>
      <c r="X10">
        <v>6650</v>
      </c>
      <c r="Y10">
        <v>6650</v>
      </c>
      <c r="Z10">
        <v>6670</v>
      </c>
      <c r="AA10">
        <v>6640</v>
      </c>
      <c r="AB10">
        <v>6700</v>
      </c>
      <c r="AC10">
        <v>6620</v>
      </c>
      <c r="AD10">
        <v>6730</v>
      </c>
      <c r="AE10">
        <v>6715</v>
      </c>
      <c r="AF10">
        <v>6735</v>
      </c>
      <c r="AG10">
        <v>6760</v>
      </c>
      <c r="AH10">
        <v>6665</v>
      </c>
    </row>
    <row r="11" spans="1:81">
      <c r="A11" t="s">
        <v>21</v>
      </c>
      <c r="B11">
        <v>9085</v>
      </c>
      <c r="C11">
        <v>9275</v>
      </c>
      <c r="D11">
        <v>9105</v>
      </c>
      <c r="E11">
        <v>9185</v>
      </c>
      <c r="F11">
        <v>9230</v>
      </c>
      <c r="G11">
        <v>9110</v>
      </c>
      <c r="H11">
        <v>9085</v>
      </c>
      <c r="I11">
        <v>9230</v>
      </c>
      <c r="J11">
        <v>9275</v>
      </c>
      <c r="K11">
        <v>9375</v>
      </c>
      <c r="L11">
        <v>9355</v>
      </c>
      <c r="M11">
        <v>9425</v>
      </c>
      <c r="N11">
        <v>9455</v>
      </c>
      <c r="O11">
        <v>9470</v>
      </c>
      <c r="P11">
        <v>9335</v>
      </c>
      <c r="Q11">
        <v>9320</v>
      </c>
      <c r="R11">
        <v>9425</v>
      </c>
      <c r="S11">
        <v>9495</v>
      </c>
      <c r="T11">
        <v>9470</v>
      </c>
      <c r="U11">
        <v>9405</v>
      </c>
      <c r="V11">
        <v>9365</v>
      </c>
      <c r="W11">
        <v>9395</v>
      </c>
      <c r="X11">
        <v>9390</v>
      </c>
      <c r="Y11">
        <v>9420</v>
      </c>
      <c r="Z11">
        <v>9565</v>
      </c>
      <c r="AA11">
        <v>9550</v>
      </c>
      <c r="AB11">
        <v>9600</v>
      </c>
      <c r="AC11">
        <v>9640</v>
      </c>
      <c r="AD11">
        <v>9645</v>
      </c>
      <c r="AE11">
        <v>9725</v>
      </c>
      <c r="AF11">
        <v>9850</v>
      </c>
      <c r="AG11">
        <v>9865</v>
      </c>
      <c r="AH11">
        <v>9830</v>
      </c>
    </row>
    <row r="12" spans="1:81">
      <c r="A12" t="s">
        <v>33</v>
      </c>
      <c r="B12">
        <v>8467</v>
      </c>
      <c r="C12">
        <v>8643</v>
      </c>
      <c r="D12">
        <v>8645</v>
      </c>
      <c r="E12">
        <v>8783</v>
      </c>
      <c r="F12">
        <v>8811</v>
      </c>
      <c r="G12">
        <v>8768</v>
      </c>
      <c r="H12">
        <v>8744</v>
      </c>
      <c r="I12">
        <v>8869</v>
      </c>
      <c r="J12">
        <v>8865</v>
      </c>
      <c r="K12">
        <v>9032</v>
      </c>
      <c r="L12">
        <v>9012</v>
      </c>
      <c r="M12">
        <v>9060</v>
      </c>
      <c r="N12">
        <v>9117</v>
      </c>
      <c r="O12">
        <v>9100</v>
      </c>
      <c r="P12">
        <v>9060</v>
      </c>
      <c r="Q12">
        <v>9041</v>
      </c>
      <c r="R12">
        <v>9087</v>
      </c>
      <c r="S12">
        <v>9165</v>
      </c>
      <c r="T12">
        <v>9174</v>
      </c>
      <c r="U12">
        <v>9200</v>
      </c>
      <c r="V12">
        <v>9108</v>
      </c>
      <c r="W12">
        <v>9094</v>
      </c>
      <c r="X12">
        <v>9156</v>
      </c>
      <c r="Y12">
        <v>9127</v>
      </c>
      <c r="Z12">
        <v>9281</v>
      </c>
      <c r="AA12">
        <v>9370</v>
      </c>
      <c r="AB12">
        <v>9378</v>
      </c>
      <c r="AC12">
        <v>9343</v>
      </c>
      <c r="AD12">
        <v>9339</v>
      </c>
      <c r="AE12">
        <v>9443</v>
      </c>
      <c r="AF12">
        <v>9477</v>
      </c>
      <c r="AG12">
        <v>9490</v>
      </c>
      <c r="AH12">
        <v>9501</v>
      </c>
    </row>
    <row r="13" spans="1:81">
      <c r="A13" t="s">
        <v>13</v>
      </c>
      <c r="B13">
        <v>5562</v>
      </c>
      <c r="C13">
        <v>5615</v>
      </c>
      <c r="D13">
        <v>5610</v>
      </c>
      <c r="E13">
        <v>5682</v>
      </c>
      <c r="F13">
        <v>5680</v>
      </c>
      <c r="G13">
        <v>5638</v>
      </c>
      <c r="H13">
        <v>5670</v>
      </c>
      <c r="I13">
        <v>5720</v>
      </c>
      <c r="J13">
        <v>5835</v>
      </c>
      <c r="K13">
        <v>5900</v>
      </c>
      <c r="L13">
        <v>5965</v>
      </c>
      <c r="M13">
        <v>5936</v>
      </c>
      <c r="N13">
        <v>6000</v>
      </c>
      <c r="O13">
        <v>5901</v>
      </c>
      <c r="P13">
        <v>5947</v>
      </c>
      <c r="Q13">
        <v>5981</v>
      </c>
      <c r="R13">
        <v>5984</v>
      </c>
      <c r="S13">
        <v>5910</v>
      </c>
      <c r="T13">
        <v>5890</v>
      </c>
      <c r="U13">
        <v>5620</v>
      </c>
      <c r="V13">
        <v>5632</v>
      </c>
      <c r="W13">
        <v>5618</v>
      </c>
      <c r="X13">
        <v>5615</v>
      </c>
      <c r="Y13">
        <v>5610</v>
      </c>
      <c r="Z13">
        <v>5629</v>
      </c>
      <c r="AA13">
        <v>5616</v>
      </c>
      <c r="AB13">
        <v>5623</v>
      </c>
      <c r="AC13">
        <v>5643</v>
      </c>
      <c r="AD13">
        <v>5638</v>
      </c>
      <c r="AE13">
        <v>5649</v>
      </c>
      <c r="AF13">
        <v>5621</v>
      </c>
      <c r="AG13">
        <v>5698</v>
      </c>
      <c r="AH13">
        <v>5685</v>
      </c>
    </row>
    <row r="14" spans="1:81">
      <c r="A14" t="s">
        <v>26</v>
      </c>
      <c r="B14">
        <v>2725</v>
      </c>
      <c r="C14">
        <v>2725</v>
      </c>
      <c r="D14">
        <v>2700</v>
      </c>
      <c r="E14">
        <v>2700</v>
      </c>
      <c r="F14">
        <v>2700</v>
      </c>
      <c r="G14">
        <v>2700</v>
      </c>
      <c r="H14">
        <v>2700</v>
      </c>
      <c r="I14">
        <v>2700</v>
      </c>
      <c r="J14">
        <v>2700</v>
      </c>
      <c r="K14">
        <v>2700</v>
      </c>
      <c r="L14">
        <v>2700</v>
      </c>
      <c r="M14">
        <v>2700</v>
      </c>
      <c r="N14">
        <v>2700</v>
      </c>
      <c r="O14">
        <v>2700</v>
      </c>
      <c r="P14">
        <v>2700</v>
      </c>
      <c r="Q14">
        <v>2700</v>
      </c>
      <c r="R14">
        <v>2700</v>
      </c>
      <c r="S14">
        <v>2700</v>
      </c>
      <c r="T14">
        <v>2700</v>
      </c>
      <c r="U14">
        <v>2700</v>
      </c>
      <c r="V14">
        <v>2700</v>
      </c>
      <c r="W14">
        <v>2700</v>
      </c>
      <c r="X14">
        <v>2700</v>
      </c>
      <c r="Y14">
        <v>2650</v>
      </c>
      <c r="Z14">
        <v>2650</v>
      </c>
      <c r="AA14">
        <v>2650</v>
      </c>
      <c r="AB14">
        <v>2650</v>
      </c>
      <c r="AC14">
        <v>2600</v>
      </c>
      <c r="AD14">
        <v>2600</v>
      </c>
      <c r="AE14">
        <v>2600</v>
      </c>
      <c r="AF14">
        <v>2600</v>
      </c>
      <c r="AG14">
        <v>2600</v>
      </c>
      <c r="AH14">
        <v>2400</v>
      </c>
    </row>
    <row r="15" spans="1:81">
      <c r="A15" t="s">
        <v>6</v>
      </c>
      <c r="B15">
        <v>2850</v>
      </c>
      <c r="C15">
        <v>2810</v>
      </c>
      <c r="D15">
        <v>2810</v>
      </c>
      <c r="E15">
        <v>2760</v>
      </c>
      <c r="F15">
        <v>2710</v>
      </c>
      <c r="G15">
        <v>2660</v>
      </c>
      <c r="H15">
        <v>2500</v>
      </c>
      <c r="I15">
        <v>2450</v>
      </c>
      <c r="J15">
        <v>2450</v>
      </c>
      <c r="K15">
        <v>2550</v>
      </c>
      <c r="L15">
        <v>2550</v>
      </c>
      <c r="M15">
        <v>2600</v>
      </c>
      <c r="N15">
        <v>2630</v>
      </c>
      <c r="O15">
        <v>2650</v>
      </c>
      <c r="P15">
        <v>2700</v>
      </c>
      <c r="Q15">
        <v>2700</v>
      </c>
      <c r="R15">
        <v>2700</v>
      </c>
      <c r="S15">
        <v>2750</v>
      </c>
      <c r="T15">
        <v>2750</v>
      </c>
      <c r="U15">
        <v>2800</v>
      </c>
      <c r="V15">
        <v>2800</v>
      </c>
      <c r="W15">
        <v>2800</v>
      </c>
      <c r="X15">
        <v>2800</v>
      </c>
      <c r="Y15">
        <v>2800</v>
      </c>
      <c r="Z15">
        <v>2820</v>
      </c>
      <c r="AA15">
        <v>2850</v>
      </c>
      <c r="AB15">
        <v>2950</v>
      </c>
      <c r="AC15">
        <v>2990</v>
      </c>
      <c r="AD15">
        <v>2990</v>
      </c>
      <c r="AE15">
        <v>3010</v>
      </c>
      <c r="AF15">
        <v>3050</v>
      </c>
      <c r="AG15">
        <v>3100</v>
      </c>
      <c r="AH15">
        <v>3100</v>
      </c>
    </row>
    <row r="16" spans="1:81">
      <c r="A16" t="s">
        <v>15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  <c r="I16">
        <v>3650</v>
      </c>
      <c r="J16">
        <v>3650</v>
      </c>
      <c r="K16">
        <v>3650</v>
      </c>
      <c r="L16">
        <v>3650</v>
      </c>
      <c r="M16">
        <v>3650</v>
      </c>
      <c r="N16">
        <v>3650</v>
      </c>
      <c r="O16">
        <v>3650</v>
      </c>
      <c r="P16">
        <v>3650</v>
      </c>
      <c r="Q16">
        <v>3650</v>
      </c>
      <c r="R16">
        <v>3650</v>
      </c>
      <c r="S16">
        <v>3650</v>
      </c>
      <c r="T16">
        <v>3650</v>
      </c>
      <c r="U16">
        <v>3650</v>
      </c>
      <c r="V16">
        <v>3650</v>
      </c>
      <c r="W16">
        <v>3650</v>
      </c>
      <c r="X16">
        <v>3650</v>
      </c>
      <c r="Y16">
        <v>3650</v>
      </c>
      <c r="Z16">
        <v>3650</v>
      </c>
      <c r="AA16">
        <v>3650</v>
      </c>
      <c r="AB16">
        <v>3650</v>
      </c>
      <c r="AC16">
        <v>3650</v>
      </c>
      <c r="AD16">
        <v>3650</v>
      </c>
      <c r="AE16">
        <v>3650</v>
      </c>
      <c r="AF16">
        <v>3650</v>
      </c>
      <c r="AG16">
        <v>3650</v>
      </c>
      <c r="AH16">
        <v>3650</v>
      </c>
    </row>
    <row r="17" spans="1:34">
      <c r="A17" t="s">
        <v>11</v>
      </c>
      <c r="B17">
        <v>3100</v>
      </c>
      <c r="C17">
        <v>3160</v>
      </c>
      <c r="D17">
        <v>3160</v>
      </c>
      <c r="E17">
        <v>3140</v>
      </c>
      <c r="F17">
        <v>3180</v>
      </c>
      <c r="G17">
        <v>3180</v>
      </c>
      <c r="H17">
        <v>3170</v>
      </c>
      <c r="I17">
        <v>3220</v>
      </c>
      <c r="J17">
        <v>3220</v>
      </c>
      <c r="K17">
        <v>3240</v>
      </c>
      <c r="L17">
        <v>3250</v>
      </c>
      <c r="M17">
        <v>3270</v>
      </c>
      <c r="N17">
        <v>3230</v>
      </c>
      <c r="O17">
        <v>3090</v>
      </c>
      <c r="P17">
        <v>3070</v>
      </c>
      <c r="Q17">
        <v>3060</v>
      </c>
      <c r="R17">
        <v>3060</v>
      </c>
      <c r="S17">
        <v>3010</v>
      </c>
      <c r="T17">
        <v>3020</v>
      </c>
      <c r="U17">
        <v>2920</v>
      </c>
      <c r="V17">
        <v>2920</v>
      </c>
      <c r="W17">
        <v>2890</v>
      </c>
      <c r="X17">
        <v>2860</v>
      </c>
      <c r="Y17">
        <v>2860</v>
      </c>
      <c r="Z17">
        <v>2860</v>
      </c>
      <c r="AA17">
        <v>2820</v>
      </c>
      <c r="AB17">
        <v>2830</v>
      </c>
      <c r="AC17">
        <v>2840</v>
      </c>
      <c r="AD17">
        <v>2850</v>
      </c>
      <c r="AE17">
        <v>2850</v>
      </c>
      <c r="AF17">
        <v>2850</v>
      </c>
      <c r="AG17">
        <v>2830</v>
      </c>
      <c r="AH17">
        <v>2830</v>
      </c>
    </row>
    <row r="18" spans="1:34">
      <c r="A18" t="s">
        <v>23</v>
      </c>
      <c r="B18">
        <v>2470</v>
      </c>
      <c r="C18">
        <v>2470</v>
      </c>
      <c r="D18">
        <v>2507</v>
      </c>
      <c r="E18">
        <v>2507</v>
      </c>
      <c r="F18">
        <v>2548</v>
      </c>
      <c r="G18">
        <v>2513</v>
      </c>
      <c r="H18">
        <v>2523</v>
      </c>
      <c r="I18">
        <v>2523</v>
      </c>
      <c r="J18">
        <v>2530</v>
      </c>
      <c r="K18">
        <v>2566</v>
      </c>
      <c r="L18">
        <v>2548</v>
      </c>
      <c r="M18">
        <v>2564</v>
      </c>
      <c r="N18">
        <v>2600</v>
      </c>
      <c r="O18">
        <v>2466</v>
      </c>
      <c r="P18">
        <v>2461</v>
      </c>
      <c r="Q18">
        <v>2431</v>
      </c>
      <c r="R18">
        <v>2441</v>
      </c>
      <c r="S18">
        <v>2430</v>
      </c>
      <c r="T18">
        <v>2290</v>
      </c>
      <c r="U18">
        <v>2290</v>
      </c>
      <c r="V18">
        <v>2290</v>
      </c>
      <c r="W18">
        <v>2290</v>
      </c>
      <c r="X18">
        <v>2290</v>
      </c>
      <c r="Y18">
        <v>2290</v>
      </c>
      <c r="Z18">
        <v>2270</v>
      </c>
      <c r="AA18">
        <v>2280</v>
      </c>
      <c r="AB18">
        <v>2280</v>
      </c>
      <c r="AC18">
        <v>2290</v>
      </c>
      <c r="AD18">
        <v>2300</v>
      </c>
      <c r="AE18">
        <v>2300</v>
      </c>
      <c r="AF18">
        <v>2290</v>
      </c>
      <c r="AG18">
        <v>2270</v>
      </c>
      <c r="AH18">
        <v>2250</v>
      </c>
    </row>
    <row r="19" spans="1:34">
      <c r="A19" t="s">
        <v>14</v>
      </c>
      <c r="B19">
        <v>1940</v>
      </c>
      <c r="C19">
        <v>1930</v>
      </c>
      <c r="D19">
        <v>1930</v>
      </c>
      <c r="E19">
        <v>1930</v>
      </c>
      <c r="F19">
        <v>1940</v>
      </c>
      <c r="G19">
        <v>1950</v>
      </c>
      <c r="H19">
        <v>1950</v>
      </c>
      <c r="I19">
        <v>1960</v>
      </c>
      <c r="J19">
        <v>1960</v>
      </c>
      <c r="K19">
        <v>1950</v>
      </c>
      <c r="L19">
        <v>1940</v>
      </c>
      <c r="M19">
        <v>1940</v>
      </c>
      <c r="N19">
        <v>1900</v>
      </c>
      <c r="O19">
        <v>1900</v>
      </c>
      <c r="P19">
        <v>1890</v>
      </c>
      <c r="Q19">
        <v>1890</v>
      </c>
      <c r="R19">
        <v>1870</v>
      </c>
      <c r="S19">
        <v>1870</v>
      </c>
      <c r="T19">
        <v>1870</v>
      </c>
      <c r="U19">
        <v>1870</v>
      </c>
      <c r="V19">
        <v>1870</v>
      </c>
      <c r="W19">
        <v>1870</v>
      </c>
      <c r="X19">
        <v>1870</v>
      </c>
      <c r="Y19">
        <v>1870</v>
      </c>
      <c r="Z19">
        <v>1870</v>
      </c>
      <c r="AA19">
        <v>1870</v>
      </c>
      <c r="AB19">
        <v>1870</v>
      </c>
      <c r="AC19">
        <v>1850</v>
      </c>
      <c r="AD19">
        <v>1850</v>
      </c>
      <c r="AE19">
        <v>1850</v>
      </c>
      <c r="AF19">
        <v>1850</v>
      </c>
      <c r="AG19">
        <v>1850</v>
      </c>
      <c r="AH19">
        <v>1850</v>
      </c>
    </row>
    <row r="20" spans="1:34">
      <c r="A20" t="s">
        <v>8</v>
      </c>
      <c r="B20">
        <v>2300</v>
      </c>
      <c r="C20">
        <v>2300</v>
      </c>
      <c r="D20">
        <v>2300</v>
      </c>
      <c r="E20">
        <v>2300</v>
      </c>
      <c r="F20">
        <v>2300</v>
      </c>
      <c r="G20">
        <v>2300</v>
      </c>
      <c r="H20">
        <v>2300</v>
      </c>
      <c r="I20">
        <v>2300</v>
      </c>
      <c r="J20">
        <v>2300</v>
      </c>
      <c r="K20">
        <v>2300</v>
      </c>
      <c r="L20">
        <v>2300</v>
      </c>
      <c r="M20">
        <v>2300</v>
      </c>
      <c r="N20">
        <v>2300</v>
      </c>
      <c r="O20">
        <v>2300</v>
      </c>
      <c r="P20">
        <v>2300</v>
      </c>
      <c r="Q20">
        <v>2300</v>
      </c>
      <c r="R20">
        <v>2250</v>
      </c>
      <c r="S20">
        <v>2220</v>
      </c>
      <c r="T20">
        <v>2220</v>
      </c>
      <c r="U20">
        <v>2220</v>
      </c>
      <c r="V20">
        <v>2220</v>
      </c>
      <c r="W20">
        <v>2220</v>
      </c>
      <c r="X20">
        <v>2220</v>
      </c>
      <c r="Y20">
        <v>2220</v>
      </c>
      <c r="Z20">
        <v>2220</v>
      </c>
      <c r="AA20">
        <v>2220</v>
      </c>
      <c r="AB20">
        <v>2220</v>
      </c>
      <c r="AC20">
        <v>2220</v>
      </c>
      <c r="AD20">
        <v>2220</v>
      </c>
      <c r="AE20">
        <v>2220</v>
      </c>
      <c r="AF20">
        <v>2220</v>
      </c>
      <c r="AG20">
        <v>2220</v>
      </c>
      <c r="AH20">
        <v>2250</v>
      </c>
    </row>
    <row r="21" spans="1:34">
      <c r="A21" t="s">
        <v>34</v>
      </c>
      <c r="B21">
        <v>5660</v>
      </c>
      <c r="C21">
        <v>5680</v>
      </c>
      <c r="D21">
        <v>5710</v>
      </c>
      <c r="E21">
        <v>5690</v>
      </c>
      <c r="F21">
        <v>5730</v>
      </c>
      <c r="G21">
        <v>5700</v>
      </c>
      <c r="H21">
        <v>5680</v>
      </c>
      <c r="I21">
        <v>5710</v>
      </c>
      <c r="J21">
        <v>5730</v>
      </c>
      <c r="K21">
        <v>5820</v>
      </c>
      <c r="L21">
        <v>5820</v>
      </c>
      <c r="M21">
        <v>5820</v>
      </c>
      <c r="N21">
        <v>5800</v>
      </c>
      <c r="O21">
        <v>5720</v>
      </c>
      <c r="P21">
        <v>5720</v>
      </c>
      <c r="Q21">
        <v>5730</v>
      </c>
      <c r="R21">
        <v>5740</v>
      </c>
      <c r="S21">
        <v>5670</v>
      </c>
      <c r="T21">
        <v>5630</v>
      </c>
      <c r="U21">
        <v>5590</v>
      </c>
      <c r="V21">
        <v>5590</v>
      </c>
      <c r="W21">
        <v>5590</v>
      </c>
      <c r="X21">
        <v>5590</v>
      </c>
      <c r="Y21">
        <v>5550</v>
      </c>
      <c r="Z21">
        <v>5570</v>
      </c>
      <c r="AA21">
        <v>5490</v>
      </c>
      <c r="AB21">
        <v>5470</v>
      </c>
      <c r="AC21">
        <v>5530</v>
      </c>
      <c r="AD21">
        <v>5530</v>
      </c>
      <c r="AE21">
        <v>5550</v>
      </c>
      <c r="AF21">
        <v>5560</v>
      </c>
      <c r="AG21">
        <v>5620</v>
      </c>
      <c r="AH21">
        <v>5600</v>
      </c>
    </row>
    <row r="22" spans="1:34">
      <c r="A22" t="s">
        <v>25</v>
      </c>
      <c r="B22">
        <v>5010</v>
      </c>
      <c r="C22">
        <v>5030</v>
      </c>
      <c r="D22">
        <v>5060</v>
      </c>
      <c r="E22">
        <v>5030</v>
      </c>
      <c r="F22">
        <v>5060</v>
      </c>
      <c r="G22">
        <v>5030</v>
      </c>
      <c r="H22">
        <v>5030</v>
      </c>
      <c r="I22">
        <v>5070</v>
      </c>
      <c r="J22">
        <v>5090</v>
      </c>
      <c r="K22">
        <v>5170</v>
      </c>
      <c r="L22">
        <v>5190</v>
      </c>
      <c r="M22">
        <v>5160</v>
      </c>
      <c r="N22">
        <v>5220</v>
      </c>
      <c r="O22">
        <v>5230</v>
      </c>
      <c r="P22">
        <v>5220</v>
      </c>
      <c r="Q22">
        <v>5210</v>
      </c>
      <c r="R22">
        <v>5220</v>
      </c>
      <c r="S22">
        <v>5160</v>
      </c>
      <c r="T22">
        <v>5090</v>
      </c>
      <c r="U22">
        <v>5060</v>
      </c>
      <c r="V22">
        <v>5060</v>
      </c>
      <c r="W22">
        <v>5060</v>
      </c>
      <c r="X22">
        <v>5070</v>
      </c>
      <c r="Y22">
        <v>5030</v>
      </c>
      <c r="Z22">
        <v>5040</v>
      </c>
      <c r="AA22">
        <v>5040</v>
      </c>
      <c r="AB22">
        <v>5010</v>
      </c>
      <c r="AC22">
        <v>5030</v>
      </c>
      <c r="AD22">
        <v>5030</v>
      </c>
      <c r="AE22">
        <v>5100</v>
      </c>
      <c r="AF22">
        <v>5090</v>
      </c>
      <c r="AG22">
        <v>5150</v>
      </c>
      <c r="AH22">
        <v>5140</v>
      </c>
    </row>
    <row r="23" spans="1:34">
      <c r="A23" t="s">
        <v>16</v>
      </c>
      <c r="B23">
        <v>6640</v>
      </c>
      <c r="C23">
        <v>6660</v>
      </c>
      <c r="D23">
        <v>6450</v>
      </c>
      <c r="E23">
        <v>6450</v>
      </c>
      <c r="F23">
        <v>6450</v>
      </c>
      <c r="G23">
        <v>6450</v>
      </c>
      <c r="H23">
        <v>6450</v>
      </c>
      <c r="I23">
        <v>6440</v>
      </c>
      <c r="J23">
        <v>6510</v>
      </c>
      <c r="K23">
        <v>6510</v>
      </c>
      <c r="L23">
        <v>6568</v>
      </c>
      <c r="M23">
        <v>6580</v>
      </c>
      <c r="N23">
        <v>6580</v>
      </c>
      <c r="O23">
        <v>6490</v>
      </c>
      <c r="P23">
        <v>6510</v>
      </c>
      <c r="Q23">
        <v>6540</v>
      </c>
      <c r="R23">
        <v>6540</v>
      </c>
      <c r="S23">
        <v>6520</v>
      </c>
      <c r="T23">
        <v>6420</v>
      </c>
      <c r="U23">
        <v>6510</v>
      </c>
      <c r="V23">
        <v>6510</v>
      </c>
      <c r="W23">
        <v>6510</v>
      </c>
      <c r="X23">
        <v>6510</v>
      </c>
      <c r="Y23">
        <v>6510</v>
      </c>
      <c r="Z23">
        <v>6510</v>
      </c>
      <c r="AA23">
        <v>6510</v>
      </c>
      <c r="AB23">
        <v>6510</v>
      </c>
      <c r="AC23">
        <v>6510</v>
      </c>
      <c r="AD23">
        <v>6510</v>
      </c>
      <c r="AE23">
        <v>6520</v>
      </c>
      <c r="AF23">
        <v>6540</v>
      </c>
      <c r="AG23">
        <v>6600</v>
      </c>
      <c r="AH23">
        <v>6618</v>
      </c>
    </row>
    <row r="24" spans="1:34">
      <c r="A24" t="s">
        <v>10</v>
      </c>
      <c r="B24">
        <v>5700</v>
      </c>
      <c r="C24">
        <v>5750</v>
      </c>
      <c r="D24">
        <v>5760</v>
      </c>
      <c r="E24">
        <v>5760</v>
      </c>
      <c r="F24">
        <v>5760</v>
      </c>
      <c r="G24">
        <v>5760</v>
      </c>
      <c r="H24">
        <v>5910</v>
      </c>
      <c r="I24">
        <v>5760</v>
      </c>
      <c r="J24">
        <v>5780</v>
      </c>
      <c r="K24">
        <v>5780</v>
      </c>
      <c r="L24">
        <v>5810</v>
      </c>
      <c r="M24">
        <v>5850</v>
      </c>
      <c r="N24">
        <v>6010</v>
      </c>
      <c r="O24">
        <v>6010</v>
      </c>
      <c r="P24">
        <v>6010</v>
      </c>
      <c r="Q24">
        <v>5910</v>
      </c>
      <c r="R24">
        <v>5910</v>
      </c>
      <c r="S24">
        <v>5920</v>
      </c>
      <c r="T24">
        <v>5920</v>
      </c>
      <c r="U24">
        <v>5920</v>
      </c>
      <c r="V24">
        <v>5920</v>
      </c>
      <c r="W24">
        <v>5920</v>
      </c>
      <c r="X24">
        <v>5920</v>
      </c>
      <c r="Y24">
        <v>5920</v>
      </c>
      <c r="Z24">
        <v>5920</v>
      </c>
      <c r="AA24">
        <v>5920</v>
      </c>
      <c r="AB24">
        <v>5920</v>
      </c>
      <c r="AC24">
        <v>5790</v>
      </c>
      <c r="AD24">
        <v>5970</v>
      </c>
      <c r="AE24">
        <v>5970</v>
      </c>
      <c r="AF24">
        <v>5970</v>
      </c>
      <c r="AG24">
        <v>5970</v>
      </c>
      <c r="AH24">
        <v>5970</v>
      </c>
    </row>
    <row r="25" spans="1:34">
      <c r="A25" t="s">
        <v>35</v>
      </c>
      <c r="B25">
        <v>15555</v>
      </c>
      <c r="C25">
        <v>15555</v>
      </c>
      <c r="D25">
        <v>15555</v>
      </c>
      <c r="E25">
        <v>15555</v>
      </c>
      <c r="F25">
        <v>15555</v>
      </c>
      <c r="G25">
        <v>15555</v>
      </c>
      <c r="H25">
        <v>15555</v>
      </c>
      <c r="I25">
        <v>15555</v>
      </c>
      <c r="J25">
        <v>15525</v>
      </c>
      <c r="K25">
        <v>15525</v>
      </c>
      <c r="L25">
        <v>15505</v>
      </c>
      <c r="M25">
        <v>15475</v>
      </c>
      <c r="N25">
        <v>15475</v>
      </c>
      <c r="O25">
        <v>15465</v>
      </c>
      <c r="P25">
        <v>15465</v>
      </c>
      <c r="Q25">
        <v>15450</v>
      </c>
      <c r="R25">
        <v>15450</v>
      </c>
      <c r="S25">
        <v>15450</v>
      </c>
      <c r="T25">
        <v>15450</v>
      </c>
      <c r="U25">
        <v>15450</v>
      </c>
      <c r="V25">
        <v>15450</v>
      </c>
      <c r="W25">
        <v>15450</v>
      </c>
      <c r="X25">
        <v>15450</v>
      </c>
      <c r="Y25">
        <v>15450</v>
      </c>
      <c r="Z25">
        <v>15450</v>
      </c>
      <c r="AA25">
        <v>15450</v>
      </c>
      <c r="AB25">
        <v>15450</v>
      </c>
      <c r="AC25">
        <v>15450</v>
      </c>
      <c r="AD25">
        <v>15450</v>
      </c>
      <c r="AE25">
        <v>15450</v>
      </c>
      <c r="AF25">
        <v>15450</v>
      </c>
      <c r="AG25">
        <v>15450</v>
      </c>
      <c r="AH25">
        <v>15450</v>
      </c>
    </row>
    <row r="26" spans="1:34">
      <c r="A26" t="s">
        <v>24</v>
      </c>
      <c r="B26">
        <v>23000</v>
      </c>
      <c r="C26">
        <v>23000</v>
      </c>
      <c r="D26">
        <v>23000</v>
      </c>
      <c r="E26">
        <v>23000</v>
      </c>
      <c r="F26">
        <v>23000</v>
      </c>
      <c r="G26">
        <v>23000</v>
      </c>
      <c r="H26">
        <v>23000</v>
      </c>
      <c r="I26">
        <v>23000</v>
      </c>
      <c r="J26">
        <v>23000</v>
      </c>
      <c r="K26">
        <v>22950</v>
      </c>
      <c r="L26">
        <v>22950</v>
      </c>
      <c r="M26">
        <v>22950</v>
      </c>
      <c r="N26">
        <v>22900</v>
      </c>
      <c r="O26">
        <v>22900</v>
      </c>
      <c r="P26">
        <v>22900</v>
      </c>
      <c r="Q26">
        <v>22900</v>
      </c>
      <c r="R26">
        <v>22900</v>
      </c>
      <c r="S26">
        <v>22900</v>
      </c>
      <c r="T26">
        <v>22900</v>
      </c>
      <c r="U26">
        <v>22900</v>
      </c>
      <c r="V26">
        <v>22900</v>
      </c>
      <c r="W26">
        <v>22900</v>
      </c>
      <c r="X26">
        <v>22900</v>
      </c>
      <c r="Y26">
        <v>22900</v>
      </c>
      <c r="Z26">
        <v>22900</v>
      </c>
      <c r="AA26">
        <v>22900</v>
      </c>
      <c r="AB26">
        <v>23100</v>
      </c>
      <c r="AC26">
        <v>22900</v>
      </c>
      <c r="AD26">
        <v>22900</v>
      </c>
      <c r="AE26">
        <v>22900</v>
      </c>
      <c r="AF26">
        <v>22900</v>
      </c>
      <c r="AG26">
        <v>22900</v>
      </c>
      <c r="AH26">
        <v>22900</v>
      </c>
    </row>
    <row r="27" spans="1:34">
      <c r="A27" t="s">
        <v>36</v>
      </c>
      <c r="B27">
        <v>50910</v>
      </c>
      <c r="C27">
        <v>50900</v>
      </c>
      <c r="D27">
        <v>51430</v>
      </c>
      <c r="E27">
        <v>51850</v>
      </c>
      <c r="F27">
        <v>51510</v>
      </c>
      <c r="G27">
        <v>51380</v>
      </c>
      <c r="H27">
        <v>51570</v>
      </c>
      <c r="I27">
        <v>51110</v>
      </c>
      <c r="J27">
        <v>51780</v>
      </c>
      <c r="K27">
        <v>51950</v>
      </c>
      <c r="L27">
        <v>51850</v>
      </c>
      <c r="M27">
        <v>51760</v>
      </c>
      <c r="N27">
        <v>51950</v>
      </c>
      <c r="O27">
        <v>52040</v>
      </c>
      <c r="P27">
        <v>52420</v>
      </c>
      <c r="Q27">
        <v>52910</v>
      </c>
      <c r="R27">
        <v>52940</v>
      </c>
      <c r="S27">
        <v>52930</v>
      </c>
      <c r="T27">
        <v>52280</v>
      </c>
      <c r="U27">
        <v>52240</v>
      </c>
      <c r="V27">
        <v>51680</v>
      </c>
      <c r="W27">
        <v>51310</v>
      </c>
      <c r="X27">
        <v>51300</v>
      </c>
      <c r="Y27">
        <v>51630</v>
      </c>
      <c r="Z27">
        <v>52870</v>
      </c>
      <c r="AA27">
        <v>52610</v>
      </c>
      <c r="AB27">
        <v>52720</v>
      </c>
      <c r="AC27">
        <v>52870</v>
      </c>
      <c r="AD27">
        <v>52840</v>
      </c>
      <c r="AE27">
        <v>52680</v>
      </c>
      <c r="AF27">
        <v>53180</v>
      </c>
      <c r="AG27">
        <v>53400</v>
      </c>
      <c r="AH27">
        <v>53210</v>
      </c>
    </row>
    <row r="28" spans="1:34">
      <c r="A28" t="s">
        <v>22</v>
      </c>
      <c r="B28">
        <v>13780</v>
      </c>
      <c r="C28">
        <v>13720</v>
      </c>
      <c r="D28">
        <v>13730</v>
      </c>
      <c r="E28">
        <v>13730</v>
      </c>
      <c r="F28">
        <v>13710</v>
      </c>
      <c r="G28">
        <v>13700</v>
      </c>
      <c r="H28">
        <v>13800</v>
      </c>
      <c r="I28">
        <v>13970</v>
      </c>
      <c r="J28">
        <v>13910</v>
      </c>
      <c r="K28">
        <v>14050</v>
      </c>
      <c r="L28">
        <v>14050</v>
      </c>
      <c r="M28">
        <v>13930</v>
      </c>
      <c r="N28">
        <v>14100</v>
      </c>
      <c r="O28">
        <v>14130</v>
      </c>
      <c r="P28">
        <v>14010</v>
      </c>
      <c r="Q28">
        <v>13930</v>
      </c>
      <c r="R28">
        <v>13890</v>
      </c>
      <c r="S28">
        <v>13920</v>
      </c>
      <c r="T28">
        <v>13670</v>
      </c>
      <c r="U28">
        <v>14010</v>
      </c>
      <c r="V28">
        <v>14130</v>
      </c>
      <c r="W28">
        <v>13840</v>
      </c>
      <c r="X28">
        <v>13930</v>
      </c>
      <c r="Y28">
        <v>14060</v>
      </c>
      <c r="Z28">
        <v>14060</v>
      </c>
      <c r="AA28">
        <v>14080</v>
      </c>
      <c r="AB28">
        <v>14110</v>
      </c>
      <c r="AC28">
        <v>14200</v>
      </c>
      <c r="AD28">
        <v>14150</v>
      </c>
      <c r="AE28">
        <v>14230</v>
      </c>
      <c r="AF28">
        <v>14370</v>
      </c>
      <c r="AG28">
        <v>14490</v>
      </c>
      <c r="AH28">
        <v>14460</v>
      </c>
    </row>
    <row r="29" spans="1:34">
      <c r="A29" t="s">
        <v>37</v>
      </c>
      <c r="B29">
        <v>24710</v>
      </c>
      <c r="C29">
        <v>24860</v>
      </c>
      <c r="D29">
        <v>24830</v>
      </c>
      <c r="E29">
        <v>24760</v>
      </c>
      <c r="F29">
        <v>25150</v>
      </c>
      <c r="G29">
        <v>25090</v>
      </c>
      <c r="H29">
        <v>25070</v>
      </c>
      <c r="I29">
        <v>24820</v>
      </c>
      <c r="J29">
        <v>25310</v>
      </c>
      <c r="K29">
        <v>25520</v>
      </c>
      <c r="L29">
        <v>25380</v>
      </c>
      <c r="M29">
        <v>25930</v>
      </c>
      <c r="N29">
        <v>26090</v>
      </c>
      <c r="O29">
        <v>26330</v>
      </c>
      <c r="P29">
        <v>26300</v>
      </c>
      <c r="Q29">
        <v>26600</v>
      </c>
      <c r="R29">
        <v>26530</v>
      </c>
      <c r="S29">
        <v>26460</v>
      </c>
      <c r="T29">
        <v>26200</v>
      </c>
      <c r="U29">
        <v>26430</v>
      </c>
      <c r="V29">
        <v>26010</v>
      </c>
      <c r="W29">
        <v>26040</v>
      </c>
      <c r="X29">
        <v>26120</v>
      </c>
      <c r="Y29">
        <v>26200</v>
      </c>
      <c r="Z29">
        <v>26580</v>
      </c>
      <c r="AA29">
        <v>26550</v>
      </c>
      <c r="AB29">
        <v>26680</v>
      </c>
      <c r="AC29">
        <v>26720</v>
      </c>
      <c r="AD29">
        <v>26690</v>
      </c>
      <c r="AE29">
        <v>26620</v>
      </c>
      <c r="AF29">
        <v>26900</v>
      </c>
      <c r="AG29">
        <v>27090</v>
      </c>
      <c r="AH29">
        <v>26120</v>
      </c>
    </row>
    <row r="30" spans="1:34">
      <c r="A30" t="s">
        <v>38</v>
      </c>
      <c r="B30">
        <v>101300</v>
      </c>
      <c r="C30">
        <v>101300</v>
      </c>
      <c r="D30">
        <v>102100</v>
      </c>
      <c r="E30">
        <v>103050</v>
      </c>
      <c r="F30">
        <v>103550</v>
      </c>
      <c r="G30">
        <v>103500</v>
      </c>
      <c r="H30">
        <v>103600</v>
      </c>
      <c r="I30">
        <v>99850</v>
      </c>
      <c r="J30">
        <v>101000</v>
      </c>
      <c r="K30">
        <v>102100</v>
      </c>
      <c r="L30">
        <v>101750</v>
      </c>
      <c r="M30">
        <v>101650</v>
      </c>
      <c r="N30">
        <v>101650</v>
      </c>
      <c r="O30">
        <v>103400</v>
      </c>
      <c r="P30">
        <v>104150</v>
      </c>
      <c r="Q30">
        <v>104400</v>
      </c>
      <c r="R30">
        <v>103500</v>
      </c>
      <c r="S30">
        <v>103600</v>
      </c>
      <c r="T30">
        <v>102000</v>
      </c>
      <c r="U30">
        <v>102000</v>
      </c>
      <c r="V30">
        <v>100150</v>
      </c>
      <c r="W30">
        <v>99200</v>
      </c>
      <c r="X30">
        <v>99150</v>
      </c>
      <c r="Y30">
        <v>100100</v>
      </c>
      <c r="Z30">
        <v>102050</v>
      </c>
      <c r="AA30">
        <v>100550</v>
      </c>
      <c r="AB30">
        <v>100450</v>
      </c>
      <c r="AC30">
        <v>104050</v>
      </c>
      <c r="AD30">
        <v>101500</v>
      </c>
      <c r="AE30">
        <v>101250</v>
      </c>
      <c r="AF30">
        <v>104700</v>
      </c>
      <c r="AG30">
        <v>105250</v>
      </c>
      <c r="AH30">
        <v>102650</v>
      </c>
    </row>
    <row r="31" spans="1:34">
      <c r="A31" t="s">
        <v>18</v>
      </c>
      <c r="B31">
        <v>6130.8600000000006</v>
      </c>
      <c r="C31">
        <v>6180.1</v>
      </c>
      <c r="D31">
        <v>6171.9000000000005</v>
      </c>
      <c r="E31">
        <v>6162.89</v>
      </c>
      <c r="F31">
        <v>6218.34</v>
      </c>
      <c r="G31">
        <v>6284.84</v>
      </c>
      <c r="H31">
        <v>6277.42</v>
      </c>
      <c r="I31" s="28">
        <v>6206.9800000000005</v>
      </c>
      <c r="J31">
        <v>6110.63</v>
      </c>
      <c r="K31">
        <v>6122.74</v>
      </c>
      <c r="L31">
        <v>6113.52</v>
      </c>
      <c r="M31">
        <v>6053.72</v>
      </c>
      <c r="N31">
        <v>6066.36</v>
      </c>
      <c r="O31">
        <v>6074.76</v>
      </c>
      <c r="P31">
        <v>6015.75</v>
      </c>
      <c r="Q31">
        <v>6019.58</v>
      </c>
      <c r="R31">
        <v>5997.89</v>
      </c>
      <c r="S31">
        <v>5866.1900000000005</v>
      </c>
      <c r="T31">
        <v>5861.9800000000005</v>
      </c>
      <c r="U31">
        <v>5725.01</v>
      </c>
      <c r="V31">
        <v>5771.31</v>
      </c>
      <c r="W31">
        <v>5678.88</v>
      </c>
      <c r="X31">
        <v>5578.25</v>
      </c>
      <c r="Y31">
        <v>5753.6900000000005</v>
      </c>
      <c r="Z31">
        <v>5761.72</v>
      </c>
      <c r="AA31">
        <v>5768.41</v>
      </c>
      <c r="AB31">
        <v>6006.29</v>
      </c>
      <c r="AC31">
        <v>5951.5</v>
      </c>
      <c r="AD31">
        <v>5993.61</v>
      </c>
      <c r="AE31">
        <v>6221.07</v>
      </c>
      <c r="AF31">
        <v>6312.22</v>
      </c>
      <c r="AG31">
        <v>6317.81</v>
      </c>
      <c r="AH31">
        <v>6395.12</v>
      </c>
    </row>
    <row r="32" spans="1:34">
      <c r="A32" t="s">
        <v>19</v>
      </c>
      <c r="B32">
        <v>2887.46</v>
      </c>
      <c r="C32">
        <v>2878.12</v>
      </c>
      <c r="D32">
        <v>2894.92</v>
      </c>
      <c r="E32">
        <v>2891.01</v>
      </c>
      <c r="F32">
        <v>2865.17</v>
      </c>
      <c r="G32">
        <v>2895.84</v>
      </c>
      <c r="H32">
        <v>2917.4900000000002</v>
      </c>
      <c r="I32" s="28">
        <v>2908.2000000000003</v>
      </c>
      <c r="J32">
        <v>2900.43</v>
      </c>
      <c r="K32">
        <v>2901.12</v>
      </c>
      <c r="L32">
        <v>2858.81</v>
      </c>
      <c r="M32">
        <v>2860.08</v>
      </c>
      <c r="N32">
        <v>2869.27</v>
      </c>
      <c r="O32">
        <v>2888.11</v>
      </c>
      <c r="P32">
        <v>2877.51</v>
      </c>
      <c r="Q32">
        <v>2933.13</v>
      </c>
      <c r="R32">
        <v>2958.42</v>
      </c>
      <c r="S32">
        <v>2939.9</v>
      </c>
      <c r="T32">
        <v>2920.82</v>
      </c>
      <c r="U32">
        <v>2844.05</v>
      </c>
      <c r="V32">
        <v>2864.44</v>
      </c>
      <c r="W32">
        <v>2799.9</v>
      </c>
      <c r="X32">
        <v>2776.68</v>
      </c>
      <c r="Y32">
        <v>2948.39</v>
      </c>
      <c r="Z32">
        <v>3079.78</v>
      </c>
      <c r="AA32">
        <v>3100.98</v>
      </c>
      <c r="AB32">
        <v>3158.59</v>
      </c>
      <c r="AC32">
        <v>3113.83</v>
      </c>
      <c r="AD32">
        <v>3108.82</v>
      </c>
      <c r="AE32">
        <v>3107.4900000000002</v>
      </c>
      <c r="AF32">
        <v>3090.38</v>
      </c>
      <c r="AG32">
        <v>3155.62</v>
      </c>
      <c r="AH32">
        <v>3179.03</v>
      </c>
    </row>
    <row r="33" spans="1:34">
      <c r="A33" t="s">
        <v>39</v>
      </c>
      <c r="B33">
        <v>4053.36</v>
      </c>
      <c r="C33">
        <v>4065.67</v>
      </c>
      <c r="D33">
        <v>4087.55</v>
      </c>
      <c r="E33">
        <v>4088.71</v>
      </c>
      <c r="F33">
        <v>4074.4700000000003</v>
      </c>
      <c r="G33">
        <v>4110.2</v>
      </c>
      <c r="H33">
        <v>4131.9800000000005</v>
      </c>
      <c r="I33" s="28">
        <v>4108.87</v>
      </c>
      <c r="J33">
        <v>4069.64</v>
      </c>
      <c r="K33">
        <v>4066.42</v>
      </c>
      <c r="L33">
        <v>4027.4</v>
      </c>
      <c r="M33">
        <v>4010.76</v>
      </c>
      <c r="N33">
        <v>4023.7000000000003</v>
      </c>
      <c r="O33">
        <v>4043.6800000000003</v>
      </c>
      <c r="P33">
        <v>4015.94</v>
      </c>
      <c r="Q33">
        <v>4066.29</v>
      </c>
      <c r="R33">
        <v>4099.1099999999997</v>
      </c>
      <c r="S33">
        <v>4054.59</v>
      </c>
      <c r="T33">
        <v>4041.96</v>
      </c>
      <c r="U33">
        <v>3933.26</v>
      </c>
      <c r="V33">
        <v>3960.62</v>
      </c>
      <c r="W33">
        <v>3876.21</v>
      </c>
      <c r="X33">
        <v>3820.05</v>
      </c>
      <c r="Y33">
        <v>4007.36</v>
      </c>
      <c r="Z33">
        <v>4121.72</v>
      </c>
      <c r="AA33">
        <v>4141.7700000000004</v>
      </c>
      <c r="AB33">
        <v>4262.5600000000004</v>
      </c>
      <c r="AC33">
        <v>4229.25</v>
      </c>
      <c r="AD33">
        <v>4215.93</v>
      </c>
      <c r="AE33">
        <v>4274.78</v>
      </c>
      <c r="AF33">
        <v>4270.07</v>
      </c>
      <c r="AG33">
        <v>4332.51</v>
      </c>
      <c r="AH33">
        <v>4387.45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after"/>
  <dimension ref="A1:AS33"/>
  <sheetViews>
    <sheetView workbookViewId="0">
      <selection activeCell="B31" sqref="B31"/>
    </sheetView>
  </sheetViews>
  <sheetFormatPr defaultRowHeight="13.5"/>
  <cols>
    <col min="17" max="17" width="10.25" customWidth="1"/>
    <col min="18" max="18" width="10.375" customWidth="1"/>
    <col min="32" max="32" width="11" customWidth="1"/>
    <col min="33" max="33" width="9.875" customWidth="1"/>
    <col min="34" max="34" width="11" customWidth="1"/>
    <col min="35" max="35" width="9.75" customWidth="1"/>
    <col min="36" max="36" width="12.375" customWidth="1"/>
    <col min="37" max="45" width="10.5" bestFit="1" customWidth="1"/>
  </cols>
  <sheetData>
    <row r="1" spans="1:45">
      <c r="A1" t="s">
        <v>0</v>
      </c>
      <c r="B1" s="11">
        <v>43179</v>
      </c>
      <c r="C1" s="11">
        <v>43178</v>
      </c>
      <c r="D1" s="11">
        <v>43175</v>
      </c>
      <c r="E1" s="11">
        <v>43174</v>
      </c>
      <c r="F1" s="11">
        <v>43173</v>
      </c>
      <c r="G1" s="11">
        <v>43172</v>
      </c>
      <c r="H1" s="11">
        <v>43171</v>
      </c>
      <c r="I1" s="11">
        <v>43168</v>
      </c>
      <c r="J1" s="11">
        <v>43167</v>
      </c>
      <c r="K1" s="11">
        <v>43166</v>
      </c>
      <c r="L1" s="11">
        <v>43165</v>
      </c>
      <c r="M1" s="11">
        <v>43164</v>
      </c>
      <c r="N1" s="11">
        <v>43161</v>
      </c>
      <c r="O1" s="11">
        <v>43160</v>
      </c>
      <c r="P1" s="11">
        <v>43159</v>
      </c>
      <c r="Q1" s="11">
        <v>43158</v>
      </c>
      <c r="R1" s="11">
        <v>43157</v>
      </c>
      <c r="S1" s="11">
        <v>43154</v>
      </c>
      <c r="T1" s="11">
        <v>43153</v>
      </c>
      <c r="U1" s="11">
        <v>43145</v>
      </c>
      <c r="V1" s="11">
        <v>43144</v>
      </c>
      <c r="W1" s="11">
        <v>43143</v>
      </c>
      <c r="X1" s="11">
        <v>43140</v>
      </c>
      <c r="Y1" s="11">
        <v>43139</v>
      </c>
      <c r="Z1" s="11">
        <v>43138</v>
      </c>
      <c r="AA1" s="11">
        <v>43137</v>
      </c>
      <c r="AB1" s="11">
        <v>43136</v>
      </c>
      <c r="AC1" s="11">
        <v>43133</v>
      </c>
      <c r="AD1" s="11">
        <v>43132</v>
      </c>
      <c r="AE1" s="11">
        <v>43131</v>
      </c>
      <c r="AF1" s="11">
        <v>43130</v>
      </c>
      <c r="AG1" s="11">
        <v>43129</v>
      </c>
      <c r="AH1" s="11">
        <v>43126</v>
      </c>
      <c r="AI1" s="11">
        <v>43125</v>
      </c>
      <c r="AJ1" s="11"/>
      <c r="AK1" s="11"/>
      <c r="AL1" s="11"/>
      <c r="AM1" s="11"/>
      <c r="AN1" s="11"/>
      <c r="AO1" s="11"/>
      <c r="AP1" s="11"/>
      <c r="AQ1" s="11"/>
      <c r="AR1" s="11"/>
      <c r="AS1" s="11"/>
    </row>
    <row r="2" spans="1:45">
      <c r="A2" t="s">
        <v>5</v>
      </c>
      <c r="B2">
        <v>2050</v>
      </c>
      <c r="C2">
        <v>2050</v>
      </c>
      <c r="D2">
        <v>2050</v>
      </c>
      <c r="E2">
        <v>2100</v>
      </c>
      <c r="F2">
        <v>2100</v>
      </c>
      <c r="G2">
        <v>2100</v>
      </c>
      <c r="H2">
        <v>2100</v>
      </c>
      <c r="I2">
        <v>2100</v>
      </c>
      <c r="J2">
        <v>2050</v>
      </c>
      <c r="K2">
        <v>2050</v>
      </c>
      <c r="L2">
        <v>2050</v>
      </c>
      <c r="M2">
        <v>2050</v>
      </c>
      <c r="N2">
        <v>2050</v>
      </c>
      <c r="O2">
        <v>2050</v>
      </c>
      <c r="P2">
        <v>2050</v>
      </c>
      <c r="Q2">
        <v>2050</v>
      </c>
      <c r="R2">
        <v>2050</v>
      </c>
      <c r="S2">
        <v>2050</v>
      </c>
      <c r="T2">
        <v>1950</v>
      </c>
      <c r="U2">
        <v>1950</v>
      </c>
      <c r="V2">
        <v>1950</v>
      </c>
      <c r="W2">
        <v>1950</v>
      </c>
      <c r="X2">
        <v>1950</v>
      </c>
      <c r="Y2">
        <v>1950</v>
      </c>
      <c r="Z2">
        <v>1950</v>
      </c>
      <c r="AA2">
        <v>1950</v>
      </c>
      <c r="AB2">
        <v>1950</v>
      </c>
      <c r="AC2">
        <v>1950</v>
      </c>
      <c r="AD2">
        <v>1950</v>
      </c>
      <c r="AE2">
        <v>2050</v>
      </c>
      <c r="AF2">
        <v>2050</v>
      </c>
      <c r="AG2">
        <v>2050</v>
      </c>
      <c r="AH2">
        <v>2050</v>
      </c>
      <c r="AI2">
        <v>2050</v>
      </c>
      <c r="AJ2" s="28"/>
    </row>
    <row r="3" spans="1:45">
      <c r="A3" t="s">
        <v>7</v>
      </c>
      <c r="B3">
        <v>1380</v>
      </c>
      <c r="C3">
        <v>1380</v>
      </c>
      <c r="D3">
        <v>1380</v>
      </c>
      <c r="E3">
        <v>1380</v>
      </c>
      <c r="F3">
        <v>1380</v>
      </c>
      <c r="G3">
        <v>1380</v>
      </c>
      <c r="H3">
        <v>1380</v>
      </c>
      <c r="I3">
        <v>1380</v>
      </c>
      <c r="J3">
        <v>1380</v>
      </c>
      <c r="K3">
        <v>1380</v>
      </c>
      <c r="L3">
        <v>1380</v>
      </c>
      <c r="M3">
        <v>1380</v>
      </c>
      <c r="N3">
        <v>1380</v>
      </c>
      <c r="O3">
        <v>1380</v>
      </c>
      <c r="P3">
        <v>1380</v>
      </c>
      <c r="Q3">
        <v>1380</v>
      </c>
      <c r="R3">
        <v>1350</v>
      </c>
      <c r="S3">
        <v>1350</v>
      </c>
      <c r="T3">
        <v>1350</v>
      </c>
      <c r="U3">
        <v>1350</v>
      </c>
      <c r="V3">
        <v>1350</v>
      </c>
      <c r="W3">
        <v>1350</v>
      </c>
      <c r="X3">
        <v>1350</v>
      </c>
      <c r="Y3">
        <v>1350</v>
      </c>
      <c r="Z3">
        <v>1350</v>
      </c>
      <c r="AA3">
        <v>1350</v>
      </c>
      <c r="AB3">
        <v>1350</v>
      </c>
      <c r="AC3">
        <v>1320</v>
      </c>
      <c r="AD3">
        <v>1320</v>
      </c>
      <c r="AE3">
        <v>1300</v>
      </c>
      <c r="AF3">
        <v>1300</v>
      </c>
      <c r="AG3">
        <v>1360</v>
      </c>
      <c r="AH3">
        <v>1360</v>
      </c>
      <c r="AI3">
        <v>1360</v>
      </c>
      <c r="AJ3" s="28"/>
    </row>
    <row r="4" spans="1:45">
      <c r="A4" t="s">
        <v>4</v>
      </c>
      <c r="B4">
        <v>641</v>
      </c>
      <c r="C4">
        <v>642</v>
      </c>
      <c r="D4">
        <v>643</v>
      </c>
      <c r="E4">
        <v>644</v>
      </c>
      <c r="F4">
        <v>647</v>
      </c>
      <c r="G4">
        <v>650</v>
      </c>
      <c r="H4">
        <v>650</v>
      </c>
      <c r="I4">
        <v>653</v>
      </c>
      <c r="J4">
        <v>663</v>
      </c>
      <c r="K4">
        <v>672</v>
      </c>
      <c r="L4">
        <v>678</v>
      </c>
      <c r="M4">
        <v>686</v>
      </c>
      <c r="N4">
        <v>689</v>
      </c>
      <c r="O4">
        <v>700</v>
      </c>
      <c r="P4">
        <v>708</v>
      </c>
      <c r="Q4">
        <v>722</v>
      </c>
      <c r="R4">
        <v>728</v>
      </c>
      <c r="S4">
        <v>735</v>
      </c>
      <c r="T4">
        <v>746</v>
      </c>
      <c r="U4">
        <v>746</v>
      </c>
      <c r="V4">
        <v>746</v>
      </c>
      <c r="W4">
        <v>750</v>
      </c>
      <c r="X4">
        <v>750</v>
      </c>
      <c r="Y4">
        <v>750</v>
      </c>
      <c r="Z4">
        <v>750</v>
      </c>
      <c r="AA4">
        <v>768</v>
      </c>
      <c r="AB4">
        <v>768</v>
      </c>
      <c r="AC4">
        <v>764</v>
      </c>
      <c r="AD4">
        <v>764</v>
      </c>
      <c r="AE4">
        <v>760</v>
      </c>
      <c r="AF4">
        <v>759</v>
      </c>
      <c r="AG4">
        <v>751</v>
      </c>
      <c r="AH4">
        <v>750</v>
      </c>
      <c r="AI4">
        <v>745</v>
      </c>
      <c r="AJ4" s="28"/>
    </row>
    <row r="5" spans="1:45">
      <c r="A5" t="s">
        <v>20</v>
      </c>
      <c r="B5">
        <v>486.3</v>
      </c>
      <c r="C5">
        <v>505.6</v>
      </c>
      <c r="D5">
        <v>508.3</v>
      </c>
      <c r="E5">
        <v>508.3</v>
      </c>
      <c r="F5">
        <v>500.3</v>
      </c>
      <c r="G5">
        <v>500.3</v>
      </c>
      <c r="H5">
        <v>508.9</v>
      </c>
      <c r="I5">
        <v>530.5</v>
      </c>
      <c r="J5">
        <v>546.5</v>
      </c>
      <c r="K5">
        <v>546.5</v>
      </c>
      <c r="L5">
        <v>560.5</v>
      </c>
      <c r="M5">
        <v>560.5</v>
      </c>
      <c r="N5">
        <v>568</v>
      </c>
      <c r="O5">
        <v>566</v>
      </c>
      <c r="P5">
        <v>569.1</v>
      </c>
      <c r="Q5">
        <v>571.20000000000005</v>
      </c>
      <c r="R5">
        <v>565.9</v>
      </c>
      <c r="S5">
        <v>558.29999999999995</v>
      </c>
      <c r="T5">
        <v>549.70000000000005</v>
      </c>
      <c r="U5">
        <v>549.70000000000005</v>
      </c>
      <c r="V5">
        <v>549.70000000000005</v>
      </c>
      <c r="W5">
        <v>545.4</v>
      </c>
      <c r="X5">
        <v>545.4</v>
      </c>
      <c r="Y5">
        <v>545.4</v>
      </c>
      <c r="Z5">
        <v>545.4</v>
      </c>
      <c r="AA5">
        <v>540.1</v>
      </c>
      <c r="AB5">
        <v>540.1</v>
      </c>
      <c r="AC5">
        <v>536.79999999999995</v>
      </c>
      <c r="AD5">
        <v>534.70000000000005</v>
      </c>
      <c r="AE5">
        <v>537.9</v>
      </c>
      <c r="AF5">
        <v>537.9</v>
      </c>
      <c r="AG5">
        <v>534.70000000000005</v>
      </c>
      <c r="AH5">
        <v>541.1</v>
      </c>
      <c r="AI5">
        <v>535.79999999999995</v>
      </c>
      <c r="AJ5" s="28"/>
    </row>
    <row r="6" spans="1:45">
      <c r="A6" t="s">
        <v>12</v>
      </c>
      <c r="B6">
        <v>3886.6</v>
      </c>
      <c r="C6">
        <v>3948</v>
      </c>
      <c r="D6">
        <v>3980</v>
      </c>
      <c r="E6">
        <v>3980</v>
      </c>
      <c r="F6">
        <v>3980</v>
      </c>
      <c r="G6">
        <v>4000</v>
      </c>
      <c r="H6">
        <v>4000</v>
      </c>
      <c r="I6">
        <v>3980</v>
      </c>
      <c r="J6">
        <v>4082</v>
      </c>
      <c r="K6">
        <v>4124</v>
      </c>
      <c r="L6">
        <v>4154</v>
      </c>
      <c r="M6">
        <v>4206</v>
      </c>
      <c r="N6">
        <v>4226</v>
      </c>
      <c r="O6">
        <v>4226</v>
      </c>
      <c r="P6">
        <v>4226</v>
      </c>
      <c r="Q6">
        <v>4226</v>
      </c>
      <c r="R6">
        <v>4216</v>
      </c>
      <c r="S6">
        <v>4010</v>
      </c>
      <c r="T6">
        <v>4010</v>
      </c>
      <c r="U6">
        <v>4010</v>
      </c>
      <c r="V6">
        <v>4010</v>
      </c>
      <c r="W6">
        <v>4010</v>
      </c>
      <c r="X6">
        <v>4010</v>
      </c>
      <c r="Y6">
        <v>4010</v>
      </c>
      <c r="Z6">
        <v>4010</v>
      </c>
      <c r="AA6">
        <v>4010</v>
      </c>
      <c r="AB6">
        <v>4010</v>
      </c>
      <c r="AC6">
        <v>4010</v>
      </c>
      <c r="AD6">
        <v>4010</v>
      </c>
      <c r="AE6">
        <v>4010</v>
      </c>
      <c r="AF6">
        <v>4020</v>
      </c>
      <c r="AG6">
        <v>4020</v>
      </c>
      <c r="AH6">
        <v>4020</v>
      </c>
      <c r="AI6">
        <v>4020</v>
      </c>
      <c r="AJ6" s="28"/>
    </row>
    <row r="7" spans="1:45">
      <c r="A7" t="s">
        <v>9</v>
      </c>
      <c r="B7">
        <v>3960</v>
      </c>
      <c r="C7">
        <v>3970</v>
      </c>
      <c r="D7">
        <v>3970</v>
      </c>
      <c r="E7">
        <v>3950</v>
      </c>
      <c r="F7">
        <v>3950</v>
      </c>
      <c r="G7">
        <v>3920</v>
      </c>
      <c r="H7">
        <v>3920</v>
      </c>
      <c r="I7">
        <v>3920</v>
      </c>
      <c r="J7">
        <v>3970</v>
      </c>
      <c r="K7">
        <v>4090</v>
      </c>
      <c r="L7">
        <v>4100</v>
      </c>
      <c r="M7">
        <v>4120</v>
      </c>
      <c r="N7">
        <v>4140</v>
      </c>
      <c r="O7">
        <v>4160</v>
      </c>
      <c r="P7">
        <v>4170</v>
      </c>
      <c r="Q7">
        <v>4180</v>
      </c>
      <c r="R7">
        <v>4180</v>
      </c>
      <c r="S7">
        <v>4130</v>
      </c>
      <c r="T7">
        <v>4070</v>
      </c>
      <c r="U7">
        <v>4070</v>
      </c>
      <c r="V7">
        <v>4070</v>
      </c>
      <c r="W7">
        <v>4070</v>
      </c>
      <c r="X7">
        <v>4070</v>
      </c>
      <c r="Y7">
        <v>4070</v>
      </c>
      <c r="Z7">
        <v>4080</v>
      </c>
      <c r="AA7">
        <v>4080</v>
      </c>
      <c r="AB7">
        <v>4080</v>
      </c>
      <c r="AC7">
        <v>4080</v>
      </c>
      <c r="AD7">
        <v>4080</v>
      </c>
      <c r="AE7">
        <v>4090</v>
      </c>
      <c r="AF7">
        <v>4090</v>
      </c>
      <c r="AG7">
        <v>4120</v>
      </c>
      <c r="AH7">
        <v>4120</v>
      </c>
      <c r="AI7">
        <v>4120</v>
      </c>
      <c r="AJ7" s="28"/>
    </row>
    <row r="8" spans="1:45">
      <c r="A8" t="s">
        <v>31</v>
      </c>
      <c r="B8">
        <v>11390</v>
      </c>
      <c r="C8">
        <v>11660</v>
      </c>
      <c r="D8">
        <v>11720</v>
      </c>
      <c r="E8">
        <v>11940</v>
      </c>
      <c r="F8">
        <v>11925</v>
      </c>
      <c r="G8">
        <v>11845</v>
      </c>
      <c r="H8">
        <v>11845</v>
      </c>
      <c r="I8">
        <v>11770</v>
      </c>
      <c r="J8">
        <v>12110</v>
      </c>
      <c r="K8">
        <v>12065</v>
      </c>
      <c r="L8">
        <v>12130</v>
      </c>
      <c r="M8">
        <v>12255</v>
      </c>
      <c r="N8">
        <v>12160</v>
      </c>
      <c r="O8">
        <v>12210</v>
      </c>
      <c r="P8">
        <v>12230</v>
      </c>
      <c r="Q8">
        <v>11985</v>
      </c>
      <c r="R8">
        <v>12025</v>
      </c>
      <c r="S8">
        <v>11950</v>
      </c>
      <c r="T8">
        <v>11500</v>
      </c>
      <c r="U8">
        <v>11540</v>
      </c>
      <c r="V8">
        <v>11540</v>
      </c>
      <c r="W8">
        <v>11520</v>
      </c>
      <c r="X8">
        <v>11450</v>
      </c>
      <c r="Y8">
        <v>11390</v>
      </c>
      <c r="Z8">
        <v>11455</v>
      </c>
      <c r="AA8">
        <v>11385</v>
      </c>
      <c r="AB8">
        <v>11755</v>
      </c>
      <c r="AC8">
        <v>11520</v>
      </c>
      <c r="AD8">
        <v>11545</v>
      </c>
      <c r="AE8">
        <v>11620</v>
      </c>
      <c r="AF8">
        <v>11695</v>
      </c>
      <c r="AG8">
        <v>11970</v>
      </c>
      <c r="AH8">
        <v>11970</v>
      </c>
      <c r="AI8">
        <v>11855</v>
      </c>
      <c r="AJ8" s="28"/>
    </row>
    <row r="9" spans="1:45">
      <c r="A9" t="s">
        <v>17</v>
      </c>
      <c r="B9">
        <v>1540</v>
      </c>
      <c r="C9">
        <v>1520</v>
      </c>
      <c r="D9">
        <v>1520</v>
      </c>
      <c r="E9">
        <v>1520</v>
      </c>
      <c r="F9">
        <v>1520</v>
      </c>
      <c r="G9">
        <v>1480</v>
      </c>
      <c r="H9">
        <v>1480</v>
      </c>
      <c r="I9">
        <v>1480</v>
      </c>
      <c r="J9">
        <v>1480</v>
      </c>
      <c r="K9">
        <v>1480</v>
      </c>
      <c r="L9">
        <v>1480</v>
      </c>
      <c r="M9">
        <v>1480</v>
      </c>
      <c r="N9">
        <v>1480</v>
      </c>
      <c r="O9">
        <v>1480</v>
      </c>
      <c r="P9">
        <v>1480</v>
      </c>
      <c r="Q9">
        <v>1480</v>
      </c>
      <c r="R9">
        <v>1450</v>
      </c>
      <c r="S9">
        <v>1450</v>
      </c>
      <c r="T9">
        <v>1450</v>
      </c>
      <c r="U9">
        <v>1450</v>
      </c>
      <c r="V9">
        <v>1450</v>
      </c>
      <c r="W9">
        <v>1450</v>
      </c>
      <c r="X9">
        <v>1450</v>
      </c>
      <c r="Y9">
        <v>1450</v>
      </c>
      <c r="Z9">
        <v>1450</v>
      </c>
      <c r="AA9">
        <v>1450</v>
      </c>
      <c r="AB9">
        <v>1450</v>
      </c>
      <c r="AC9">
        <v>1450</v>
      </c>
      <c r="AD9">
        <v>1450</v>
      </c>
      <c r="AE9">
        <v>1450</v>
      </c>
      <c r="AF9">
        <v>1450</v>
      </c>
      <c r="AG9">
        <v>1450</v>
      </c>
      <c r="AH9">
        <v>1450</v>
      </c>
      <c r="AI9">
        <v>1450</v>
      </c>
      <c r="AJ9" s="28"/>
    </row>
    <row r="10" spans="1:45">
      <c r="A10" t="s">
        <v>32</v>
      </c>
      <c r="B10">
        <v>6160</v>
      </c>
      <c r="C10">
        <v>6250</v>
      </c>
      <c r="D10">
        <v>6250</v>
      </c>
      <c r="E10">
        <v>6250</v>
      </c>
      <c r="F10">
        <v>6275</v>
      </c>
      <c r="G10">
        <v>6250</v>
      </c>
      <c r="H10">
        <v>6300</v>
      </c>
      <c r="I10">
        <v>6370</v>
      </c>
      <c r="J10">
        <v>6540</v>
      </c>
      <c r="K10">
        <v>6580</v>
      </c>
      <c r="L10">
        <v>6580</v>
      </c>
      <c r="M10">
        <v>6665</v>
      </c>
      <c r="N10">
        <v>6690</v>
      </c>
      <c r="O10">
        <v>6690</v>
      </c>
      <c r="P10">
        <v>6600</v>
      </c>
      <c r="Q10">
        <v>6600</v>
      </c>
      <c r="R10">
        <v>6600</v>
      </c>
      <c r="S10">
        <v>6640</v>
      </c>
      <c r="T10">
        <v>6470</v>
      </c>
      <c r="U10">
        <v>6470</v>
      </c>
      <c r="V10">
        <v>6555</v>
      </c>
      <c r="W10">
        <v>6650</v>
      </c>
      <c r="X10">
        <v>6650</v>
      </c>
      <c r="Y10">
        <v>6650</v>
      </c>
      <c r="Z10">
        <v>6670</v>
      </c>
      <c r="AA10">
        <v>6700</v>
      </c>
      <c r="AB10">
        <v>6700</v>
      </c>
      <c r="AC10">
        <v>6620</v>
      </c>
      <c r="AD10">
        <v>6730</v>
      </c>
      <c r="AE10">
        <v>6715</v>
      </c>
      <c r="AF10">
        <v>6735</v>
      </c>
      <c r="AG10">
        <v>6760</v>
      </c>
      <c r="AH10">
        <v>6665</v>
      </c>
      <c r="AI10">
        <v>6715</v>
      </c>
      <c r="AJ10" s="28"/>
    </row>
    <row r="11" spans="1:45">
      <c r="A11" t="s">
        <v>21</v>
      </c>
      <c r="B11">
        <v>9215</v>
      </c>
      <c r="C11">
        <v>9245</v>
      </c>
      <c r="D11">
        <v>9135</v>
      </c>
      <c r="E11">
        <v>9185</v>
      </c>
      <c r="F11">
        <v>9250</v>
      </c>
      <c r="G11">
        <v>9110</v>
      </c>
      <c r="H11">
        <v>9045</v>
      </c>
      <c r="I11">
        <v>9205</v>
      </c>
      <c r="J11">
        <v>9205</v>
      </c>
      <c r="K11">
        <v>9375</v>
      </c>
      <c r="L11">
        <v>9400</v>
      </c>
      <c r="M11">
        <v>9390</v>
      </c>
      <c r="N11">
        <v>9455</v>
      </c>
      <c r="O11">
        <v>9480</v>
      </c>
      <c r="P11">
        <v>9335</v>
      </c>
      <c r="Q11">
        <v>9320</v>
      </c>
      <c r="R11">
        <v>9425</v>
      </c>
      <c r="S11">
        <v>9520</v>
      </c>
      <c r="T11">
        <v>9420</v>
      </c>
      <c r="U11">
        <v>9465</v>
      </c>
      <c r="V11">
        <v>9350</v>
      </c>
      <c r="W11">
        <v>9370</v>
      </c>
      <c r="X11">
        <v>9425</v>
      </c>
      <c r="Y11">
        <v>9470</v>
      </c>
      <c r="Z11">
        <v>9545</v>
      </c>
      <c r="AA11">
        <v>9540</v>
      </c>
      <c r="AB11">
        <v>9600</v>
      </c>
      <c r="AC11">
        <v>9577</v>
      </c>
      <c r="AD11">
        <v>9645</v>
      </c>
      <c r="AE11">
        <v>9715</v>
      </c>
      <c r="AF11">
        <v>9850</v>
      </c>
      <c r="AG11">
        <v>9865</v>
      </c>
      <c r="AH11">
        <v>9830</v>
      </c>
      <c r="AI11">
        <v>9830</v>
      </c>
      <c r="AJ11" s="28"/>
    </row>
    <row r="12" spans="1:45">
      <c r="A12" t="s">
        <v>33</v>
      </c>
      <c r="B12">
        <v>8556</v>
      </c>
      <c r="C12">
        <v>8607</v>
      </c>
      <c r="D12">
        <v>8633</v>
      </c>
      <c r="E12">
        <v>8783</v>
      </c>
      <c r="F12">
        <v>8791</v>
      </c>
      <c r="G12">
        <v>8768</v>
      </c>
      <c r="H12">
        <v>8739</v>
      </c>
      <c r="I12">
        <v>8862</v>
      </c>
      <c r="J12">
        <v>8840</v>
      </c>
      <c r="K12">
        <v>9032</v>
      </c>
      <c r="L12">
        <v>9067</v>
      </c>
      <c r="M12">
        <v>9042</v>
      </c>
      <c r="N12">
        <v>9117</v>
      </c>
      <c r="O12">
        <v>9100</v>
      </c>
      <c r="P12">
        <v>9049</v>
      </c>
      <c r="Q12">
        <v>9041</v>
      </c>
      <c r="R12">
        <v>9081</v>
      </c>
      <c r="S12">
        <v>9172</v>
      </c>
      <c r="T12">
        <v>9157</v>
      </c>
      <c r="U12">
        <v>9251</v>
      </c>
      <c r="V12">
        <v>9129</v>
      </c>
      <c r="W12">
        <v>9128</v>
      </c>
      <c r="X12">
        <v>9164</v>
      </c>
      <c r="Y12">
        <v>9164</v>
      </c>
      <c r="Z12">
        <v>9231</v>
      </c>
      <c r="AA12">
        <v>9351</v>
      </c>
      <c r="AB12">
        <v>9378</v>
      </c>
      <c r="AC12">
        <v>9300</v>
      </c>
      <c r="AD12">
        <v>9339</v>
      </c>
      <c r="AE12">
        <v>9452</v>
      </c>
      <c r="AF12">
        <v>9477</v>
      </c>
      <c r="AG12">
        <v>9499</v>
      </c>
      <c r="AH12">
        <v>9446</v>
      </c>
      <c r="AI12">
        <v>9460</v>
      </c>
      <c r="AJ12" s="28"/>
    </row>
    <row r="13" spans="1:45">
      <c r="A13" t="s">
        <v>13</v>
      </c>
      <c r="B13">
        <v>5562</v>
      </c>
      <c r="C13">
        <v>5615</v>
      </c>
      <c r="D13">
        <v>5620</v>
      </c>
      <c r="E13">
        <v>5682</v>
      </c>
      <c r="F13">
        <v>5680</v>
      </c>
      <c r="G13">
        <v>5638</v>
      </c>
      <c r="H13">
        <v>5670</v>
      </c>
      <c r="I13">
        <v>5670</v>
      </c>
      <c r="J13">
        <v>5835</v>
      </c>
      <c r="K13">
        <v>5900</v>
      </c>
      <c r="L13">
        <v>5965</v>
      </c>
      <c r="M13">
        <v>5936</v>
      </c>
      <c r="N13">
        <v>6000</v>
      </c>
      <c r="O13">
        <v>5901</v>
      </c>
      <c r="P13">
        <v>5947</v>
      </c>
      <c r="Q13">
        <v>5981</v>
      </c>
      <c r="R13">
        <v>5984</v>
      </c>
      <c r="S13">
        <v>5904</v>
      </c>
      <c r="T13">
        <v>5879</v>
      </c>
      <c r="U13">
        <v>5632</v>
      </c>
      <c r="V13">
        <v>5632</v>
      </c>
      <c r="W13">
        <v>5606</v>
      </c>
      <c r="X13">
        <v>5612</v>
      </c>
      <c r="Y13">
        <v>5620</v>
      </c>
      <c r="Z13">
        <v>5650</v>
      </c>
      <c r="AA13">
        <v>5622</v>
      </c>
      <c r="AB13">
        <v>5623</v>
      </c>
      <c r="AC13">
        <v>5630</v>
      </c>
      <c r="AD13">
        <v>5638</v>
      </c>
      <c r="AE13">
        <v>5665</v>
      </c>
      <c r="AF13">
        <v>5621</v>
      </c>
      <c r="AG13">
        <v>5700</v>
      </c>
      <c r="AH13">
        <v>5701</v>
      </c>
      <c r="AI13">
        <v>5725</v>
      </c>
      <c r="AJ13" s="28"/>
    </row>
    <row r="14" spans="1:45">
      <c r="A14" t="s">
        <v>26</v>
      </c>
      <c r="B14">
        <v>2725</v>
      </c>
      <c r="C14">
        <v>2725</v>
      </c>
      <c r="D14">
        <v>2700</v>
      </c>
      <c r="E14">
        <v>2700</v>
      </c>
      <c r="F14">
        <v>2700</v>
      </c>
      <c r="G14">
        <v>2700</v>
      </c>
      <c r="H14">
        <v>2700</v>
      </c>
      <c r="I14">
        <v>2700</v>
      </c>
      <c r="J14">
        <v>2700</v>
      </c>
      <c r="K14">
        <v>2700</v>
      </c>
      <c r="L14">
        <v>2700</v>
      </c>
      <c r="M14">
        <v>2700</v>
      </c>
      <c r="N14">
        <v>2700</v>
      </c>
      <c r="O14">
        <v>2700</v>
      </c>
      <c r="P14">
        <v>2700</v>
      </c>
      <c r="Q14">
        <v>2700</v>
      </c>
      <c r="R14">
        <v>2700</v>
      </c>
      <c r="S14">
        <v>2700</v>
      </c>
      <c r="T14">
        <v>2700</v>
      </c>
      <c r="U14">
        <v>2700</v>
      </c>
      <c r="V14">
        <v>2700</v>
      </c>
      <c r="W14">
        <v>2700</v>
      </c>
      <c r="X14">
        <v>2700</v>
      </c>
      <c r="Y14">
        <v>2700</v>
      </c>
      <c r="Z14">
        <v>2650</v>
      </c>
      <c r="AA14">
        <v>2650</v>
      </c>
      <c r="AB14">
        <v>2650</v>
      </c>
      <c r="AC14">
        <v>2600</v>
      </c>
      <c r="AD14">
        <v>2600</v>
      </c>
      <c r="AE14">
        <v>2600</v>
      </c>
      <c r="AF14">
        <v>2600</v>
      </c>
      <c r="AG14">
        <v>2600</v>
      </c>
      <c r="AH14">
        <v>2450</v>
      </c>
      <c r="AI14">
        <v>2400</v>
      </c>
      <c r="AJ14" s="28"/>
    </row>
    <row r="15" spans="1:45">
      <c r="A15" t="s">
        <v>6</v>
      </c>
      <c r="B15">
        <v>2850</v>
      </c>
      <c r="C15">
        <v>2810</v>
      </c>
      <c r="D15">
        <v>2810</v>
      </c>
      <c r="E15">
        <v>2760</v>
      </c>
      <c r="F15">
        <v>2710</v>
      </c>
      <c r="G15">
        <v>2660</v>
      </c>
      <c r="H15">
        <v>2660</v>
      </c>
      <c r="I15">
        <v>2450</v>
      </c>
      <c r="J15">
        <v>2450</v>
      </c>
      <c r="K15">
        <v>2550</v>
      </c>
      <c r="L15">
        <v>2550</v>
      </c>
      <c r="M15">
        <v>2600</v>
      </c>
      <c r="N15">
        <v>2630</v>
      </c>
      <c r="O15">
        <v>2650</v>
      </c>
      <c r="P15">
        <v>2700</v>
      </c>
      <c r="Q15">
        <v>2700</v>
      </c>
      <c r="R15">
        <v>2750</v>
      </c>
      <c r="S15">
        <v>2750</v>
      </c>
      <c r="T15">
        <v>2800</v>
      </c>
      <c r="U15">
        <v>2800</v>
      </c>
      <c r="V15">
        <v>2800</v>
      </c>
      <c r="W15">
        <v>2800</v>
      </c>
      <c r="X15">
        <v>2800</v>
      </c>
      <c r="Y15">
        <v>2800</v>
      </c>
      <c r="Z15">
        <v>2820</v>
      </c>
      <c r="AA15">
        <v>2830</v>
      </c>
      <c r="AB15">
        <v>2950</v>
      </c>
      <c r="AC15">
        <v>2950</v>
      </c>
      <c r="AD15">
        <v>2990</v>
      </c>
      <c r="AE15">
        <v>2990</v>
      </c>
      <c r="AF15">
        <v>3000</v>
      </c>
      <c r="AG15">
        <v>3100</v>
      </c>
      <c r="AH15">
        <v>3100</v>
      </c>
      <c r="AI15">
        <v>3100</v>
      </c>
      <c r="AJ15" s="28"/>
    </row>
    <row r="16" spans="1:45">
      <c r="A16" t="s">
        <v>15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  <c r="I16">
        <v>3650</v>
      </c>
      <c r="J16">
        <v>3650</v>
      </c>
      <c r="K16">
        <v>3650</v>
      </c>
      <c r="L16">
        <v>3650</v>
      </c>
      <c r="M16">
        <v>3650</v>
      </c>
      <c r="N16">
        <v>3650</v>
      </c>
      <c r="O16">
        <v>3650</v>
      </c>
      <c r="P16">
        <v>3650</v>
      </c>
      <c r="Q16">
        <v>3650</v>
      </c>
      <c r="R16">
        <v>3650</v>
      </c>
      <c r="S16">
        <v>3650</v>
      </c>
      <c r="T16">
        <v>3650</v>
      </c>
      <c r="U16">
        <v>3650</v>
      </c>
      <c r="V16">
        <v>3650</v>
      </c>
      <c r="W16">
        <v>3650</v>
      </c>
      <c r="X16">
        <v>3650</v>
      </c>
      <c r="Y16">
        <v>3650</v>
      </c>
      <c r="Z16">
        <v>3650</v>
      </c>
      <c r="AA16">
        <v>3650</v>
      </c>
      <c r="AB16">
        <v>3650</v>
      </c>
      <c r="AC16">
        <v>3650</v>
      </c>
      <c r="AD16">
        <v>3650</v>
      </c>
      <c r="AE16">
        <v>3650</v>
      </c>
      <c r="AF16">
        <v>3650</v>
      </c>
      <c r="AG16">
        <v>3650</v>
      </c>
      <c r="AH16">
        <v>3650</v>
      </c>
      <c r="AI16">
        <v>3650</v>
      </c>
      <c r="AJ16" s="28"/>
    </row>
    <row r="17" spans="1:36">
      <c r="A17" t="s">
        <v>11</v>
      </c>
      <c r="B17">
        <v>3100</v>
      </c>
      <c r="C17">
        <v>3160</v>
      </c>
      <c r="D17">
        <v>3160</v>
      </c>
      <c r="E17">
        <v>3140</v>
      </c>
      <c r="F17">
        <v>3180</v>
      </c>
      <c r="G17">
        <v>3180</v>
      </c>
      <c r="H17">
        <v>3170</v>
      </c>
      <c r="I17">
        <v>3220</v>
      </c>
      <c r="J17">
        <v>3220</v>
      </c>
      <c r="K17">
        <v>3227</v>
      </c>
      <c r="L17">
        <v>3233</v>
      </c>
      <c r="M17">
        <v>3260</v>
      </c>
      <c r="N17">
        <v>3230</v>
      </c>
      <c r="O17">
        <v>3120</v>
      </c>
      <c r="P17">
        <v>3070</v>
      </c>
      <c r="Q17">
        <v>3060</v>
      </c>
      <c r="R17">
        <v>3060</v>
      </c>
      <c r="S17">
        <v>3010</v>
      </c>
      <c r="T17">
        <v>2920</v>
      </c>
      <c r="U17">
        <v>2920</v>
      </c>
      <c r="V17">
        <v>2920</v>
      </c>
      <c r="W17">
        <v>2870</v>
      </c>
      <c r="X17">
        <v>2870</v>
      </c>
      <c r="Y17">
        <v>2860</v>
      </c>
      <c r="Z17">
        <v>2860</v>
      </c>
      <c r="AA17">
        <v>2820</v>
      </c>
      <c r="AB17">
        <v>2830</v>
      </c>
      <c r="AC17">
        <v>2840</v>
      </c>
      <c r="AD17">
        <v>2860</v>
      </c>
      <c r="AE17">
        <v>2850</v>
      </c>
      <c r="AF17">
        <v>2850</v>
      </c>
      <c r="AG17">
        <v>2830</v>
      </c>
      <c r="AH17">
        <v>2830</v>
      </c>
      <c r="AI17">
        <v>2840</v>
      </c>
      <c r="AJ17" s="28"/>
    </row>
    <row r="18" spans="1:36">
      <c r="A18" t="s">
        <v>23</v>
      </c>
      <c r="B18">
        <v>2470</v>
      </c>
      <c r="C18">
        <v>2470</v>
      </c>
      <c r="D18">
        <v>2514</v>
      </c>
      <c r="E18">
        <v>2514</v>
      </c>
      <c r="F18">
        <v>2545</v>
      </c>
      <c r="G18">
        <v>2507</v>
      </c>
      <c r="H18">
        <v>2507</v>
      </c>
      <c r="I18">
        <v>2527</v>
      </c>
      <c r="J18">
        <v>2538</v>
      </c>
      <c r="K18">
        <v>2543</v>
      </c>
      <c r="L18">
        <v>2555</v>
      </c>
      <c r="M18">
        <v>2570</v>
      </c>
      <c r="N18">
        <v>2578</v>
      </c>
      <c r="O18">
        <v>2476</v>
      </c>
      <c r="P18">
        <v>2461</v>
      </c>
      <c r="Q18">
        <v>2433</v>
      </c>
      <c r="R18">
        <v>2440</v>
      </c>
      <c r="S18">
        <v>2430</v>
      </c>
      <c r="T18">
        <v>2290</v>
      </c>
      <c r="U18">
        <v>2290</v>
      </c>
      <c r="V18">
        <v>2290</v>
      </c>
      <c r="W18">
        <v>2290</v>
      </c>
      <c r="X18">
        <v>2290</v>
      </c>
      <c r="Y18">
        <v>2290</v>
      </c>
      <c r="Z18">
        <v>2290</v>
      </c>
      <c r="AA18">
        <v>2270</v>
      </c>
      <c r="AB18">
        <v>2280</v>
      </c>
      <c r="AC18">
        <v>2270</v>
      </c>
      <c r="AD18">
        <v>2290</v>
      </c>
      <c r="AE18">
        <v>2300</v>
      </c>
      <c r="AF18">
        <v>2290</v>
      </c>
      <c r="AG18">
        <v>2300</v>
      </c>
      <c r="AH18">
        <v>2250</v>
      </c>
      <c r="AI18">
        <v>2250</v>
      </c>
      <c r="AJ18" s="28"/>
    </row>
    <row r="19" spans="1:36">
      <c r="A19" t="s">
        <v>14</v>
      </c>
      <c r="B19">
        <v>1940</v>
      </c>
      <c r="C19">
        <v>1930</v>
      </c>
      <c r="D19">
        <v>1930</v>
      </c>
      <c r="E19">
        <v>1930</v>
      </c>
      <c r="F19">
        <v>1940</v>
      </c>
      <c r="G19">
        <v>1950</v>
      </c>
      <c r="H19">
        <v>1950</v>
      </c>
      <c r="I19">
        <v>1960</v>
      </c>
      <c r="J19">
        <v>1960</v>
      </c>
      <c r="K19">
        <v>1950</v>
      </c>
      <c r="L19">
        <v>1940</v>
      </c>
      <c r="M19">
        <v>1940</v>
      </c>
      <c r="N19">
        <v>1900</v>
      </c>
      <c r="O19">
        <v>1900</v>
      </c>
      <c r="P19">
        <v>1890</v>
      </c>
      <c r="Q19">
        <v>1890</v>
      </c>
      <c r="R19">
        <v>1890</v>
      </c>
      <c r="S19">
        <v>1870</v>
      </c>
      <c r="T19">
        <v>1870</v>
      </c>
      <c r="U19">
        <v>1870</v>
      </c>
      <c r="V19">
        <v>1870</v>
      </c>
      <c r="W19">
        <v>1870</v>
      </c>
      <c r="X19">
        <v>1870</v>
      </c>
      <c r="Y19">
        <v>1870</v>
      </c>
      <c r="Z19">
        <v>1870</v>
      </c>
      <c r="AA19">
        <v>1870</v>
      </c>
      <c r="AB19">
        <v>1870</v>
      </c>
      <c r="AC19">
        <v>1850</v>
      </c>
      <c r="AD19">
        <v>1850</v>
      </c>
      <c r="AE19">
        <v>1850</v>
      </c>
      <c r="AF19">
        <v>1850</v>
      </c>
      <c r="AG19">
        <v>1850</v>
      </c>
      <c r="AH19">
        <v>1850</v>
      </c>
      <c r="AI19">
        <v>1840</v>
      </c>
      <c r="AJ19" s="28"/>
    </row>
    <row r="20" spans="1:36">
      <c r="A20" t="s">
        <v>8</v>
      </c>
      <c r="B20">
        <v>2300</v>
      </c>
      <c r="C20">
        <v>2300</v>
      </c>
      <c r="D20">
        <v>2300</v>
      </c>
      <c r="E20">
        <v>2300</v>
      </c>
      <c r="F20">
        <v>2300</v>
      </c>
      <c r="G20">
        <v>2300</v>
      </c>
      <c r="H20">
        <v>2300</v>
      </c>
      <c r="I20">
        <v>2300</v>
      </c>
      <c r="J20">
        <v>2300</v>
      </c>
      <c r="K20">
        <v>2300</v>
      </c>
      <c r="L20">
        <v>2300</v>
      </c>
      <c r="M20">
        <v>2300</v>
      </c>
      <c r="N20">
        <v>2300</v>
      </c>
      <c r="O20">
        <v>2300</v>
      </c>
      <c r="P20">
        <v>2300</v>
      </c>
      <c r="Q20">
        <v>2300</v>
      </c>
      <c r="R20">
        <v>2250</v>
      </c>
      <c r="S20">
        <v>2220</v>
      </c>
      <c r="T20">
        <v>2220</v>
      </c>
      <c r="U20">
        <v>2220</v>
      </c>
      <c r="V20">
        <v>2220</v>
      </c>
      <c r="W20">
        <v>2220</v>
      </c>
      <c r="X20">
        <v>2220</v>
      </c>
      <c r="Y20">
        <v>2220</v>
      </c>
      <c r="Z20">
        <v>2220</v>
      </c>
      <c r="AA20">
        <v>2220</v>
      </c>
      <c r="AB20">
        <v>2220</v>
      </c>
      <c r="AC20">
        <v>2220</v>
      </c>
      <c r="AD20">
        <v>2220</v>
      </c>
      <c r="AE20">
        <v>2220</v>
      </c>
      <c r="AF20">
        <v>2220</v>
      </c>
      <c r="AG20">
        <v>2220</v>
      </c>
      <c r="AH20">
        <v>2250</v>
      </c>
      <c r="AI20">
        <v>2250</v>
      </c>
      <c r="AJ20" s="28"/>
    </row>
    <row r="21" spans="1:36">
      <c r="A21" t="s">
        <v>34</v>
      </c>
      <c r="B21">
        <v>5660</v>
      </c>
      <c r="C21">
        <v>5680</v>
      </c>
      <c r="D21">
        <v>5710</v>
      </c>
      <c r="E21">
        <v>5690</v>
      </c>
      <c r="F21">
        <v>5730</v>
      </c>
      <c r="G21">
        <v>5700</v>
      </c>
      <c r="H21">
        <v>5680</v>
      </c>
      <c r="I21">
        <v>5710</v>
      </c>
      <c r="J21">
        <v>5730</v>
      </c>
      <c r="K21">
        <v>5820</v>
      </c>
      <c r="L21">
        <v>5820</v>
      </c>
      <c r="M21">
        <v>5820</v>
      </c>
      <c r="N21">
        <v>5800</v>
      </c>
      <c r="O21">
        <v>5720</v>
      </c>
      <c r="P21">
        <v>5720</v>
      </c>
      <c r="Q21">
        <v>5730</v>
      </c>
      <c r="R21">
        <v>5740</v>
      </c>
      <c r="S21">
        <v>5670</v>
      </c>
      <c r="T21">
        <v>5590</v>
      </c>
      <c r="U21">
        <v>5590</v>
      </c>
      <c r="V21">
        <v>5590</v>
      </c>
      <c r="W21">
        <v>5590</v>
      </c>
      <c r="X21">
        <v>5590</v>
      </c>
      <c r="Y21">
        <v>5550</v>
      </c>
      <c r="Z21">
        <v>5570</v>
      </c>
      <c r="AA21">
        <v>5470</v>
      </c>
      <c r="AB21">
        <v>5470</v>
      </c>
      <c r="AC21">
        <v>5530</v>
      </c>
      <c r="AD21">
        <v>5530</v>
      </c>
      <c r="AE21">
        <v>5550</v>
      </c>
      <c r="AF21">
        <v>5560</v>
      </c>
      <c r="AG21">
        <v>5600</v>
      </c>
      <c r="AH21">
        <v>5600</v>
      </c>
      <c r="AI21">
        <v>5600</v>
      </c>
      <c r="AJ21" s="28"/>
    </row>
    <row r="22" spans="1:36">
      <c r="A22" t="s">
        <v>25</v>
      </c>
      <c r="B22">
        <v>5010</v>
      </c>
      <c r="C22">
        <v>5030</v>
      </c>
      <c r="D22">
        <v>5060</v>
      </c>
      <c r="E22">
        <v>5040</v>
      </c>
      <c r="F22">
        <v>5040</v>
      </c>
      <c r="G22">
        <v>5030</v>
      </c>
      <c r="H22">
        <v>5030</v>
      </c>
      <c r="I22">
        <v>5070</v>
      </c>
      <c r="J22">
        <v>5090</v>
      </c>
      <c r="K22">
        <v>5170</v>
      </c>
      <c r="L22">
        <v>5190</v>
      </c>
      <c r="M22">
        <v>5160</v>
      </c>
      <c r="N22">
        <v>5220</v>
      </c>
      <c r="O22">
        <v>5230</v>
      </c>
      <c r="P22">
        <v>5220</v>
      </c>
      <c r="Q22">
        <v>5210</v>
      </c>
      <c r="R22">
        <v>5220</v>
      </c>
      <c r="S22">
        <v>5160</v>
      </c>
      <c r="T22">
        <v>5090</v>
      </c>
      <c r="U22">
        <v>5060</v>
      </c>
      <c r="V22">
        <v>5060</v>
      </c>
      <c r="W22">
        <v>5060</v>
      </c>
      <c r="X22">
        <v>5060</v>
      </c>
      <c r="Y22">
        <v>5030</v>
      </c>
      <c r="Z22">
        <v>5040</v>
      </c>
      <c r="AA22">
        <v>5020</v>
      </c>
      <c r="AB22">
        <v>5020</v>
      </c>
      <c r="AC22">
        <v>5010</v>
      </c>
      <c r="AD22">
        <v>5030</v>
      </c>
      <c r="AE22">
        <v>5100</v>
      </c>
      <c r="AF22">
        <v>5090</v>
      </c>
      <c r="AG22">
        <v>5160</v>
      </c>
      <c r="AH22">
        <v>5140</v>
      </c>
      <c r="AI22">
        <v>5120</v>
      </c>
      <c r="AJ22" s="28"/>
    </row>
    <row r="23" spans="1:36">
      <c r="A23" t="s">
        <v>16</v>
      </c>
      <c r="B23">
        <v>6640</v>
      </c>
      <c r="C23">
        <v>6660</v>
      </c>
      <c r="D23">
        <v>6450</v>
      </c>
      <c r="E23">
        <v>6450</v>
      </c>
      <c r="F23">
        <v>6450</v>
      </c>
      <c r="G23">
        <v>6450</v>
      </c>
      <c r="H23">
        <v>6450</v>
      </c>
      <c r="I23">
        <v>6440</v>
      </c>
      <c r="J23">
        <v>6510</v>
      </c>
      <c r="K23">
        <v>6510</v>
      </c>
      <c r="L23">
        <v>6568</v>
      </c>
      <c r="M23">
        <v>6580</v>
      </c>
      <c r="N23">
        <v>6580</v>
      </c>
      <c r="O23">
        <v>6490</v>
      </c>
      <c r="P23">
        <v>6510</v>
      </c>
      <c r="Q23">
        <v>6540</v>
      </c>
      <c r="R23">
        <v>6540</v>
      </c>
      <c r="S23">
        <v>6520</v>
      </c>
      <c r="T23">
        <v>6510</v>
      </c>
      <c r="U23">
        <v>6510</v>
      </c>
      <c r="V23">
        <v>6510</v>
      </c>
      <c r="W23">
        <v>6510</v>
      </c>
      <c r="X23">
        <v>6510</v>
      </c>
      <c r="Y23">
        <v>6510</v>
      </c>
      <c r="Z23">
        <v>6510</v>
      </c>
      <c r="AA23">
        <v>6510</v>
      </c>
      <c r="AB23">
        <v>6510</v>
      </c>
      <c r="AC23">
        <v>6510</v>
      </c>
      <c r="AD23">
        <v>6510</v>
      </c>
      <c r="AE23">
        <v>6520</v>
      </c>
      <c r="AF23">
        <v>6540</v>
      </c>
      <c r="AG23">
        <v>6600</v>
      </c>
      <c r="AH23">
        <v>6608</v>
      </c>
      <c r="AI23">
        <v>6580</v>
      </c>
      <c r="AJ23" s="28"/>
    </row>
    <row r="24" spans="1:36">
      <c r="A24" t="s">
        <v>10</v>
      </c>
      <c r="B24">
        <v>5700</v>
      </c>
      <c r="C24">
        <v>5750</v>
      </c>
      <c r="D24">
        <v>5760</v>
      </c>
      <c r="E24">
        <v>5760</v>
      </c>
      <c r="F24">
        <v>5760</v>
      </c>
      <c r="G24">
        <v>5760</v>
      </c>
      <c r="H24">
        <v>5910</v>
      </c>
      <c r="I24">
        <v>5760</v>
      </c>
      <c r="J24">
        <v>5780</v>
      </c>
      <c r="K24">
        <v>5780</v>
      </c>
      <c r="L24">
        <v>5810</v>
      </c>
      <c r="M24">
        <v>5850</v>
      </c>
      <c r="N24">
        <v>6010</v>
      </c>
      <c r="O24">
        <v>6010</v>
      </c>
      <c r="P24">
        <v>6010</v>
      </c>
      <c r="Q24">
        <v>5910</v>
      </c>
      <c r="R24">
        <v>5910</v>
      </c>
      <c r="S24">
        <v>5920</v>
      </c>
      <c r="T24">
        <v>5920</v>
      </c>
      <c r="U24">
        <v>5920</v>
      </c>
      <c r="V24">
        <v>5920</v>
      </c>
      <c r="W24">
        <v>5920</v>
      </c>
      <c r="X24">
        <v>5920</v>
      </c>
      <c r="Y24">
        <v>5920</v>
      </c>
      <c r="Z24">
        <v>5920</v>
      </c>
      <c r="AA24">
        <v>5920</v>
      </c>
      <c r="AB24">
        <v>5920</v>
      </c>
      <c r="AC24">
        <v>5970</v>
      </c>
      <c r="AD24">
        <v>5970</v>
      </c>
      <c r="AE24">
        <v>5970</v>
      </c>
      <c r="AF24">
        <v>5970</v>
      </c>
      <c r="AG24">
        <v>5970</v>
      </c>
      <c r="AH24">
        <v>5970</v>
      </c>
      <c r="AI24">
        <v>5970</v>
      </c>
      <c r="AJ24" s="28"/>
    </row>
    <row r="25" spans="1:36">
      <c r="A25" t="s">
        <v>35</v>
      </c>
      <c r="B25">
        <v>15555</v>
      </c>
      <c r="C25">
        <v>15555</v>
      </c>
      <c r="D25">
        <v>15555</v>
      </c>
      <c r="E25">
        <v>15555</v>
      </c>
      <c r="F25">
        <v>15555</v>
      </c>
      <c r="G25">
        <v>15555</v>
      </c>
      <c r="H25">
        <v>15555</v>
      </c>
      <c r="I25">
        <v>15555</v>
      </c>
      <c r="J25">
        <v>15525</v>
      </c>
      <c r="K25">
        <v>15525</v>
      </c>
      <c r="L25">
        <v>15505</v>
      </c>
      <c r="M25">
        <v>15475</v>
      </c>
      <c r="N25">
        <v>15475</v>
      </c>
      <c r="O25">
        <v>15465</v>
      </c>
      <c r="P25">
        <v>15465</v>
      </c>
      <c r="Q25">
        <v>15450</v>
      </c>
      <c r="R25">
        <v>15450</v>
      </c>
      <c r="S25">
        <v>15450</v>
      </c>
      <c r="T25">
        <v>15450</v>
      </c>
      <c r="U25">
        <v>15450</v>
      </c>
      <c r="V25">
        <v>15450</v>
      </c>
      <c r="W25">
        <v>15450</v>
      </c>
      <c r="X25">
        <v>15450</v>
      </c>
      <c r="Y25">
        <v>15450</v>
      </c>
      <c r="Z25">
        <v>15450</v>
      </c>
      <c r="AA25">
        <v>15450</v>
      </c>
      <c r="AB25">
        <v>15450</v>
      </c>
      <c r="AC25">
        <v>15450</v>
      </c>
      <c r="AD25">
        <v>15450</v>
      </c>
      <c r="AE25">
        <v>15450</v>
      </c>
      <c r="AF25">
        <v>15450</v>
      </c>
      <c r="AG25">
        <v>15450</v>
      </c>
      <c r="AH25">
        <v>15450</v>
      </c>
      <c r="AI25">
        <v>15450</v>
      </c>
      <c r="AJ25" s="28"/>
    </row>
    <row r="26" spans="1:36">
      <c r="A26" t="s">
        <v>24</v>
      </c>
      <c r="B26">
        <v>23000</v>
      </c>
      <c r="C26">
        <v>23000</v>
      </c>
      <c r="D26">
        <v>23000</v>
      </c>
      <c r="E26">
        <v>23000</v>
      </c>
      <c r="F26">
        <v>23000</v>
      </c>
      <c r="G26">
        <v>23000</v>
      </c>
      <c r="H26">
        <v>23000</v>
      </c>
      <c r="I26">
        <v>23000</v>
      </c>
      <c r="J26">
        <v>23000</v>
      </c>
      <c r="K26">
        <v>22950</v>
      </c>
      <c r="L26">
        <v>22950</v>
      </c>
      <c r="M26">
        <v>22950</v>
      </c>
      <c r="N26">
        <v>22900</v>
      </c>
      <c r="O26">
        <v>22900</v>
      </c>
      <c r="P26">
        <v>22900</v>
      </c>
      <c r="Q26">
        <v>22900</v>
      </c>
      <c r="R26">
        <v>22900</v>
      </c>
      <c r="S26">
        <v>22900</v>
      </c>
      <c r="T26">
        <v>22900</v>
      </c>
      <c r="U26">
        <v>22900</v>
      </c>
      <c r="V26">
        <v>22900</v>
      </c>
      <c r="W26">
        <v>22900</v>
      </c>
      <c r="X26">
        <v>22900</v>
      </c>
      <c r="Y26">
        <v>22900</v>
      </c>
      <c r="Z26">
        <v>22900</v>
      </c>
      <c r="AA26">
        <v>23100</v>
      </c>
      <c r="AB26">
        <v>23100</v>
      </c>
      <c r="AC26">
        <v>22900</v>
      </c>
      <c r="AD26">
        <v>22900</v>
      </c>
      <c r="AE26">
        <v>22900</v>
      </c>
      <c r="AF26">
        <v>22900</v>
      </c>
      <c r="AG26">
        <v>22900</v>
      </c>
      <c r="AH26">
        <v>22900</v>
      </c>
      <c r="AI26">
        <v>22900</v>
      </c>
      <c r="AJ26" s="28"/>
    </row>
    <row r="27" spans="1:36">
      <c r="A27" t="s">
        <v>36</v>
      </c>
      <c r="B27">
        <v>50710</v>
      </c>
      <c r="C27">
        <v>50760</v>
      </c>
      <c r="D27">
        <v>51430</v>
      </c>
      <c r="E27">
        <v>51450</v>
      </c>
      <c r="F27">
        <v>51490</v>
      </c>
      <c r="G27">
        <v>51170</v>
      </c>
      <c r="H27">
        <v>51360</v>
      </c>
      <c r="I27">
        <v>50560</v>
      </c>
      <c r="J27">
        <v>51400</v>
      </c>
      <c r="K27">
        <v>51840</v>
      </c>
      <c r="L27">
        <v>51790</v>
      </c>
      <c r="M27">
        <v>51490</v>
      </c>
      <c r="N27">
        <v>51880</v>
      </c>
      <c r="O27">
        <v>52040</v>
      </c>
      <c r="P27">
        <v>52420</v>
      </c>
      <c r="Q27">
        <v>52910</v>
      </c>
      <c r="R27">
        <v>52870</v>
      </c>
      <c r="S27">
        <v>52930</v>
      </c>
      <c r="T27">
        <v>51680</v>
      </c>
      <c r="U27">
        <v>51680</v>
      </c>
      <c r="V27">
        <v>51680</v>
      </c>
      <c r="W27">
        <v>51040</v>
      </c>
      <c r="X27">
        <v>51040</v>
      </c>
      <c r="Y27">
        <v>51560</v>
      </c>
      <c r="Z27">
        <v>52250</v>
      </c>
      <c r="AA27">
        <v>52340</v>
      </c>
      <c r="AB27">
        <v>52610</v>
      </c>
      <c r="AC27">
        <v>52810</v>
      </c>
      <c r="AD27">
        <v>52840</v>
      </c>
      <c r="AE27">
        <v>52680</v>
      </c>
      <c r="AF27">
        <v>52490</v>
      </c>
      <c r="AG27">
        <v>53400</v>
      </c>
      <c r="AH27">
        <v>53190</v>
      </c>
      <c r="AI27">
        <v>53560</v>
      </c>
      <c r="AJ27" s="28"/>
    </row>
    <row r="28" spans="1:36">
      <c r="A28" t="s">
        <v>22</v>
      </c>
      <c r="B28">
        <v>13760</v>
      </c>
      <c r="C28">
        <v>13710</v>
      </c>
      <c r="D28">
        <v>13730</v>
      </c>
      <c r="E28">
        <v>13730</v>
      </c>
      <c r="F28">
        <v>13710</v>
      </c>
      <c r="G28">
        <v>13620</v>
      </c>
      <c r="H28">
        <v>13800</v>
      </c>
      <c r="I28">
        <v>13810</v>
      </c>
      <c r="J28">
        <v>13900</v>
      </c>
      <c r="K28">
        <v>13940</v>
      </c>
      <c r="L28">
        <v>14050</v>
      </c>
      <c r="M28">
        <v>13930</v>
      </c>
      <c r="N28">
        <v>14080</v>
      </c>
      <c r="O28">
        <v>14130</v>
      </c>
      <c r="P28">
        <v>14010</v>
      </c>
      <c r="Q28">
        <v>13930</v>
      </c>
      <c r="R28">
        <v>13870</v>
      </c>
      <c r="S28">
        <v>13920</v>
      </c>
      <c r="T28">
        <v>14130</v>
      </c>
      <c r="U28">
        <v>14130</v>
      </c>
      <c r="V28">
        <v>14130</v>
      </c>
      <c r="W28">
        <v>13930</v>
      </c>
      <c r="X28">
        <v>13930</v>
      </c>
      <c r="Y28">
        <v>14000</v>
      </c>
      <c r="Z28">
        <v>14040</v>
      </c>
      <c r="AA28">
        <v>14010</v>
      </c>
      <c r="AB28">
        <v>14090</v>
      </c>
      <c r="AC28">
        <v>14200</v>
      </c>
      <c r="AD28">
        <v>14150</v>
      </c>
      <c r="AE28">
        <v>14230</v>
      </c>
      <c r="AF28">
        <v>14290</v>
      </c>
      <c r="AG28">
        <v>14490</v>
      </c>
      <c r="AH28">
        <v>14450</v>
      </c>
      <c r="AI28">
        <v>14550</v>
      </c>
      <c r="AJ28" s="28"/>
    </row>
    <row r="29" spans="1:36">
      <c r="A29" t="s">
        <v>37</v>
      </c>
      <c r="B29">
        <v>24590</v>
      </c>
      <c r="C29">
        <v>24750</v>
      </c>
      <c r="D29">
        <v>24830</v>
      </c>
      <c r="E29">
        <v>24700</v>
      </c>
      <c r="F29">
        <v>25100</v>
      </c>
      <c r="G29">
        <v>25020</v>
      </c>
      <c r="H29">
        <v>25000</v>
      </c>
      <c r="I29">
        <v>24590</v>
      </c>
      <c r="J29">
        <v>25170</v>
      </c>
      <c r="K29">
        <v>25370</v>
      </c>
      <c r="L29">
        <v>25380</v>
      </c>
      <c r="M29">
        <v>25660</v>
      </c>
      <c r="N29">
        <v>26030</v>
      </c>
      <c r="O29">
        <v>26330</v>
      </c>
      <c r="P29">
        <v>26300</v>
      </c>
      <c r="Q29">
        <v>26600</v>
      </c>
      <c r="R29">
        <v>26500</v>
      </c>
      <c r="S29">
        <v>26460</v>
      </c>
      <c r="T29">
        <v>26010</v>
      </c>
      <c r="U29">
        <v>26010</v>
      </c>
      <c r="V29">
        <v>26010</v>
      </c>
      <c r="W29">
        <v>25850</v>
      </c>
      <c r="X29">
        <v>25850</v>
      </c>
      <c r="Y29">
        <v>26120</v>
      </c>
      <c r="Z29">
        <v>26350</v>
      </c>
      <c r="AA29">
        <v>26350</v>
      </c>
      <c r="AB29">
        <v>26620</v>
      </c>
      <c r="AC29">
        <v>26650</v>
      </c>
      <c r="AD29">
        <v>26690</v>
      </c>
      <c r="AE29">
        <v>26620</v>
      </c>
      <c r="AF29">
        <v>26650</v>
      </c>
      <c r="AG29">
        <v>27090</v>
      </c>
      <c r="AH29">
        <v>26100</v>
      </c>
      <c r="AI29">
        <v>26240</v>
      </c>
      <c r="AJ29" s="28"/>
    </row>
    <row r="30" spans="1:36">
      <c r="A30" t="s">
        <v>38</v>
      </c>
      <c r="B30">
        <v>100250</v>
      </c>
      <c r="C30">
        <v>100950</v>
      </c>
      <c r="D30">
        <v>102100</v>
      </c>
      <c r="E30">
        <v>101950</v>
      </c>
      <c r="F30">
        <v>103300</v>
      </c>
      <c r="G30">
        <v>102700</v>
      </c>
      <c r="H30">
        <v>103200</v>
      </c>
      <c r="I30">
        <v>99300</v>
      </c>
      <c r="J30">
        <v>100150</v>
      </c>
      <c r="K30">
        <v>101400</v>
      </c>
      <c r="L30">
        <v>101150</v>
      </c>
      <c r="M30">
        <v>100850</v>
      </c>
      <c r="N30">
        <v>100800</v>
      </c>
      <c r="O30">
        <v>103400</v>
      </c>
      <c r="P30">
        <v>104150</v>
      </c>
      <c r="Q30">
        <v>104400</v>
      </c>
      <c r="R30">
        <v>103450</v>
      </c>
      <c r="S30">
        <v>103600</v>
      </c>
      <c r="T30">
        <v>100150</v>
      </c>
      <c r="U30">
        <v>100150</v>
      </c>
      <c r="V30">
        <v>100150</v>
      </c>
      <c r="W30">
        <v>97850</v>
      </c>
      <c r="X30">
        <v>97850</v>
      </c>
      <c r="Y30">
        <v>99500</v>
      </c>
      <c r="Z30">
        <v>100750</v>
      </c>
      <c r="AA30">
        <v>99900</v>
      </c>
      <c r="AB30">
        <v>99850</v>
      </c>
      <c r="AC30">
        <v>103700</v>
      </c>
      <c r="AD30">
        <v>101500</v>
      </c>
      <c r="AE30">
        <v>101250</v>
      </c>
      <c r="AF30">
        <v>102300</v>
      </c>
      <c r="AG30">
        <v>105250</v>
      </c>
      <c r="AH30">
        <v>102150</v>
      </c>
      <c r="AI30">
        <v>102750</v>
      </c>
      <c r="AJ30" s="28"/>
    </row>
    <row r="31" spans="1:36">
      <c r="A31" t="s">
        <v>18</v>
      </c>
      <c r="B31">
        <v>6173.7</v>
      </c>
      <c r="C31">
        <v>6153.83</v>
      </c>
      <c r="D31">
        <v>6146.31</v>
      </c>
      <c r="E31">
        <v>6180.1100000000006</v>
      </c>
      <c r="F31">
        <v>6189.32</v>
      </c>
      <c r="G31">
        <v>6254.1500000000005</v>
      </c>
      <c r="H31">
        <v>6295.78</v>
      </c>
      <c r="I31">
        <v>6206.9800000000005</v>
      </c>
      <c r="J31">
        <v>6131.51</v>
      </c>
      <c r="K31">
        <v>6086.49</v>
      </c>
      <c r="L31">
        <v>6145.58</v>
      </c>
      <c r="M31">
        <v>6394.3</v>
      </c>
      <c r="N31">
        <v>6394.3</v>
      </c>
      <c r="O31">
        <v>6394.3</v>
      </c>
      <c r="P31">
        <v>6394.3</v>
      </c>
      <c r="Q31">
        <v>6394.3</v>
      </c>
      <c r="R31">
        <v>6394.3</v>
      </c>
      <c r="S31">
        <v>6394.3</v>
      </c>
      <c r="T31">
        <v>6394.3</v>
      </c>
      <c r="U31">
        <v>6394.3</v>
      </c>
      <c r="V31">
        <v>6394.3</v>
      </c>
      <c r="W31">
        <v>6394.3</v>
      </c>
      <c r="X31">
        <v>6394.3</v>
      </c>
      <c r="Y31">
        <v>6394.3</v>
      </c>
      <c r="Z31">
        <v>6394.3</v>
      </c>
      <c r="AA31">
        <v>6394.3</v>
      </c>
      <c r="AB31">
        <v>6394.3</v>
      </c>
      <c r="AC31">
        <v>6394.3</v>
      </c>
      <c r="AD31">
        <v>6394.3</v>
      </c>
      <c r="AE31">
        <v>6394.3</v>
      </c>
      <c r="AF31">
        <v>6394.3</v>
      </c>
      <c r="AG31">
        <v>6394.3</v>
      </c>
      <c r="AH31">
        <v>6394.3</v>
      </c>
      <c r="AI31">
        <v>6382.72</v>
      </c>
      <c r="AJ31" s="28"/>
    </row>
    <row r="32" spans="1:36">
      <c r="A32" t="s">
        <v>19</v>
      </c>
      <c r="B32">
        <v>2904.4</v>
      </c>
      <c r="C32">
        <v>2897.26</v>
      </c>
      <c r="D32">
        <v>2870.73</v>
      </c>
      <c r="E32">
        <v>2894.98</v>
      </c>
      <c r="F32">
        <v>2871.33</v>
      </c>
      <c r="G32">
        <v>2883.38</v>
      </c>
      <c r="H32">
        <v>2909.58</v>
      </c>
      <c r="I32">
        <v>2908.2000000000003</v>
      </c>
      <c r="J32">
        <v>2898.25</v>
      </c>
      <c r="K32">
        <v>2878.15</v>
      </c>
      <c r="L32">
        <v>2892.48</v>
      </c>
      <c r="M32">
        <v>3180.33</v>
      </c>
      <c r="N32">
        <v>3180.33</v>
      </c>
      <c r="O32">
        <v>3180.33</v>
      </c>
      <c r="P32">
        <v>3180.33</v>
      </c>
      <c r="Q32">
        <v>3180.33</v>
      </c>
      <c r="R32">
        <v>3180.33</v>
      </c>
      <c r="S32">
        <v>3180.33</v>
      </c>
      <c r="T32">
        <v>3180.33</v>
      </c>
      <c r="U32">
        <v>3180.33</v>
      </c>
      <c r="V32">
        <v>3180.33</v>
      </c>
      <c r="W32">
        <v>3180.33</v>
      </c>
      <c r="X32">
        <v>3180.33</v>
      </c>
      <c r="Y32">
        <v>3180.33</v>
      </c>
      <c r="Z32">
        <v>3180.33</v>
      </c>
      <c r="AA32">
        <v>3180.33</v>
      </c>
      <c r="AB32">
        <v>3180.33</v>
      </c>
      <c r="AC32">
        <v>3180.33</v>
      </c>
      <c r="AD32">
        <v>3180.33</v>
      </c>
      <c r="AE32">
        <v>3180.33</v>
      </c>
      <c r="AF32">
        <v>3180.33</v>
      </c>
      <c r="AG32">
        <v>3180.33</v>
      </c>
      <c r="AH32">
        <v>3180.33</v>
      </c>
      <c r="AI32">
        <v>3157.46</v>
      </c>
      <c r="AJ32" s="28"/>
    </row>
    <row r="33" spans="1:36">
      <c r="A33" t="s">
        <v>39</v>
      </c>
      <c r="B33">
        <v>4077.7000000000003</v>
      </c>
      <c r="C33">
        <v>4074.25</v>
      </c>
      <c r="D33">
        <v>4056.42</v>
      </c>
      <c r="E33">
        <v>4096.16</v>
      </c>
      <c r="F33">
        <v>4073.34</v>
      </c>
      <c r="G33">
        <v>4091.25</v>
      </c>
      <c r="H33">
        <v>4127.67</v>
      </c>
      <c r="I33">
        <v>4108.87</v>
      </c>
      <c r="J33">
        <v>4077.6</v>
      </c>
      <c r="K33">
        <v>4036.65</v>
      </c>
      <c r="L33">
        <v>4066.56</v>
      </c>
      <c r="M33">
        <v>4389.8900000000003</v>
      </c>
      <c r="N33">
        <v>4389.8900000000003</v>
      </c>
      <c r="O33">
        <v>4389.8900000000003</v>
      </c>
      <c r="P33">
        <v>4389.8900000000003</v>
      </c>
      <c r="Q33">
        <v>4389.8900000000003</v>
      </c>
      <c r="R33">
        <v>4389.8900000000003</v>
      </c>
      <c r="S33">
        <v>4389.8900000000003</v>
      </c>
      <c r="T33">
        <v>4389.8900000000003</v>
      </c>
      <c r="U33">
        <v>4389.8900000000003</v>
      </c>
      <c r="V33">
        <v>4389.8900000000003</v>
      </c>
      <c r="W33">
        <v>4389.8900000000003</v>
      </c>
      <c r="X33">
        <v>4389.8900000000003</v>
      </c>
      <c r="Y33">
        <v>4389.8900000000003</v>
      </c>
      <c r="Z33">
        <v>4389.8900000000003</v>
      </c>
      <c r="AA33">
        <v>4389.8900000000003</v>
      </c>
      <c r="AB33">
        <v>4389.8900000000003</v>
      </c>
      <c r="AC33">
        <v>4389.8900000000003</v>
      </c>
      <c r="AD33">
        <v>4389.8900000000003</v>
      </c>
      <c r="AE33">
        <v>4389.8900000000003</v>
      </c>
      <c r="AF33">
        <v>4389.8900000000003</v>
      </c>
      <c r="AG33">
        <v>4389.8900000000003</v>
      </c>
      <c r="AH33">
        <v>4389.8900000000003</v>
      </c>
      <c r="AI33">
        <v>4365.08</v>
      </c>
      <c r="AJ33" s="28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33"/>
  <sheetViews>
    <sheetView workbookViewId="0">
      <selection activeCell="C21" sqref="C21"/>
    </sheetView>
  </sheetViews>
  <sheetFormatPr defaultRowHeight="13.5"/>
  <cols>
    <col min="2" max="2" width="8.5" customWidth="1"/>
    <col min="3" max="3" width="11.25" style="1" customWidth="1"/>
    <col min="4" max="4" width="8.375" customWidth="1"/>
    <col min="5" max="5" width="12.625" customWidth="1"/>
    <col min="6" max="6" width="13" customWidth="1"/>
    <col min="7" max="7" width="10.75" customWidth="1"/>
    <col min="13" max="13" width="9.875" style="1" bestFit="1" customWidth="1"/>
    <col min="14" max="17" width="9" style="1"/>
  </cols>
  <sheetData>
    <row r="1" spans="1:16">
      <c r="A1" s="1" t="s">
        <v>105</v>
      </c>
      <c r="B1" s="1" t="s">
        <v>128</v>
      </c>
      <c r="C1" s="1" t="s">
        <v>106</v>
      </c>
      <c r="D1" s="1" t="s">
        <v>45</v>
      </c>
      <c r="E1" s="1" t="s">
        <v>3</v>
      </c>
      <c r="F1" s="1" t="s">
        <v>46</v>
      </c>
      <c r="G1" s="1" t="s">
        <v>47</v>
      </c>
      <c r="H1" s="1" t="s">
        <v>45</v>
      </c>
      <c r="I1" s="1" t="s">
        <v>2</v>
      </c>
      <c r="J1" s="1"/>
      <c r="K1" s="1"/>
      <c r="L1" s="1"/>
      <c r="M1" s="1" t="s">
        <v>107</v>
      </c>
      <c r="N1" s="1" t="s">
        <v>108</v>
      </c>
      <c r="O1" s="1" t="s">
        <v>109</v>
      </c>
      <c r="P1" s="1" t="s">
        <v>94</v>
      </c>
    </row>
    <row r="2" spans="1:16">
      <c r="A2" t="str">
        <f>INDEX(期货数据!$A$8:$A$99,MATCH(ROW()-1,期货数据!$W$8:$W$99,0))</f>
        <v>动力煤</v>
      </c>
      <c r="B2" s="28"/>
      <c r="C2" s="1">
        <f>VLOOKUP($A2,期货数据!$A$8:$AA$99,14,0)</f>
        <v>641</v>
      </c>
      <c r="D2" s="1">
        <f>VLOOKUP($A2,期货数据!$A$8:$AA$99,26,0)</f>
        <v>-1</v>
      </c>
      <c r="E2" s="1" t="str">
        <f>IFERROR(VLOOKUP(A2,手动输入表!$F$2:$J$99,4,0),"无")</f>
        <v>秦皇岛港</v>
      </c>
      <c r="F2" s="1">
        <f>IFERROR(VLOOKUP(A2,手动输入表!$F$2:$J$99,5,0),0)</f>
        <v>0</v>
      </c>
      <c r="G2" s="1">
        <f>VLOOKUP($A2,期货数据!$A$8:$AA$99,15,0)</f>
        <v>49.600000000000023</v>
      </c>
      <c r="H2">
        <f>VLOOKUP($A2,期货数据!$A$8:$AA$99,27,0)</f>
        <v>7.2000000000000455</v>
      </c>
      <c r="I2" s="31">
        <f>VLOOKUP($A2,期货数据!$A$8:$AA$99,20,0)</f>
        <v>8.3868785931687562E-2</v>
      </c>
      <c r="J2" s="31"/>
      <c r="K2" s="31"/>
      <c r="L2" s="31"/>
      <c r="M2" s="30">
        <f>VLOOKUP($A2,期货数据!$A$8:$AA$99,14,0)</f>
        <v>641</v>
      </c>
      <c r="N2" s="30">
        <f>VLOOKUP($A2,期货数据!$A$8:$AA$99,10,0)</f>
        <v>591.4</v>
      </c>
      <c r="O2" s="30">
        <f>VLOOKUP($A2,期货数据!$A$8:$AA$99,11,0)</f>
        <v>586</v>
      </c>
      <c r="P2" s="30">
        <f>VLOOKUP($A2,期货数据!$A$8:$AA$99,12,0)</f>
        <v>601.6</v>
      </c>
    </row>
    <row r="3" spans="1:16">
      <c r="A3" t="str">
        <f>INDEX(期货数据!$A$8:$A$99,MATCH(ROW()-1,期货数据!$W$8:$W$99,0))</f>
        <v>淀粉</v>
      </c>
      <c r="B3" s="28"/>
      <c r="C3" s="1">
        <f>VLOOKUP($A3,期货数据!$A$8:$AA$99,14,0)</f>
        <v>2300</v>
      </c>
      <c r="D3" s="1">
        <f>VLOOKUP($A3,期货数据!$A$8:$AA$99,26,0)</f>
        <v>0</v>
      </c>
      <c r="E3" s="1" t="str">
        <f>IFERROR(VLOOKUP(A3,手动输入表!$F$2:$J$99,4,0),"无")</f>
        <v>东北</v>
      </c>
      <c r="F3" s="1">
        <f>IFERROR(VLOOKUP(A3,手动输入表!$F$2:$J$99,5,0),0)</f>
        <v>0</v>
      </c>
      <c r="G3" s="1">
        <f>VLOOKUP($A3,期货数据!$A$8:$AA$99,15,0)</f>
        <v>161</v>
      </c>
      <c r="H3">
        <f>VLOOKUP($A3,期货数据!$A$8:$AA$99,27,0)</f>
        <v>8</v>
      </c>
      <c r="I3" s="31">
        <f>VLOOKUP($A3,期货数据!$A$8:$AA$99,20,0)</f>
        <v>7.5268817204301078E-2</v>
      </c>
      <c r="M3" s="30">
        <f>VLOOKUP($A3,期货数据!$A$8:$AA$99,14,0)</f>
        <v>2300</v>
      </c>
      <c r="N3" s="30">
        <f>VLOOKUP($A3,期货数据!$A$8:$AA$99,10,0)</f>
        <v>2139</v>
      </c>
      <c r="O3" s="30">
        <f>VLOOKUP($A3,期货数据!$A$8:$AA$99,11,0)</f>
        <v>2147</v>
      </c>
      <c r="P3" s="30">
        <f>VLOOKUP($A3,期货数据!$A$8:$AA$99,12,0)</f>
        <v>2149</v>
      </c>
    </row>
    <row r="4" spans="1:16">
      <c r="A4" t="str">
        <f>INDEX(期货数据!$A$8:$A$99,MATCH(ROW()-1,期货数据!$W$8:$W$99,0))</f>
        <v>玉米</v>
      </c>
      <c r="B4" s="28"/>
      <c r="C4" s="1">
        <f>VLOOKUP($A4,期货数据!$A$8:$AA$99,14,0)</f>
        <v>1940</v>
      </c>
      <c r="D4" s="1">
        <f>VLOOKUP($A4,期货数据!$A$8:$AA$99,26,0)</f>
        <v>10</v>
      </c>
      <c r="E4" s="1" t="str">
        <f>IFERROR(VLOOKUP(A4,手动输入表!$F$2:$J$99,4,0),"无")</f>
        <v>鲅鱼圈平舱价</v>
      </c>
      <c r="F4" s="1">
        <f>IFERROR(VLOOKUP(A4,手动输入表!$F$2:$J$99,5,0),0)</f>
        <v>0</v>
      </c>
      <c r="G4" s="1">
        <f>VLOOKUP($A4,期货数据!$A$8:$AA$99,15,0)</f>
        <v>130</v>
      </c>
      <c r="H4">
        <f>VLOOKUP($A4,期货数据!$A$8:$AA$99,27,0)</f>
        <v>14</v>
      </c>
      <c r="I4" s="31">
        <f>VLOOKUP($A4,期货数据!$A$8:$AA$99,20,0)</f>
        <v>7.18232044198895E-2</v>
      </c>
      <c r="M4" s="30">
        <f>VLOOKUP($A4,期货数据!$A$8:$AA$99,14,0)</f>
        <v>1940</v>
      </c>
      <c r="N4" s="30">
        <f>VLOOKUP($A4,期货数据!$A$8:$AA$99,10,0)</f>
        <v>1810</v>
      </c>
      <c r="O4" s="30">
        <f>VLOOKUP($A4,期货数据!$A$8:$AA$99,11,0)</f>
        <v>1760</v>
      </c>
      <c r="P4" s="30">
        <f>VLOOKUP($A4,期货数据!$A$8:$AA$99,12,0)</f>
        <v>1778</v>
      </c>
    </row>
    <row r="5" spans="1:16">
      <c r="A5" t="str">
        <f>INDEX(期货数据!$A$8:$A$99,MATCH(ROW()-1,期货数据!$W$8:$W$99,0))</f>
        <v>焦煤</v>
      </c>
      <c r="B5" s="28"/>
      <c r="C5" s="1">
        <f>VLOOKUP($A5,期货数据!$A$8:$AA$99,14,0)</f>
        <v>1380</v>
      </c>
      <c r="D5" s="1">
        <f>VLOOKUP($A5,期货数据!$A$8:$AA$99,26,0)</f>
        <v>0</v>
      </c>
      <c r="E5" s="1" t="str">
        <f>IFERROR(VLOOKUP(A5,手动输入表!$F$2:$J$99,4,0),"无")</f>
        <v>日照港</v>
      </c>
      <c r="F5" s="1">
        <f>IFERROR(VLOOKUP(A5,手动输入表!$F$2:$J$99,5,0),0)</f>
        <v>0</v>
      </c>
      <c r="G5" s="1">
        <f>VLOOKUP($A5,期货数据!$A$8:$AA$99,15,0)</f>
        <v>91.5</v>
      </c>
      <c r="H5">
        <f>VLOOKUP($A5,期货数据!$A$8:$AA$99,27,0)</f>
        <v>-2.5</v>
      </c>
      <c r="I5" s="31">
        <f>VLOOKUP($A5,期货数据!$A$8:$AA$99,20,0)</f>
        <v>7.1012805587892899E-2</v>
      </c>
      <c r="M5" s="30">
        <f>VLOOKUP($A5,期货数据!$A$8:$AA$99,14,0)</f>
        <v>1380</v>
      </c>
      <c r="N5" s="30">
        <f>VLOOKUP($A5,期货数据!$A$8:$AA$99,10,0)</f>
        <v>1288.5</v>
      </c>
      <c r="O5" s="30">
        <f>VLOOKUP($A5,期货数据!$A$8:$AA$99,11,0)</f>
        <v>1198.5</v>
      </c>
      <c r="P5" s="30">
        <f>VLOOKUP($A5,期货数据!$A$8:$AA$99,12,0)</f>
        <v>1175</v>
      </c>
    </row>
    <row r="6" spans="1:16">
      <c r="A6" t="str">
        <f>INDEX(期货数据!$A$8:$A$99,MATCH(ROW()-1,期货数据!$W$8:$W$99,0))</f>
        <v>螺纹钢</v>
      </c>
      <c r="B6" s="28"/>
      <c r="C6" s="1">
        <f>VLOOKUP($A6,期货数据!$A$8:$AA$99,14,0)</f>
        <v>3886.6</v>
      </c>
      <c r="D6" s="1">
        <f>VLOOKUP($A6,期货数据!$A$8:$AA$99,26,0)</f>
        <v>-61.400000000000091</v>
      </c>
      <c r="E6" s="1" t="str">
        <f>IFERROR(VLOOKUP(A6,手动输入表!$F$2:$J$99,4,0),"无")</f>
        <v>上海</v>
      </c>
      <c r="F6" s="1">
        <f>IFERROR(VLOOKUP(A6,手动输入表!$F$2:$J$99,5,0),0)</f>
        <v>0</v>
      </c>
      <c r="G6" s="1">
        <f>VLOOKUP($A6,期货数据!$A$8:$AA$99,15,0)</f>
        <v>237.59999999999991</v>
      </c>
      <c r="H6">
        <f>VLOOKUP($A6,期货数据!$A$8:$AA$99,27,0)</f>
        <v>-59.400000000000091</v>
      </c>
      <c r="I6" s="31">
        <f>VLOOKUP($A6,期货数据!$A$8:$AA$99,20,0)</f>
        <v>6.5113729788983263E-2</v>
      </c>
      <c r="M6" s="30">
        <f>VLOOKUP($A6,期货数据!$A$8:$AA$99,14,0)</f>
        <v>3886.6</v>
      </c>
      <c r="N6" s="30">
        <f>VLOOKUP($A6,期货数据!$A$8:$AA$99,10,0)</f>
        <v>3649</v>
      </c>
      <c r="O6" s="30">
        <f>VLOOKUP($A6,期货数据!$A$8:$AA$99,11,0)</f>
        <v>3469</v>
      </c>
      <c r="P6" s="30">
        <f>VLOOKUP($A6,期货数据!$A$8:$AA$99,12,0)</f>
        <v>3396</v>
      </c>
    </row>
    <row r="7" spans="1:16">
      <c r="A7" t="str">
        <f>INDEX(期货数据!$A$8:$A$99,MATCH(ROW()-1,期货数据!$W$8:$W$99,0))</f>
        <v>铁矿石</v>
      </c>
      <c r="B7" s="28"/>
      <c r="C7" s="1">
        <f>VLOOKUP($A7,期货数据!$A$8:$AA$99,14,0)</f>
        <v>486.3</v>
      </c>
      <c r="D7" s="1">
        <f>VLOOKUP($A7,期货数据!$A$8:$AA$99,26,0)</f>
        <v>-19.300000000000011</v>
      </c>
      <c r="E7" s="1" t="str">
        <f>IFERROR(VLOOKUP(A7,手动输入表!$F$2:$J$99,4,0),"无")</f>
        <v>青岛港</v>
      </c>
      <c r="F7" s="1">
        <f>IFERROR(VLOOKUP(A7,手动输入表!$F$2:$J$99,5,0),0)</f>
        <v>0</v>
      </c>
      <c r="G7" s="1">
        <f>VLOOKUP($A7,期货数据!$A$8:$AA$99,15,0)</f>
        <v>27.300000000000011</v>
      </c>
      <c r="H7">
        <f>VLOOKUP($A7,期货数据!$A$8:$AA$99,27,0)</f>
        <v>-15.800000000000011</v>
      </c>
      <c r="I7" s="31">
        <f>VLOOKUP($A7,期货数据!$A$8:$AA$99,20,0)</f>
        <v>5.9477124183006561E-2</v>
      </c>
      <c r="M7" s="30">
        <f>VLOOKUP($A7,期货数据!$A$8:$AA$99,14,0)</f>
        <v>486.3</v>
      </c>
      <c r="N7" s="30">
        <f>VLOOKUP($A7,期货数据!$A$8:$AA$99,10,0)</f>
        <v>459</v>
      </c>
      <c r="O7" s="30">
        <f>VLOOKUP($A7,期货数据!$A$8:$AA$99,11,0)</f>
        <v>469.5</v>
      </c>
      <c r="P7" s="30">
        <f>VLOOKUP($A7,期货数据!$A$8:$AA$99,12,0)</f>
        <v>463.5</v>
      </c>
    </row>
    <row r="8" spans="1:16">
      <c r="A8" t="str">
        <f>INDEX(期货数据!$A$8:$A$99,MATCH(ROW()-1,期货数据!$W$8:$W$99,0))</f>
        <v>焦炭</v>
      </c>
      <c r="B8" s="28"/>
      <c r="C8" s="1">
        <f>VLOOKUP($A8,期货数据!$A$8:$AA$99,14,0)</f>
        <v>2050</v>
      </c>
      <c r="D8" s="1">
        <f>VLOOKUP($A8,期货数据!$A$8:$AA$99,26,0)</f>
        <v>0</v>
      </c>
      <c r="E8" s="1" t="str">
        <f>IFERROR(VLOOKUP(A8,手动输入表!$F$2:$J$99,4,0),"无")</f>
        <v>日照</v>
      </c>
      <c r="F8" s="1">
        <f>IFERROR(VLOOKUP(A8,手动输入表!$F$2:$J$99,5,0),0)</f>
        <v>0</v>
      </c>
      <c r="G8" s="1">
        <f>VLOOKUP($A8,期货数据!$A$8:$AA$99,15,0)</f>
        <v>110</v>
      </c>
      <c r="H8">
        <f>VLOOKUP($A8,期货数据!$A$8:$AA$99,27,0)</f>
        <v>5</v>
      </c>
      <c r="I8" s="31">
        <f>VLOOKUP($A8,期货数据!$A$8:$AA$99,20,0)</f>
        <v>5.6701030927835051E-2</v>
      </c>
      <c r="M8" s="30">
        <f>VLOOKUP($A8,期货数据!$A$8:$AA$99,14,0)</f>
        <v>2050</v>
      </c>
      <c r="N8" s="30">
        <f>VLOOKUP($A8,期货数据!$A$8:$AA$99,10,0)</f>
        <v>1940</v>
      </c>
      <c r="O8" s="30">
        <f>VLOOKUP($A8,期货数据!$A$8:$AA$99,11,0)</f>
        <v>1857</v>
      </c>
      <c r="P8" s="30">
        <f>VLOOKUP($A8,期货数据!$A$8:$AA$99,12,0)</f>
        <v>1815</v>
      </c>
    </row>
    <row r="9" spans="1:16">
      <c r="A9" t="str">
        <f>INDEX(期货数据!$A$8:$A$99,MATCH(ROW()-1,期货数据!$W$8:$W$99,0))</f>
        <v>玻璃</v>
      </c>
      <c r="B9" s="28"/>
      <c r="C9" s="1">
        <f>VLOOKUP($A9,期货数据!$A$8:$AA$99,14,0)</f>
        <v>1540</v>
      </c>
      <c r="D9" s="1">
        <f>VLOOKUP($A9,期货数据!$A$8:$AA$99,26,0)</f>
        <v>20</v>
      </c>
      <c r="E9" s="1" t="str">
        <f>IFERROR(VLOOKUP(A9,手动输入表!$F$2:$J$99,4,0),"无")</f>
        <v>沙河</v>
      </c>
      <c r="F9" s="1">
        <f>IFERROR(VLOOKUP(A9,手动输入表!$F$2:$J$99,5,0),0)</f>
        <v>0</v>
      </c>
      <c r="G9" s="1">
        <f>VLOOKUP($A9,期货数据!$A$8:$AA$99,15,0)</f>
        <v>77</v>
      </c>
      <c r="H9">
        <f>VLOOKUP($A9,期货数据!$A$8:$AA$99,27,0)</f>
        <v>40</v>
      </c>
      <c r="I9" s="31">
        <f>VLOOKUP($A9,期货数据!$A$8:$AA$99,20,0)</f>
        <v>5.2631578947368418E-2</v>
      </c>
      <c r="M9" s="30">
        <f>VLOOKUP($A9,期货数据!$A$8:$AA$99,14,0)</f>
        <v>1540</v>
      </c>
      <c r="N9" s="30">
        <f>VLOOKUP($A9,期货数据!$A$8:$AA$99,10,0)</f>
        <v>1463</v>
      </c>
      <c r="O9" s="30">
        <f>VLOOKUP($A9,期货数据!$A$8:$AA$99,11,0)</f>
        <v>1428</v>
      </c>
      <c r="P9" s="30">
        <f>VLOOKUP($A9,期货数据!$A$8:$AA$99,12,0)</f>
        <v>1379</v>
      </c>
    </row>
    <row r="10" spans="1:16">
      <c r="A10" t="str">
        <f>INDEX(期货数据!$A$8:$A$99,MATCH(ROW()-1,期货数据!$W$8:$W$99,0))</f>
        <v>棉花</v>
      </c>
      <c r="B10" s="28"/>
      <c r="C10" s="1">
        <f>VLOOKUP($A10,期货数据!$A$8:$AA$99,14,0)</f>
        <v>15555</v>
      </c>
      <c r="D10" s="1">
        <f>VLOOKUP($A10,期货数据!$A$8:$AA$99,26,0)</f>
        <v>0</v>
      </c>
      <c r="E10" s="1" t="str">
        <f>IFERROR(VLOOKUP(A10,手动输入表!$F$2:$J$99,4,0),"无")</f>
        <v>新疆</v>
      </c>
      <c r="F10" s="1">
        <f>IFERROR(VLOOKUP(A10,手动输入表!$F$2:$J$99,5,0),0)</f>
        <v>0</v>
      </c>
      <c r="G10" s="1">
        <f>VLOOKUP($A10,期货数据!$A$8:$AA$99,15,0)</f>
        <v>635</v>
      </c>
      <c r="H10">
        <f>VLOOKUP($A10,期货数据!$A$8:$AA$99,27,0)</f>
        <v>0</v>
      </c>
      <c r="I10" s="31">
        <f>VLOOKUP($A10,期货数据!$A$8:$AA$99,20,0)</f>
        <v>4.2560321715817695E-2</v>
      </c>
      <c r="M10" s="30">
        <f>VLOOKUP($A10,期货数据!$A$8:$AA$99,14,0)</f>
        <v>15555</v>
      </c>
      <c r="N10" s="30">
        <f>VLOOKUP($A10,期货数据!$A$8:$AA$99,10,0)</f>
        <v>14920</v>
      </c>
      <c r="O10" s="30">
        <f>VLOOKUP($A10,期货数据!$A$8:$AA$99,11,0)</f>
        <v>15415</v>
      </c>
      <c r="P10" s="30">
        <f>VLOOKUP($A10,期货数据!$A$8:$AA$99,12,0)</f>
        <v>15810</v>
      </c>
    </row>
    <row r="11" spans="1:16">
      <c r="A11" t="str">
        <f>INDEX(期货数据!$A$8:$A$99,MATCH(ROW()-1,期货数据!$W$8:$W$99,0))</f>
        <v>菜油</v>
      </c>
      <c r="B11" s="28"/>
      <c r="C11" s="1">
        <f>VLOOKUP($A11,期货数据!$A$8:$AA$99,14,0)</f>
        <v>6640</v>
      </c>
      <c r="D11" s="1">
        <f>VLOOKUP($A11,期货数据!$A$8:$AA$99,26,0)</f>
        <v>-20</v>
      </c>
      <c r="E11" s="1" t="str">
        <f>IFERROR(VLOOKUP(A11,手动输入表!$F$2:$J$99,4,0),"无")</f>
        <v>广东东莞</v>
      </c>
      <c r="F11" s="1">
        <f>IFERROR(VLOOKUP(A11,手动输入表!$F$2:$J$99,5,0),0)</f>
        <v>-240</v>
      </c>
      <c r="G11" s="1">
        <f>VLOOKUP($A11,期货数据!$A$8:$AA$99,15,0)</f>
        <v>262</v>
      </c>
      <c r="H11">
        <f>VLOOKUP($A11,期货数据!$A$8:$AA$99,27,0)</f>
        <v>8</v>
      </c>
      <c r="I11" s="31">
        <f>VLOOKUP($A11,期货数据!$A$8:$AA$99,20,0)</f>
        <v>4.1078708058952647E-2</v>
      </c>
      <c r="M11" s="30">
        <f>VLOOKUP($A11,期货数据!$A$8:$AA$99,14,0)</f>
        <v>6640</v>
      </c>
      <c r="N11" s="30">
        <f>VLOOKUP($A11,期货数据!$A$8:$AA$99,10,0)</f>
        <v>6378</v>
      </c>
      <c r="O11" s="30">
        <f>VLOOKUP($A11,期货数据!$A$8:$AA$99,11,0)</f>
        <v>6562</v>
      </c>
      <c r="P11" s="30">
        <f>VLOOKUP($A11,期货数据!$A$8:$AA$99,12,0)</f>
        <v>6700</v>
      </c>
    </row>
    <row r="12" spans="1:16">
      <c r="A12" t="str">
        <f>INDEX(期货数据!$A$8:$A$99,MATCH(ROW()-1,期货数据!$W$8:$W$99,0))</f>
        <v>热卷</v>
      </c>
      <c r="B12" s="28"/>
      <c r="C12" s="1">
        <f>VLOOKUP($A12,期货数据!$A$8:$AA$99,14,0)</f>
        <v>3960</v>
      </c>
      <c r="D12" s="1">
        <f>VLOOKUP($A12,期货数据!$A$8:$AA$99,26,0)</f>
        <v>-10</v>
      </c>
      <c r="E12" s="1" t="str">
        <f>IFERROR(VLOOKUP(A12,手动输入表!$F$2:$J$99,4,0),"无")</f>
        <v>上海</v>
      </c>
      <c r="F12" s="1">
        <f>IFERROR(VLOOKUP(A12,手动输入表!$F$2:$J$99,5,0),0)</f>
        <v>0</v>
      </c>
      <c r="G12" s="1">
        <f>VLOOKUP($A12,期货数据!$A$8:$AA$99,15,0)</f>
        <v>144</v>
      </c>
      <c r="H12">
        <f>VLOOKUP($A12,期货数据!$A$8:$AA$99,27,0)</f>
        <v>-11</v>
      </c>
      <c r="I12" s="31">
        <f>VLOOKUP($A12,期货数据!$A$8:$AA$99,20,0)</f>
        <v>3.7735849056603772E-2</v>
      </c>
      <c r="M12" s="30">
        <f>VLOOKUP($A12,期货数据!$A$8:$AA$99,14,0)</f>
        <v>3960</v>
      </c>
      <c r="N12" s="30">
        <f>VLOOKUP($A12,期货数据!$A$8:$AA$99,10,0)</f>
        <v>3816</v>
      </c>
      <c r="O12" s="30">
        <f>VLOOKUP($A12,期货数据!$A$8:$AA$99,11,0)</f>
        <v>3705</v>
      </c>
      <c r="P12" s="30">
        <f>VLOOKUP($A12,期货数据!$A$8:$AA$99,12,0)</f>
        <v>3552</v>
      </c>
    </row>
    <row r="13" spans="1:16">
      <c r="A13" t="str">
        <f>INDEX(期货数据!$A$8:$A$99,MATCH(ROW()-1,期货数据!$W$8:$W$99,0))</f>
        <v>豆粕</v>
      </c>
      <c r="B13" s="28"/>
      <c r="C13" s="1">
        <f>VLOOKUP($A13,期货数据!$A$8:$AA$99,14,0)</f>
        <v>3100</v>
      </c>
      <c r="D13" s="1">
        <f>VLOOKUP($A13,期货数据!$A$8:$AA$99,26,0)</f>
        <v>-60</v>
      </c>
      <c r="E13" s="1" t="str">
        <f>IFERROR(VLOOKUP(A13,手动输入表!$F$2:$J$99,4,0),"无")</f>
        <v>东莞</v>
      </c>
      <c r="F13" s="1">
        <f>IFERROR(VLOOKUP(A13,手动输入表!$F$2:$J$99,5,0),0)</f>
        <v>0</v>
      </c>
      <c r="G13" s="1">
        <f>VLOOKUP($A13,期货数据!$A$8:$AA$99,15,0)</f>
        <v>92</v>
      </c>
      <c r="H13">
        <f>VLOOKUP($A13,期货数据!$A$8:$AA$99,27,0)</f>
        <v>-44</v>
      </c>
      <c r="I13" s="31">
        <f>VLOOKUP($A13,期货数据!$A$8:$AA$99,20,0)</f>
        <v>3.0585106382978722E-2</v>
      </c>
      <c r="M13" s="30">
        <f>VLOOKUP($A13,期货数据!$A$8:$AA$99,14,0)</f>
        <v>3100</v>
      </c>
      <c r="N13" s="30">
        <f>VLOOKUP($A13,期货数据!$A$8:$AA$99,10,0)</f>
        <v>3008</v>
      </c>
      <c r="O13" s="30">
        <f>VLOOKUP($A13,期货数据!$A$8:$AA$99,11,0)</f>
        <v>2979</v>
      </c>
      <c r="P13" s="30">
        <f>VLOOKUP($A13,期货数据!$A$8:$AA$99,12,0)</f>
        <v>2933</v>
      </c>
    </row>
    <row r="14" spans="1:16">
      <c r="A14" t="str">
        <f>INDEX(期货数据!$A$8:$A$99,MATCH(ROW()-1,期货数据!$W$8:$W$99,0))</f>
        <v>甲醇</v>
      </c>
      <c r="B14" s="28"/>
      <c r="C14" s="1">
        <f>VLOOKUP($A14,期货数据!$A$8:$AA$99,14,0)</f>
        <v>2850</v>
      </c>
      <c r="D14" s="1">
        <f>VLOOKUP($A14,期货数据!$A$8:$AA$99,26,0)</f>
        <v>40</v>
      </c>
      <c r="E14" s="1" t="str">
        <f>IFERROR(VLOOKUP(A14,手动输入表!$F$2:$J$99,4,0),"无")</f>
        <v>河南</v>
      </c>
      <c r="F14" s="1">
        <f>IFERROR(VLOOKUP(A14,手动输入表!$F$2:$J$99,5,0),0)</f>
        <v>-200</v>
      </c>
      <c r="G14" s="1">
        <f>VLOOKUP($A14,期货数据!$A$8:$AA$99,15,0)</f>
        <v>63</v>
      </c>
      <c r="H14">
        <f>VLOOKUP($A14,期货数据!$A$8:$AA$99,27,0)</f>
        <v>52</v>
      </c>
      <c r="I14" s="31">
        <f>VLOOKUP($A14,期货数据!$A$8:$AA$99,20,0)</f>
        <v>2.2604951560818085E-2</v>
      </c>
      <c r="M14" s="30">
        <f>VLOOKUP($A14,期货数据!$A$8:$AA$99,14,0)</f>
        <v>2850</v>
      </c>
      <c r="N14" s="30">
        <f>VLOOKUP($A14,期货数据!$A$8:$AA$99,10,0)</f>
        <v>2787</v>
      </c>
      <c r="O14" s="30">
        <f>VLOOKUP($A14,期货数据!$A$8:$AA$99,11,0)</f>
        <v>2655</v>
      </c>
      <c r="P14" s="30">
        <f>VLOOKUP($A14,期货数据!$A$8:$AA$99,12,0)</f>
        <v>2689</v>
      </c>
    </row>
    <row r="15" spans="1:16">
      <c r="A15" t="str">
        <f>INDEX(期货数据!$A$8:$A$99,MATCH(ROW()-1,期货数据!$W$8:$W$99,0))</f>
        <v>PTA</v>
      </c>
      <c r="B15" s="28"/>
      <c r="C15" s="1">
        <f>VLOOKUP($A15,期货数据!$A$8:$AA$99,14,0)</f>
        <v>5562</v>
      </c>
      <c r="D15" s="1">
        <f>VLOOKUP($A15,期货数据!$A$8:$AA$99,26,0)</f>
        <v>-53</v>
      </c>
      <c r="E15" s="1" t="str">
        <f>IFERROR(VLOOKUP(A15,手动输入表!$F$2:$J$99,4,0),"无")</f>
        <v>华东</v>
      </c>
      <c r="F15" s="1">
        <f>IFERROR(VLOOKUP(A15,手动输入表!$F$2:$J$99,5,0),0)</f>
        <v>0</v>
      </c>
      <c r="G15" s="1">
        <f>VLOOKUP($A15,期货数据!$A$8:$AA$99,15,0)</f>
        <v>38</v>
      </c>
      <c r="H15">
        <f>VLOOKUP($A15,期货数据!$A$8:$AA$99,27,0)</f>
        <v>-17</v>
      </c>
      <c r="I15" s="31">
        <f>VLOOKUP($A15,期货数据!$A$8:$AA$99,20,0)</f>
        <v>6.8790731354091235E-3</v>
      </c>
      <c r="M15" s="30">
        <f>VLOOKUP($A15,期货数据!$A$8:$AA$99,14,0)</f>
        <v>5562</v>
      </c>
      <c r="N15" s="30">
        <f>VLOOKUP($A15,期货数据!$A$8:$AA$99,10,0)</f>
        <v>5524</v>
      </c>
      <c r="O15" s="30">
        <f>VLOOKUP($A15,期货数据!$A$8:$AA$99,11,0)</f>
        <v>5482</v>
      </c>
      <c r="P15" s="30">
        <f>VLOOKUP($A15,期货数据!$A$8:$AA$99,12,0)</f>
        <v>5482</v>
      </c>
    </row>
    <row r="16" spans="1:16">
      <c r="A16" t="str">
        <f>INDEX(期货数据!$A$8:$A$99,MATCH(ROW()-1,期货数据!$W$8:$W$99,0))</f>
        <v>上证50</v>
      </c>
      <c r="B16" s="28"/>
      <c r="C16" s="1">
        <f>VLOOKUP($A16,期货数据!$A$8:$AA$99,14,0)</f>
        <v>2904.4</v>
      </c>
      <c r="D16" s="1">
        <f>VLOOKUP($A16,期货数据!$A$8:$AA$99,26,0)</f>
        <v>7.1399999999998727</v>
      </c>
      <c r="E16" s="1" t="str">
        <f>IFERROR(VLOOKUP(A16,手动输入表!$F$2:$J$99,4,0),"无")</f>
        <v>无</v>
      </c>
      <c r="F16" s="1">
        <f>IFERROR(VLOOKUP(A16,手动输入表!$F$2:$J$99,5,0),0)</f>
        <v>0</v>
      </c>
      <c r="G16" s="1">
        <f>VLOOKUP($A16,期货数据!$A$8:$AA$99,15,0)</f>
        <v>15.400000000000091</v>
      </c>
      <c r="H16">
        <f>VLOOKUP($A16,期货数据!$A$8:$AA$99,27,0)</f>
        <v>7.1399999999998727</v>
      </c>
      <c r="I16" s="31">
        <f>VLOOKUP($A16,期货数据!$A$8:$AA$99,20,0)</f>
        <v>5.3305642090689135E-3</v>
      </c>
      <c r="M16" s="30">
        <f>VLOOKUP($A16,期货数据!$A$8:$AA$99,14,0)</f>
        <v>2904.4</v>
      </c>
      <c r="N16" s="30">
        <f>VLOOKUP($A16,期货数据!$A$8:$AA$99,10,0)</f>
        <v>2889</v>
      </c>
      <c r="O16" s="30">
        <f>VLOOKUP($A16,期货数据!$A$8:$AA$99,11,0)</f>
        <v>2900</v>
      </c>
      <c r="P16" s="30">
        <f>VLOOKUP($A16,期货数据!$A$8:$AA$99,12,0)</f>
        <v>2894.2000000000003</v>
      </c>
    </row>
    <row r="17" spans="1:16">
      <c r="A17" t="str">
        <f>INDEX(期货数据!$A$8:$A$99,MATCH(ROW()-1,期货数据!$W$8:$W$99,0))</f>
        <v>豆油</v>
      </c>
      <c r="B17" s="28"/>
      <c r="C17" s="1">
        <f>VLOOKUP($A17,期货数据!$A$8:$AA$99,14,0)</f>
        <v>5660</v>
      </c>
      <c r="D17" s="1">
        <f>VLOOKUP($A17,期货数据!$A$8:$AA$99,26,0)</f>
        <v>-20</v>
      </c>
      <c r="E17" s="1" t="str">
        <f>IFERROR(VLOOKUP(A17,手动输入表!$F$2:$J$99,4,0),"无")</f>
        <v>日照</v>
      </c>
      <c r="F17" s="1">
        <f>IFERROR(VLOOKUP(A17,手动输入表!$F$2:$J$99,5,0),0)</f>
        <v>-50</v>
      </c>
      <c r="G17" s="1">
        <f>VLOOKUP($A17,期货数据!$A$8:$AA$99,15,0)</f>
        <v>0</v>
      </c>
      <c r="H17">
        <f>VLOOKUP($A17,期货数据!$A$8:$AA$99,27,0)</f>
        <v>6</v>
      </c>
      <c r="I17" s="31">
        <f>VLOOKUP($A17,期货数据!$A$8:$AA$99,20,0)</f>
        <v>0</v>
      </c>
      <c r="M17" s="30">
        <f>VLOOKUP($A17,期货数据!$A$8:$AA$99,14,0)</f>
        <v>5660</v>
      </c>
      <c r="N17" s="30">
        <f>VLOOKUP($A17,期货数据!$A$8:$AA$99,10,0)</f>
        <v>5660</v>
      </c>
      <c r="O17" s="30">
        <f>VLOOKUP($A17,期货数据!$A$8:$AA$99,11,0)</f>
        <v>5808</v>
      </c>
      <c r="P17" s="30">
        <f>VLOOKUP($A17,期货数据!$A$8:$AA$99,12,0)</f>
        <v>5950</v>
      </c>
    </row>
    <row r="18" spans="1:16">
      <c r="A18" t="str">
        <f>INDEX(期货数据!$A$8:$A$99,MATCH(ROW()-1,期货数据!$W$8:$W$99,0))</f>
        <v>中证500</v>
      </c>
      <c r="B18" s="28"/>
      <c r="C18" s="1">
        <f>VLOOKUP($A18,期货数据!$A$8:$AA$99,14,0)</f>
        <v>6173.7</v>
      </c>
      <c r="D18" s="1">
        <f>VLOOKUP($A18,期货数据!$A$8:$AA$99,26,0)</f>
        <v>19.869999999999891</v>
      </c>
      <c r="E18" s="1" t="str">
        <f>IFERROR(VLOOKUP(A18,手动输入表!$F$2:$J$99,4,0),"无")</f>
        <v>无</v>
      </c>
      <c r="F18" s="1">
        <f>IFERROR(VLOOKUP(A18,手动输入表!$F$2:$J$99,5,0),0)</f>
        <v>0</v>
      </c>
      <c r="G18" s="1">
        <f>VLOOKUP($A18,期货数据!$A$8:$AA$99,15,0)</f>
        <v>-0.5</v>
      </c>
      <c r="H18">
        <f>VLOOKUP($A18,期货数据!$A$8:$AA$99,27,0)</f>
        <v>19.869999999999891</v>
      </c>
      <c r="I18" s="31">
        <f>VLOOKUP($A18,期货数据!$A$8:$AA$99,20,0)</f>
        <v>-8.098215153380195E-5</v>
      </c>
      <c r="M18" s="30">
        <f>VLOOKUP($A18,期货数据!$A$8:$AA$99,14,0)</f>
        <v>6173.7</v>
      </c>
      <c r="N18" s="30">
        <f>VLOOKUP($A18,期货数据!$A$8:$AA$99,10,0)</f>
        <v>6174.2</v>
      </c>
      <c r="O18" s="30">
        <f>VLOOKUP($A18,期货数据!$A$8:$AA$99,11,0)</f>
        <v>6103.2</v>
      </c>
      <c r="P18" s="30">
        <f>VLOOKUP($A18,期货数据!$A$8:$AA$99,12,0)</f>
        <v>6014</v>
      </c>
    </row>
    <row r="19" spans="1:16">
      <c r="A19" t="str">
        <f>INDEX(期货数据!$A$8:$A$99,MATCH(ROW()-1,期货数据!$W$8:$W$99,0))</f>
        <v>白糖</v>
      </c>
      <c r="B19" s="28"/>
      <c r="C19" s="1">
        <f>VLOOKUP($A19,期货数据!$A$8:$AA$99,14,0)</f>
        <v>5700</v>
      </c>
      <c r="D19" s="1">
        <f>VLOOKUP($A19,期货数据!$A$8:$AA$99,26,0)</f>
        <v>-50</v>
      </c>
      <c r="E19" s="1" t="str">
        <f>IFERROR(VLOOKUP(A19,手动输入表!$F$2:$J$99,4,0),"无")</f>
        <v>南宁</v>
      </c>
      <c r="F19" s="1">
        <f>IFERROR(VLOOKUP(A19,手动输入表!$F$2:$J$99,5,0),0)</f>
        <v>0</v>
      </c>
      <c r="G19" s="1">
        <f>VLOOKUP($A19,期货数据!$A$8:$AA$99,15,0)</f>
        <v>-4</v>
      </c>
      <c r="H19">
        <f>VLOOKUP($A19,期货数据!$A$8:$AA$99,27,0)</f>
        <v>-33</v>
      </c>
      <c r="I19" s="31">
        <f>VLOOKUP($A19,期货数据!$A$8:$AA$99,20,0)</f>
        <v>-7.0126227208976155E-4</v>
      </c>
      <c r="M19" s="30">
        <f>VLOOKUP($A19,期货数据!$A$8:$AA$99,14,0)</f>
        <v>5700</v>
      </c>
      <c r="N19" s="30">
        <f>VLOOKUP($A19,期货数据!$A$8:$AA$99,10,0)</f>
        <v>5704</v>
      </c>
      <c r="O19" s="30">
        <f>VLOOKUP($A19,期货数据!$A$8:$AA$99,11,0)</f>
        <v>5688</v>
      </c>
      <c r="P19" s="30">
        <f>VLOOKUP($A19,期货数据!$A$8:$AA$99,12,0)</f>
        <v>5615</v>
      </c>
    </row>
    <row r="20" spans="1:16">
      <c r="A20" t="str">
        <f>INDEX(期货数据!$A$8:$A$99,MATCH(ROW()-1,期货数据!$W$8:$W$99,0))</f>
        <v>沪深300</v>
      </c>
      <c r="B20" s="28"/>
      <c r="C20" s="1">
        <f>VLOOKUP($A20,期货数据!$A$8:$AA$99,14,0)</f>
        <v>4077.7000000000003</v>
      </c>
      <c r="D20" s="1">
        <f>VLOOKUP($A20,期货数据!$A$8:$AA$99,26,0)</f>
        <v>3.4500000000002728</v>
      </c>
      <c r="E20" s="1" t="str">
        <f>IFERROR(VLOOKUP(A20,手动输入表!$F$2:$J$99,4,0),"无")</f>
        <v>无</v>
      </c>
      <c r="F20" s="1">
        <f>IFERROR(VLOOKUP(A20,手动输入表!$F$2:$J$99,5,0),0)</f>
        <v>0</v>
      </c>
      <c r="G20" s="1">
        <f>VLOOKUP($A20,期货数据!$A$8:$AA$99,15,0)</f>
        <v>-4.2999999999997272</v>
      </c>
      <c r="H20">
        <f>VLOOKUP($A20,期货数据!$A$8:$AA$99,27,0)</f>
        <v>3.4500000000002728</v>
      </c>
      <c r="I20" s="31">
        <f>VLOOKUP($A20,期货数据!$A$8:$AA$99,20,0)</f>
        <v>-1.0534051935325152E-3</v>
      </c>
      <c r="M20" s="30">
        <f>VLOOKUP($A20,期货数据!$A$8:$AA$99,14,0)</f>
        <v>4077.7000000000003</v>
      </c>
      <c r="N20" s="30">
        <f>VLOOKUP($A20,期货数据!$A$8:$AA$99,10,0)</f>
        <v>4082</v>
      </c>
      <c r="O20" s="30">
        <f>VLOOKUP($A20,期货数据!$A$8:$AA$99,11,0)</f>
        <v>4049.6</v>
      </c>
      <c r="P20" s="30">
        <f>VLOOKUP($A20,期货数据!$A$8:$AA$99,12,0)</f>
        <v>4022</v>
      </c>
    </row>
    <row r="21" spans="1:16">
      <c r="A21" t="str">
        <f>INDEX(期货数据!$A$8:$A$99,MATCH(ROW()-1,期货数据!$W$8:$W$99,0))</f>
        <v>菜粕</v>
      </c>
      <c r="B21" s="28"/>
      <c r="C21" s="1">
        <f>VLOOKUP($A21,期货数据!$A$8:$AA$99,14,0)</f>
        <v>2470</v>
      </c>
      <c r="D21" s="1">
        <f>VLOOKUP($A21,期货数据!$A$8:$AA$99,26,0)</f>
        <v>0</v>
      </c>
      <c r="E21" s="1" t="str">
        <f>IFERROR(VLOOKUP(A21,手动输入表!$F$2:$J$99,4,0),"无")</f>
        <v>厦门</v>
      </c>
      <c r="F21" s="1">
        <f>IFERROR(VLOOKUP(A21,手动输入表!$F$2:$J$99,5,0),0)</f>
        <v>0</v>
      </c>
      <c r="G21" s="1">
        <f>VLOOKUP($A21,期货数据!$A$8:$AA$99,15,0)</f>
        <v>-7</v>
      </c>
      <c r="H21">
        <f>VLOOKUP($A21,期货数据!$A$8:$AA$99,27,0)</f>
        <v>7</v>
      </c>
      <c r="I21" s="31">
        <f>VLOOKUP($A21,期货数据!$A$8:$AA$99,20,0)</f>
        <v>-2.8259991925716592E-3</v>
      </c>
      <c r="M21" s="30">
        <f>VLOOKUP($A21,期货数据!$A$8:$AA$99,14,0)</f>
        <v>2470</v>
      </c>
      <c r="N21" s="30">
        <f>VLOOKUP($A21,期货数据!$A$8:$AA$99,10,0)</f>
        <v>2477</v>
      </c>
      <c r="O21" s="30">
        <f>VLOOKUP($A21,期货数据!$A$8:$AA$99,11,0)</f>
        <v>2477</v>
      </c>
      <c r="P21" s="30">
        <f>VLOOKUP($A21,期货数据!$A$8:$AA$99,12,0)</f>
        <v>2329</v>
      </c>
    </row>
    <row r="22" spans="1:16">
      <c r="A22" t="str">
        <f>INDEX(期货数据!$A$8:$A$99,MATCH(ROW()-1,期货数据!$W$8:$W$99,0))</f>
        <v>铝</v>
      </c>
      <c r="B22" s="28"/>
      <c r="C22" s="1">
        <f>VLOOKUP($A22,期货数据!$A$8:$AA$99,14,0)</f>
        <v>13760</v>
      </c>
      <c r="D22" s="1">
        <f>VLOOKUP($A22,期货数据!$A$8:$AA$99,26,0)</f>
        <v>50</v>
      </c>
      <c r="E22" s="1" t="str">
        <f>IFERROR(VLOOKUP(A22,手动输入表!$F$2:$J$99,4,0),"无")</f>
        <v>上海</v>
      </c>
      <c r="F22" s="1">
        <f>IFERROR(VLOOKUP(A22,手动输入表!$F$2:$J$99,5,0),0)</f>
        <v>0</v>
      </c>
      <c r="G22" s="1">
        <f>VLOOKUP($A22,期货数据!$A$8:$AA$99,15,0)</f>
        <v>-60</v>
      </c>
      <c r="H22">
        <f>VLOOKUP($A22,期货数据!$A$8:$AA$99,27,0)</f>
        <v>50</v>
      </c>
      <c r="I22" s="31">
        <f>VLOOKUP($A22,期货数据!$A$8:$AA$99,20,0)</f>
        <v>-4.3415340086830683E-3</v>
      </c>
      <c r="M22" s="30">
        <f>VLOOKUP($A22,期货数据!$A$8:$AA$99,14,0)</f>
        <v>13760</v>
      </c>
      <c r="N22" s="30">
        <f>VLOOKUP($A22,期货数据!$A$8:$AA$99,10,0)</f>
        <v>13820</v>
      </c>
      <c r="O22" s="30">
        <f>VLOOKUP($A22,期货数据!$A$8:$AA$99,11,0)</f>
        <v>13915</v>
      </c>
      <c r="P22" s="30">
        <f>VLOOKUP($A22,期货数据!$A$8:$AA$99,12,0)</f>
        <v>13990</v>
      </c>
    </row>
    <row r="23" spans="1:16">
      <c r="A23" t="str">
        <f>INDEX(期货数据!$A$8:$A$99,MATCH(ROW()-1,期货数据!$W$8:$W$99,0))</f>
        <v>棉纱</v>
      </c>
      <c r="B23" s="28"/>
      <c r="C23" s="1">
        <f>VLOOKUP($A23,期货数据!$A$8:$AA$99,14,0)</f>
        <v>23000</v>
      </c>
      <c r="D23" s="1">
        <f>VLOOKUP($A23,期货数据!$A$8:$AA$99,26,0)</f>
        <v>0</v>
      </c>
      <c r="E23" s="1" t="str">
        <f>IFERROR(VLOOKUP(A23,手动输入表!$F$2:$J$99,4,0),"无")</f>
        <v>江苏</v>
      </c>
      <c r="F23" s="1">
        <f>IFERROR(VLOOKUP(A23,手动输入表!$F$2:$J$99,5,0),0)</f>
        <v>0</v>
      </c>
      <c r="G23" s="1">
        <f>VLOOKUP($A23,期货数据!$A$8:$AA$99,15,0)</f>
        <v>-150</v>
      </c>
      <c r="H23">
        <f>VLOOKUP($A23,期货数据!$A$8:$AA$99,27,0)</f>
        <v>0</v>
      </c>
      <c r="I23" s="31">
        <f>VLOOKUP($A23,期货数据!$A$8:$AA$99,20,0)</f>
        <v>-6.4794816414686825E-3</v>
      </c>
      <c r="M23" s="30">
        <f>VLOOKUP($A23,期货数据!$A$8:$AA$99,14,0)</f>
        <v>23000</v>
      </c>
      <c r="N23" s="30">
        <f>VLOOKUP($A23,期货数据!$A$8:$AA$99,10,0)</f>
        <v>23150</v>
      </c>
      <c r="O23" s="30">
        <f>VLOOKUP($A23,期货数据!$A$8:$AA$99,11,0)</f>
        <v>23515</v>
      </c>
      <c r="P23" s="30">
        <f>VLOOKUP($A23,期货数据!$A$8:$AA$99,12,0)</f>
        <v>22985</v>
      </c>
    </row>
    <row r="24" spans="1:16">
      <c r="A24" t="str">
        <f>INDEX(期货数据!$A$8:$A$99,MATCH(ROW()-1,期货数据!$W$8:$W$99,0))</f>
        <v>锌</v>
      </c>
      <c r="B24" s="28"/>
      <c r="C24" s="1">
        <f>VLOOKUP($A24,期货数据!$A$8:$AA$99,14,0)</f>
        <v>24590</v>
      </c>
      <c r="D24" s="1">
        <f>VLOOKUP($A24,期货数据!$A$8:$AA$99,26,0)</f>
        <v>-160</v>
      </c>
      <c r="E24" s="1" t="str">
        <f>IFERROR(VLOOKUP(A24,手动输入表!$F$2:$J$99,4,0),"无")</f>
        <v>上海</v>
      </c>
      <c r="F24" s="1">
        <f>IFERROR(VLOOKUP(A24,手动输入表!$F$2:$J$99,5,0),0)</f>
        <v>0</v>
      </c>
      <c r="G24" s="1">
        <f>VLOOKUP($A24,期货数据!$A$8:$AA$99,15,0)</f>
        <v>-170</v>
      </c>
      <c r="H24">
        <f>VLOOKUP($A24,期货数据!$A$8:$AA$99,27,0)</f>
        <v>-160</v>
      </c>
      <c r="I24" s="31">
        <f>VLOOKUP($A24,期货数据!$A$8:$AA$99,20,0)</f>
        <v>-6.8659127625201937E-3</v>
      </c>
      <c r="M24" s="30">
        <f>VLOOKUP($A24,期货数据!$A$8:$AA$99,14,0)</f>
        <v>24590</v>
      </c>
      <c r="N24" s="30">
        <f>VLOOKUP($A24,期货数据!$A$8:$AA$99,10,0)</f>
        <v>24760</v>
      </c>
      <c r="O24" s="30">
        <f>VLOOKUP($A24,期货数据!$A$8:$AA$99,11,0)</f>
        <v>24795</v>
      </c>
      <c r="P24" s="30">
        <f>VLOOKUP($A24,期货数据!$A$8:$AA$99,12,0)</f>
        <v>24770</v>
      </c>
    </row>
    <row r="25" spans="1:16">
      <c r="A25" t="str">
        <f>INDEX(期货数据!$A$8:$A$99,MATCH(ROW()-1,期货数据!$W$8:$W$99,0))</f>
        <v>LLDPE</v>
      </c>
      <c r="B25" s="28"/>
      <c r="C25" s="1">
        <f>VLOOKUP($A25,期货数据!$A$8:$AA$99,14,0)</f>
        <v>9215</v>
      </c>
      <c r="D25" s="1">
        <f>VLOOKUP($A25,期货数据!$A$8:$AA$99,26,0)</f>
        <v>-30</v>
      </c>
      <c r="E25" s="1" t="str">
        <f>IFERROR(VLOOKUP(A25,手动输入表!$F$2:$J$99,4,0),"无")</f>
        <v>华北</v>
      </c>
      <c r="F25" s="1">
        <f>IFERROR(VLOOKUP(A25,手动输入表!$F$2:$J$99,5,0),0)</f>
        <v>0</v>
      </c>
      <c r="G25" s="1">
        <f>VLOOKUP($A25,期货数据!$A$8:$AA$99,15,0)</f>
        <v>-100</v>
      </c>
      <c r="H25">
        <f>VLOOKUP($A25,期货数据!$A$8:$AA$99,27,0)</f>
        <v>0</v>
      </c>
      <c r="I25" s="31">
        <f>VLOOKUP($A25,期货数据!$A$8:$AA$99,20,0)</f>
        <v>-1.0735373054213635E-2</v>
      </c>
      <c r="M25" s="30">
        <f>VLOOKUP($A25,期货数据!$A$8:$AA$99,14,0)</f>
        <v>9215</v>
      </c>
      <c r="N25" s="30">
        <f>VLOOKUP($A25,期货数据!$A$8:$AA$99,10,0)</f>
        <v>9315</v>
      </c>
      <c r="O25" s="30">
        <f>VLOOKUP($A25,期货数据!$A$8:$AA$99,11,0)</f>
        <v>9275</v>
      </c>
      <c r="P25" s="30">
        <f>VLOOKUP($A25,期货数据!$A$8:$AA$99,12,0)</f>
        <v>9245</v>
      </c>
    </row>
    <row r="26" spans="1:16">
      <c r="A26" t="str">
        <f>INDEX(期货数据!$A$8:$A$99,MATCH(ROW()-1,期货数据!$W$8:$W$99,0))</f>
        <v>PVC</v>
      </c>
      <c r="B26" s="28"/>
      <c r="C26" s="1">
        <f>VLOOKUP($A26,期货数据!$A$8:$AA$99,14,0)</f>
        <v>6160</v>
      </c>
      <c r="D26" s="1">
        <f>VLOOKUP($A26,期货数据!$A$8:$AA$99,26,0)</f>
        <v>-90</v>
      </c>
      <c r="E26" s="1" t="str">
        <f>IFERROR(VLOOKUP(A26,手动输入表!$F$2:$J$99,4,0),"无")</f>
        <v>华东</v>
      </c>
      <c r="F26" s="1">
        <f>IFERROR(VLOOKUP(A26,手动输入表!$F$2:$J$99,5,0),0)</f>
        <v>0</v>
      </c>
      <c r="G26" s="1">
        <f>VLOOKUP($A26,期货数据!$A$8:$AA$99,15,0)</f>
        <v>-75</v>
      </c>
      <c r="H26">
        <f>VLOOKUP($A26,期货数据!$A$8:$AA$99,27,0)</f>
        <v>-20</v>
      </c>
      <c r="I26" s="31">
        <f>VLOOKUP($A26,期货数据!$A$8:$AA$99,20,0)</f>
        <v>-1.2028869286287089E-2</v>
      </c>
      <c r="M26" s="30">
        <f>VLOOKUP($A26,期货数据!$A$8:$AA$99,14,0)</f>
        <v>6160</v>
      </c>
      <c r="N26" s="30">
        <f>VLOOKUP($A26,期货数据!$A$8:$AA$99,10,0)</f>
        <v>6235</v>
      </c>
      <c r="O26" s="30">
        <f>VLOOKUP($A26,期货数据!$A$8:$AA$99,11,0)</f>
        <v>6340</v>
      </c>
      <c r="P26" s="30">
        <f>VLOOKUP($A26,期货数据!$A$8:$AA$99,12,0)</f>
        <v>6305</v>
      </c>
    </row>
    <row r="27" spans="1:16">
      <c r="A27" t="str">
        <f>INDEX(期货数据!$A$8:$A$99,MATCH(ROW()-1,期货数据!$W$8:$W$99,0))</f>
        <v>铜</v>
      </c>
      <c r="B27" s="28"/>
      <c r="C27" s="1">
        <f>VLOOKUP($A27,期货数据!$A$8:$AA$99,14,0)</f>
        <v>50710</v>
      </c>
      <c r="D27" s="1">
        <f>VLOOKUP($A27,期货数据!$A$8:$AA$99,26,0)</f>
        <v>-50</v>
      </c>
      <c r="E27" s="1" t="str">
        <f>IFERROR(VLOOKUP(A27,手动输入表!$F$2:$J$99,4,0),"无")</f>
        <v>上海</v>
      </c>
      <c r="F27" s="1">
        <f>IFERROR(VLOOKUP(A27,手动输入表!$F$2:$J$99,5,0),0)</f>
        <v>0</v>
      </c>
      <c r="G27" s="1">
        <f>VLOOKUP($A27,期货数据!$A$8:$AA$99,15,0)</f>
        <v>-790</v>
      </c>
      <c r="H27">
        <f>VLOOKUP($A27,期货数据!$A$8:$AA$99,27,0)</f>
        <v>-50</v>
      </c>
      <c r="I27" s="31">
        <f>VLOOKUP($A27,期货数据!$A$8:$AA$99,20,0)</f>
        <v>-1.5339805825242718E-2</v>
      </c>
      <c r="M27" s="30">
        <f>VLOOKUP($A27,期货数据!$A$8:$AA$99,14,0)</f>
        <v>50710</v>
      </c>
      <c r="N27" s="30">
        <f>VLOOKUP($A27,期货数据!$A$8:$AA$99,10,0)</f>
        <v>51500</v>
      </c>
      <c r="O27" s="30">
        <f>VLOOKUP($A27,期货数据!$A$8:$AA$99,11,0)</f>
        <v>51210</v>
      </c>
      <c r="P27" s="30">
        <f>VLOOKUP($A27,期货数据!$A$8:$AA$99,12,0)</f>
        <v>51440</v>
      </c>
    </row>
    <row r="28" spans="1:16">
      <c r="A28" t="str">
        <f>INDEX(期货数据!$A$8:$A$99,MATCH(ROW()-1,期货数据!$W$8:$W$99,0))</f>
        <v>豆一</v>
      </c>
      <c r="B28" s="28"/>
      <c r="C28" s="1">
        <f>VLOOKUP($A28,期货数据!$A$8:$AA$99,14,0)</f>
        <v>3650</v>
      </c>
      <c r="D28" s="1">
        <f>VLOOKUP($A28,期货数据!$A$8:$AA$99,26,0)</f>
        <v>0</v>
      </c>
      <c r="E28" s="1" t="str">
        <f>IFERROR(VLOOKUP(A28,手动输入表!$F$2:$J$99,4,0),"无")</f>
        <v>哈尔滨</v>
      </c>
      <c r="F28" s="1">
        <f>IFERROR(VLOOKUP(A28,手动输入表!$F$2:$J$99,5,0),0)</f>
        <v>-150</v>
      </c>
      <c r="G28" s="1">
        <f>VLOOKUP($A28,期货数据!$A$8:$AA$99,15,0)</f>
        <v>-57</v>
      </c>
      <c r="H28">
        <f>VLOOKUP($A28,期货数据!$A$8:$AA$99,27,0)</f>
        <v>7</v>
      </c>
      <c r="I28" s="31">
        <f>VLOOKUP($A28,期货数据!$A$8:$AA$99,20,0)</f>
        <v>-1.5376315079579175E-2</v>
      </c>
      <c r="M28" s="30">
        <f>VLOOKUP($A28,期货数据!$A$8:$AA$99,14,0)</f>
        <v>3650</v>
      </c>
      <c r="N28" s="30">
        <f>VLOOKUP($A28,期货数据!$A$8:$AA$99,10,0)</f>
        <v>3707</v>
      </c>
      <c r="O28" s="30">
        <f>VLOOKUP($A28,期货数据!$A$8:$AA$99,11,0)</f>
        <v>3751</v>
      </c>
      <c r="P28" s="30">
        <f>VLOOKUP($A28,期货数据!$A$8:$AA$99,12,0)</f>
        <v>3817</v>
      </c>
    </row>
    <row r="29" spans="1:16">
      <c r="A29" t="str">
        <f>INDEX(期货数据!$A$8:$A$99,MATCH(ROW()-1,期货数据!$W$8:$W$99,0))</f>
        <v>PP</v>
      </c>
      <c r="B29" s="28"/>
      <c r="C29" s="1">
        <f>VLOOKUP($A29,期货数据!$A$8:$AA$99,14,0)</f>
        <v>8556</v>
      </c>
      <c r="D29" s="1">
        <f>VLOOKUP($A29,期货数据!$A$8:$AA$99,26,0)</f>
        <v>-51</v>
      </c>
      <c r="E29" s="1" t="str">
        <f>IFERROR(VLOOKUP(A29,手动输入表!$F$2:$J$99,4,0),"无")</f>
        <v>华东</v>
      </c>
      <c r="F29" s="1">
        <f>IFERROR(VLOOKUP(A29,手动输入表!$F$2:$J$99,5,0),0)</f>
        <v>0</v>
      </c>
      <c r="G29" s="1">
        <f>VLOOKUP($A29,期货数据!$A$8:$AA$99,15,0)</f>
        <v>-150</v>
      </c>
      <c r="H29">
        <f>VLOOKUP($A29,期货数据!$A$8:$AA$99,27,0)</f>
        <v>0</v>
      </c>
      <c r="I29" s="31">
        <f>VLOOKUP($A29,期货数据!$A$8:$AA$99,20,0)</f>
        <v>-1.722949689869056E-2</v>
      </c>
      <c r="M29" s="30">
        <f>VLOOKUP($A29,期货数据!$A$8:$AA$99,14,0)</f>
        <v>8556</v>
      </c>
      <c r="N29" s="30">
        <f>VLOOKUP($A29,期货数据!$A$8:$AA$99,10,0)</f>
        <v>8706</v>
      </c>
      <c r="O29" s="30">
        <f>VLOOKUP($A29,期货数据!$A$8:$AA$99,11,0)</f>
        <v>8864</v>
      </c>
      <c r="P29" s="30">
        <f>VLOOKUP($A29,期货数据!$A$8:$AA$99,12,0)</f>
        <v>8874</v>
      </c>
    </row>
    <row r="30" spans="1:16">
      <c r="A30" t="str">
        <f>INDEX(期货数据!$A$8:$A$99,MATCH(ROW()-1,期货数据!$W$8:$W$99,0))</f>
        <v>沥青</v>
      </c>
      <c r="B30" s="28"/>
      <c r="C30" s="1">
        <f>VLOOKUP($A30,期货数据!$A$8:$AA$99,14,0)</f>
        <v>2725</v>
      </c>
      <c r="D30" s="1">
        <f>VLOOKUP($A30,期货数据!$A$8:$AA$99,26,0)</f>
        <v>0</v>
      </c>
      <c r="E30" s="1" t="str">
        <f>IFERROR(VLOOKUP(A30,手动输入表!$F$2:$J$99,4,0),"无")</f>
        <v>华东</v>
      </c>
      <c r="F30" s="1">
        <f>IFERROR(VLOOKUP(A30,手动输入表!$F$2:$J$99,5,0),0)</f>
        <v>0</v>
      </c>
      <c r="G30" s="1">
        <f>VLOOKUP($A30,期货数据!$A$8:$AA$99,15,0)</f>
        <v>-55</v>
      </c>
      <c r="H30">
        <f>VLOOKUP($A30,期货数据!$A$8:$AA$99,27,0)</f>
        <v>-20</v>
      </c>
      <c r="I30" s="31">
        <f>VLOOKUP($A30,期货数据!$A$8:$AA$99,20,0)</f>
        <v>-1.9784172661870502E-2</v>
      </c>
      <c r="M30" s="30">
        <f>VLOOKUP($A30,期货数据!$A$8:$AA$99,14,0)</f>
        <v>2725</v>
      </c>
      <c r="N30" s="30">
        <f>VLOOKUP($A30,期货数据!$A$8:$AA$99,10,0)</f>
        <v>2780</v>
      </c>
      <c r="O30" s="30">
        <f>VLOOKUP($A30,期货数据!$A$8:$AA$99,11,0)</f>
        <v>2822</v>
      </c>
      <c r="P30" s="30">
        <f>VLOOKUP($A30,期货数据!$A$8:$AA$99,12,0)</f>
        <v>2846</v>
      </c>
    </row>
    <row r="31" spans="1:16">
      <c r="A31" t="str">
        <f>INDEX(期货数据!$A$8:$A$99,MATCH(ROW()-1,期货数据!$W$8:$W$99,0))</f>
        <v>镍</v>
      </c>
      <c r="B31" s="28"/>
      <c r="C31" s="1">
        <f>VLOOKUP($A31,期货数据!$A$8:$AA$99,14,0)</f>
        <v>100250</v>
      </c>
      <c r="D31" s="1">
        <f>VLOOKUP($A31,期货数据!$A$8:$AA$99,26,0)</f>
        <v>-700</v>
      </c>
      <c r="E31" s="1" t="str">
        <f>IFERROR(VLOOKUP(A31,手动输入表!$F$2:$J$99,4,0),"无")</f>
        <v>上海</v>
      </c>
      <c r="F31" s="1">
        <f>IFERROR(VLOOKUP(A31,手动输入表!$F$2:$J$99,5,0),0)</f>
        <v>0</v>
      </c>
      <c r="G31" s="1">
        <f>VLOOKUP($A31,期货数据!$A$8:$AA$99,15,0)</f>
        <v>-2030</v>
      </c>
      <c r="H31">
        <f>VLOOKUP($A31,期货数据!$A$8:$AA$99,27,0)</f>
        <v>-1290</v>
      </c>
      <c r="I31" s="31">
        <f>VLOOKUP($A31,期货数据!$A$8:$AA$99,20,0)</f>
        <v>-1.9847477512710206E-2</v>
      </c>
      <c r="M31" s="30">
        <f>VLOOKUP($A31,期货数据!$A$8:$AA$99,14,0)</f>
        <v>100250</v>
      </c>
      <c r="N31" s="30">
        <f>VLOOKUP($A31,期货数据!$A$8:$AA$99,10,0)</f>
        <v>102280</v>
      </c>
      <c r="O31" s="30">
        <f>VLOOKUP($A31,期货数据!$A$8:$AA$99,11,0)</f>
        <v>103260</v>
      </c>
      <c r="P31" s="30">
        <f>VLOOKUP($A31,期货数据!$A$8:$AA$99,12,0)</f>
        <v>104490</v>
      </c>
    </row>
    <row r="32" spans="1:16">
      <c r="A32" t="str">
        <f>INDEX(期货数据!$A$8:$A$99,MATCH(ROW()-1,期货数据!$W$8:$W$99,0))</f>
        <v>棕榈油</v>
      </c>
      <c r="B32" s="28"/>
      <c r="C32" s="1">
        <f>VLOOKUP($A32,期货数据!$A$8:$AA$99,14,0)</f>
        <v>5010</v>
      </c>
      <c r="D32" s="1">
        <f>VLOOKUP($A32,期货数据!$A$8:$AA$99,26,0)</f>
        <v>-20</v>
      </c>
      <c r="E32" s="1" t="str">
        <f>IFERROR(VLOOKUP(A32,手动输入表!$F$2:$J$99,4,0),"无")</f>
        <v>天津港</v>
      </c>
      <c r="F32" s="1">
        <f>IFERROR(VLOOKUP(A32,手动输入表!$F$2:$J$99,5,0),0)</f>
        <v>100</v>
      </c>
      <c r="G32" s="1">
        <f>VLOOKUP($A32,期货数据!$A$8:$AA$99,15,0)</f>
        <v>-120</v>
      </c>
      <c r="H32">
        <f>VLOOKUP($A32,期货数据!$A$8:$AA$99,27,0)</f>
        <v>-42</v>
      </c>
      <c r="I32" s="31">
        <f>VLOOKUP($A32,期货数据!$A$8:$AA$99,20,0)</f>
        <v>-2.3391812865497075E-2</v>
      </c>
      <c r="M32" s="30">
        <f>VLOOKUP($A32,期货数据!$A$8:$AA$99,14,0)</f>
        <v>5010</v>
      </c>
      <c r="N32" s="30">
        <f>VLOOKUP($A32,期货数据!$A$8:$AA$99,10,0)</f>
        <v>5130</v>
      </c>
      <c r="O32" s="30">
        <f>VLOOKUP($A32,期货数据!$A$8:$AA$99,11,0)</f>
        <v>5126</v>
      </c>
      <c r="P32" s="30">
        <f>VLOOKUP($A32,期货数据!$A$8:$AA$99,12,0)</f>
        <v>5128</v>
      </c>
    </row>
    <row r="33" spans="1:16">
      <c r="A33" t="str">
        <f>INDEX(期货数据!$A$8:$A$99,MATCH(ROW()-1,期货数据!$W$8:$W$99,0))</f>
        <v>天胶</v>
      </c>
      <c r="B33" s="28"/>
      <c r="C33" s="1">
        <f>VLOOKUP($A33,期货数据!$A$8:$AA$99,14,0)</f>
        <v>11390</v>
      </c>
      <c r="D33" s="1">
        <f>VLOOKUP($A33,期货数据!$A$8:$AA$99,26,0)</f>
        <v>-270</v>
      </c>
      <c r="E33" s="1" t="str">
        <f>IFERROR(VLOOKUP(A33,手动输入表!$F$2:$J$99,4,0),"无")</f>
        <v>上海</v>
      </c>
      <c r="F33" s="1">
        <f>IFERROR(VLOOKUP(A33,手动输入表!$F$2:$J$99,5,0),0)</f>
        <v>0</v>
      </c>
      <c r="G33" s="1">
        <f>VLOOKUP($A33,期货数据!$A$8:$AA$99,15,0)</f>
        <v>-850</v>
      </c>
      <c r="H33">
        <f>VLOOKUP($A33,期货数据!$A$8:$AA$99,27,0)</f>
        <v>0</v>
      </c>
      <c r="I33" s="31">
        <f>VLOOKUP($A33,期货数据!$A$8:$AA$99,20,0)</f>
        <v>-6.9444444444444448E-2</v>
      </c>
      <c r="M33" s="30">
        <f>VLOOKUP($A33,期货数据!$A$8:$AA$99,14,0)</f>
        <v>11390</v>
      </c>
      <c r="N33" s="30">
        <f>VLOOKUP($A33,期货数据!$A$8:$AA$99,10,0)</f>
        <v>12240</v>
      </c>
      <c r="O33" s="30">
        <f>VLOOKUP($A33,期货数据!$A$8:$AA$99,11,0)</f>
        <v>12585</v>
      </c>
      <c r="P33" s="30">
        <f>VLOOKUP($A33,期货数据!$A$8:$AA$99,12,0)</f>
        <v>14575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I33"/>
  <sheetViews>
    <sheetView topLeftCell="A4" workbookViewId="0">
      <selection activeCell="C33" sqref="C33"/>
    </sheetView>
  </sheetViews>
  <sheetFormatPr defaultRowHeight="13.5"/>
  <cols>
    <col min="33" max="33" width="10.375" customWidth="1"/>
    <col min="34" max="34" width="10.125" customWidth="1"/>
    <col min="35" max="35" width="10.5" bestFit="1" customWidth="1"/>
  </cols>
  <sheetData>
    <row r="1" spans="1:35">
      <c r="A1" t="s">
        <v>0</v>
      </c>
      <c r="B1" s="11">
        <v>43179</v>
      </c>
      <c r="C1" s="11">
        <v>43178</v>
      </c>
      <c r="D1" s="11">
        <v>43175</v>
      </c>
      <c r="E1" s="11">
        <v>43174</v>
      </c>
      <c r="F1" s="11">
        <v>43173</v>
      </c>
      <c r="G1" s="11">
        <v>43172</v>
      </c>
      <c r="H1" s="11">
        <v>43171</v>
      </c>
      <c r="I1" s="11">
        <v>43168</v>
      </c>
      <c r="J1" s="11">
        <v>43167</v>
      </c>
      <c r="K1" s="11">
        <v>43166</v>
      </c>
      <c r="L1" s="11">
        <v>43165</v>
      </c>
      <c r="M1" s="11">
        <v>43164</v>
      </c>
      <c r="N1" s="11">
        <v>43161</v>
      </c>
      <c r="O1" s="11">
        <v>43160</v>
      </c>
      <c r="P1" s="11">
        <v>43159</v>
      </c>
      <c r="Q1" s="11">
        <v>43158</v>
      </c>
      <c r="R1" s="11">
        <v>43157</v>
      </c>
      <c r="S1" s="11">
        <v>43154</v>
      </c>
      <c r="T1" s="11">
        <v>43153</v>
      </c>
      <c r="U1" s="11">
        <v>43145</v>
      </c>
      <c r="V1" s="11">
        <v>43144</v>
      </c>
      <c r="W1" s="11">
        <v>43143</v>
      </c>
      <c r="X1" s="11">
        <v>43140</v>
      </c>
      <c r="Y1" s="11">
        <v>43139</v>
      </c>
      <c r="Z1" s="11">
        <v>43138</v>
      </c>
      <c r="AA1" s="11">
        <v>43137</v>
      </c>
      <c r="AB1" s="11">
        <v>43136</v>
      </c>
      <c r="AC1" s="11">
        <v>43133</v>
      </c>
      <c r="AD1" s="11">
        <v>43132</v>
      </c>
      <c r="AE1" s="11">
        <v>43131</v>
      </c>
      <c r="AF1" s="11">
        <v>43130</v>
      </c>
      <c r="AG1" s="11">
        <v>43129</v>
      </c>
      <c r="AH1" s="11">
        <v>43126</v>
      </c>
      <c r="AI1" s="11">
        <v>43125</v>
      </c>
    </row>
    <row r="2" spans="1:35">
      <c r="A2" t="s">
        <v>5</v>
      </c>
      <c r="B2">
        <v>110</v>
      </c>
      <c r="C2">
        <v>105</v>
      </c>
      <c r="D2">
        <v>54</v>
      </c>
      <c r="E2">
        <v>101</v>
      </c>
      <c r="F2">
        <v>79</v>
      </c>
      <c r="G2">
        <v>112</v>
      </c>
      <c r="H2">
        <v>98</v>
      </c>
      <c r="I2">
        <v>65</v>
      </c>
      <c r="J2">
        <v>-62</v>
      </c>
      <c r="K2">
        <v>-101</v>
      </c>
      <c r="L2">
        <v>-144</v>
      </c>
      <c r="M2">
        <v>-127</v>
      </c>
      <c r="N2">
        <v>-192</v>
      </c>
      <c r="O2">
        <v>-208.5</v>
      </c>
      <c r="P2">
        <v>-196</v>
      </c>
      <c r="Q2">
        <v>-223.5</v>
      </c>
      <c r="R2">
        <v>-229</v>
      </c>
      <c r="S2">
        <v>-171</v>
      </c>
      <c r="T2">
        <v>-226</v>
      </c>
      <c r="U2">
        <v>-191.5</v>
      </c>
      <c r="V2">
        <v>-161.5</v>
      </c>
      <c r="W2">
        <v>-160.5</v>
      </c>
      <c r="X2">
        <v>-155.5</v>
      </c>
      <c r="Y2">
        <v>-197</v>
      </c>
      <c r="Z2">
        <v>-205.5</v>
      </c>
      <c r="AA2">
        <v>-169.5</v>
      </c>
      <c r="AB2">
        <v>-173.5</v>
      </c>
      <c r="AC2">
        <v>-95</v>
      </c>
      <c r="AD2">
        <v>-49.5</v>
      </c>
      <c r="AE2">
        <v>43</v>
      </c>
      <c r="AF2">
        <v>37.5</v>
      </c>
      <c r="AG2">
        <v>17.5</v>
      </c>
      <c r="AH2">
        <v>9</v>
      </c>
      <c r="AI2">
        <v>-13.5</v>
      </c>
    </row>
    <row r="3" spans="1:35">
      <c r="A3" t="s">
        <v>7</v>
      </c>
      <c r="B3">
        <v>91.5</v>
      </c>
      <c r="C3">
        <v>94</v>
      </c>
      <c r="D3">
        <v>91.5</v>
      </c>
      <c r="E3">
        <v>95</v>
      </c>
      <c r="F3">
        <v>85.5</v>
      </c>
      <c r="G3">
        <v>128.5</v>
      </c>
      <c r="H3">
        <v>114</v>
      </c>
      <c r="I3">
        <v>79.5</v>
      </c>
      <c r="J3">
        <v>55.5</v>
      </c>
      <c r="K3">
        <v>32.5</v>
      </c>
      <c r="L3">
        <v>2</v>
      </c>
      <c r="M3">
        <v>5.5</v>
      </c>
      <c r="N3">
        <v>-14</v>
      </c>
      <c r="O3">
        <v>-21</v>
      </c>
      <c r="P3">
        <v>-37</v>
      </c>
      <c r="Q3">
        <v>-48.5</v>
      </c>
      <c r="R3">
        <v>-62</v>
      </c>
      <c r="S3">
        <v>-48</v>
      </c>
      <c r="T3">
        <v>-28</v>
      </c>
      <c r="U3">
        <v>-23.5</v>
      </c>
      <c r="V3">
        <v>-14.5</v>
      </c>
      <c r="W3">
        <v>-14</v>
      </c>
      <c r="X3">
        <v>-6</v>
      </c>
      <c r="Y3">
        <v>-14</v>
      </c>
      <c r="Z3">
        <v>-18</v>
      </c>
      <c r="AA3">
        <v>-9</v>
      </c>
      <c r="AB3">
        <v>-19</v>
      </c>
      <c r="AC3">
        <v>-11.5</v>
      </c>
      <c r="AD3">
        <v>31</v>
      </c>
      <c r="AE3">
        <v>6.5</v>
      </c>
      <c r="AF3">
        <v>5</v>
      </c>
      <c r="AG3">
        <v>73.5</v>
      </c>
      <c r="AH3">
        <v>59</v>
      </c>
      <c r="AI3">
        <v>41</v>
      </c>
    </row>
    <row r="4" spans="1:35">
      <c r="A4" t="s">
        <v>4</v>
      </c>
      <c r="B4">
        <v>49.600000000000023</v>
      </c>
      <c r="C4">
        <v>42.399999999999977</v>
      </c>
      <c r="D4">
        <v>33</v>
      </c>
      <c r="E4">
        <v>31.600000000000023</v>
      </c>
      <c r="F4">
        <v>37</v>
      </c>
      <c r="G4">
        <v>42.600000000000023</v>
      </c>
      <c r="H4">
        <v>42.399999999999977</v>
      </c>
      <c r="I4">
        <v>39.600000000000023</v>
      </c>
      <c r="J4">
        <v>40.600000000000023</v>
      </c>
      <c r="K4">
        <v>51.600000000000023</v>
      </c>
      <c r="L4">
        <v>56.399999999999977</v>
      </c>
      <c r="M4">
        <v>61.799999999999955</v>
      </c>
      <c r="N4">
        <v>56.600000000000023</v>
      </c>
      <c r="O4">
        <v>67.199999999999932</v>
      </c>
      <c r="P4">
        <v>69</v>
      </c>
      <c r="Q4">
        <v>81.799999999999955</v>
      </c>
      <c r="R4">
        <v>86.399999999999977</v>
      </c>
      <c r="S4">
        <v>83.799999999999955</v>
      </c>
      <c r="T4">
        <v>91</v>
      </c>
      <c r="U4">
        <v>102.79999999999995</v>
      </c>
      <c r="V4">
        <v>110</v>
      </c>
      <c r="W4">
        <v>115.60000000000002</v>
      </c>
      <c r="X4">
        <v>101.60000000000002</v>
      </c>
      <c r="Y4">
        <v>103.60000000000002</v>
      </c>
      <c r="Z4">
        <v>96.399999999999977</v>
      </c>
      <c r="AA4">
        <v>110.60000000000002</v>
      </c>
      <c r="AB4">
        <v>103.79999999999995</v>
      </c>
      <c r="AC4">
        <v>103.60000000000002</v>
      </c>
      <c r="AD4">
        <v>98</v>
      </c>
      <c r="AE4">
        <v>95.600000000000023</v>
      </c>
      <c r="AF4">
        <v>92.199999999999932</v>
      </c>
      <c r="AG4">
        <v>72.199999999999932</v>
      </c>
      <c r="AH4">
        <v>77</v>
      </c>
      <c r="AI4">
        <v>76.600000000000023</v>
      </c>
    </row>
    <row r="5" spans="1:35">
      <c r="A5" t="s">
        <v>20</v>
      </c>
      <c r="B5">
        <v>27.300000000000011</v>
      </c>
      <c r="C5">
        <v>43.100000000000023</v>
      </c>
      <c r="D5">
        <v>24.800000000000011</v>
      </c>
      <c r="E5">
        <v>18.300000000000011</v>
      </c>
      <c r="F5">
        <v>10.300000000000011</v>
      </c>
      <c r="G5">
        <v>21.300000000000011</v>
      </c>
      <c r="H5">
        <v>29.899999999999977</v>
      </c>
      <c r="I5">
        <v>47</v>
      </c>
      <c r="J5">
        <v>46</v>
      </c>
      <c r="K5">
        <v>29</v>
      </c>
      <c r="L5">
        <v>40</v>
      </c>
      <c r="M5">
        <v>40.5</v>
      </c>
      <c r="N5">
        <v>29</v>
      </c>
      <c r="O5">
        <v>21.5</v>
      </c>
      <c r="P5">
        <v>27.100000000000023</v>
      </c>
      <c r="Q5">
        <v>24.700000000000045</v>
      </c>
      <c r="R5">
        <v>16.899999999999977</v>
      </c>
      <c r="S5">
        <v>9.7999999999999545</v>
      </c>
      <c r="T5">
        <v>11.200000000000045</v>
      </c>
      <c r="U5">
        <v>10.200000000000045</v>
      </c>
      <c r="V5">
        <v>20.700000000000045</v>
      </c>
      <c r="W5">
        <v>22.399999999999977</v>
      </c>
      <c r="X5">
        <v>21.899999999999977</v>
      </c>
      <c r="Y5">
        <v>21.399999999999977</v>
      </c>
      <c r="Z5">
        <v>18.899999999999977</v>
      </c>
      <c r="AA5">
        <v>19.100000000000023</v>
      </c>
      <c r="AB5">
        <v>13.600000000000023</v>
      </c>
      <c r="AC5">
        <v>23.299999999999955</v>
      </c>
      <c r="AD5">
        <v>28.200000000000045</v>
      </c>
      <c r="AE5">
        <v>27.899999999999977</v>
      </c>
      <c r="AF5">
        <v>20.399999999999977</v>
      </c>
      <c r="AG5">
        <v>20.200000000000045</v>
      </c>
      <c r="AH5">
        <v>22.100000000000023</v>
      </c>
      <c r="AI5">
        <v>6.2999999999999545</v>
      </c>
    </row>
    <row r="6" spans="1:35">
      <c r="A6" t="s">
        <v>12</v>
      </c>
      <c r="B6">
        <v>237.59999999999991</v>
      </c>
      <c r="C6">
        <v>297</v>
      </c>
      <c r="D6">
        <v>249</v>
      </c>
      <c r="E6">
        <v>228</v>
      </c>
      <c r="F6">
        <v>245</v>
      </c>
      <c r="G6">
        <v>305</v>
      </c>
      <c r="H6">
        <v>291</v>
      </c>
      <c r="I6">
        <v>271</v>
      </c>
      <c r="J6">
        <v>288</v>
      </c>
      <c r="K6">
        <v>234</v>
      </c>
      <c r="L6">
        <v>185</v>
      </c>
      <c r="M6">
        <v>249</v>
      </c>
      <c r="N6">
        <v>202</v>
      </c>
      <c r="O6">
        <v>194</v>
      </c>
      <c r="P6">
        <v>215</v>
      </c>
      <c r="Q6">
        <v>191</v>
      </c>
      <c r="R6">
        <v>188</v>
      </c>
      <c r="S6">
        <v>61</v>
      </c>
      <c r="T6">
        <v>144</v>
      </c>
      <c r="U6">
        <v>76</v>
      </c>
      <c r="V6">
        <v>89</v>
      </c>
      <c r="W6">
        <v>92</v>
      </c>
      <c r="X6">
        <v>115</v>
      </c>
      <c r="Y6">
        <v>80</v>
      </c>
      <c r="Z6">
        <v>73</v>
      </c>
      <c r="AA6">
        <v>67</v>
      </c>
      <c r="AB6">
        <v>43</v>
      </c>
      <c r="AC6">
        <v>49</v>
      </c>
      <c r="AD6">
        <v>79</v>
      </c>
      <c r="AE6">
        <v>95</v>
      </c>
      <c r="AF6">
        <v>99</v>
      </c>
      <c r="AG6">
        <v>75</v>
      </c>
      <c r="AH6">
        <v>75</v>
      </c>
      <c r="AI6">
        <v>54</v>
      </c>
    </row>
    <row r="7" spans="1:35">
      <c r="A7" t="s">
        <v>9</v>
      </c>
      <c r="B7">
        <v>144</v>
      </c>
      <c r="C7">
        <v>155</v>
      </c>
      <c r="D7">
        <v>93</v>
      </c>
      <c r="E7">
        <v>88</v>
      </c>
      <c r="F7">
        <v>94</v>
      </c>
      <c r="G7">
        <v>109</v>
      </c>
      <c r="H7">
        <v>99</v>
      </c>
      <c r="I7">
        <v>117</v>
      </c>
      <c r="J7">
        <v>87</v>
      </c>
      <c r="K7">
        <v>144</v>
      </c>
      <c r="L7">
        <v>58</v>
      </c>
      <c r="M7">
        <v>73</v>
      </c>
      <c r="N7">
        <v>20</v>
      </c>
      <c r="O7">
        <v>66</v>
      </c>
      <c r="P7">
        <v>92</v>
      </c>
      <c r="Q7">
        <v>81</v>
      </c>
      <c r="R7">
        <v>100</v>
      </c>
      <c r="S7">
        <v>158</v>
      </c>
      <c r="T7">
        <v>143</v>
      </c>
      <c r="U7">
        <v>86</v>
      </c>
      <c r="V7">
        <v>85</v>
      </c>
      <c r="W7">
        <v>97</v>
      </c>
      <c r="X7">
        <v>112</v>
      </c>
      <c r="Y7">
        <v>43</v>
      </c>
      <c r="Z7">
        <v>68</v>
      </c>
      <c r="AA7">
        <v>70</v>
      </c>
      <c r="AB7">
        <v>52</v>
      </c>
      <c r="AC7">
        <v>47</v>
      </c>
      <c r="AD7">
        <v>108</v>
      </c>
      <c r="AE7">
        <v>156</v>
      </c>
      <c r="AF7">
        <v>151</v>
      </c>
      <c r="AG7">
        <v>156</v>
      </c>
      <c r="AH7">
        <v>158</v>
      </c>
      <c r="AI7">
        <v>147</v>
      </c>
    </row>
    <row r="8" spans="1:35">
      <c r="A8" t="s">
        <v>31</v>
      </c>
      <c r="B8">
        <v>-850</v>
      </c>
      <c r="C8">
        <v>-850</v>
      </c>
      <c r="D8">
        <v>-860</v>
      </c>
      <c r="E8">
        <v>-870</v>
      </c>
      <c r="F8">
        <v>-850</v>
      </c>
      <c r="G8">
        <v>-850</v>
      </c>
      <c r="H8">
        <v>-850</v>
      </c>
      <c r="I8">
        <v>-850</v>
      </c>
      <c r="J8">
        <v>-800</v>
      </c>
      <c r="K8">
        <v>-800</v>
      </c>
      <c r="L8">
        <v>-800</v>
      </c>
      <c r="M8">
        <v>-800</v>
      </c>
      <c r="N8">
        <v>-790</v>
      </c>
      <c r="O8">
        <v>-800</v>
      </c>
      <c r="P8">
        <v>-780</v>
      </c>
      <c r="Q8">
        <v>-900</v>
      </c>
      <c r="R8">
        <v>-910</v>
      </c>
      <c r="S8">
        <v>-900</v>
      </c>
      <c r="T8">
        <v>-1000</v>
      </c>
      <c r="U8">
        <v>-960</v>
      </c>
      <c r="V8">
        <v>-910</v>
      </c>
      <c r="W8">
        <v>-1000</v>
      </c>
      <c r="X8">
        <v>-1000</v>
      </c>
      <c r="Y8">
        <v>-1000</v>
      </c>
      <c r="Z8">
        <v>-1200</v>
      </c>
      <c r="AA8">
        <v>-1200</v>
      </c>
      <c r="AB8">
        <v>-1300</v>
      </c>
      <c r="AC8">
        <v>-1485</v>
      </c>
      <c r="AD8">
        <v>-1410</v>
      </c>
      <c r="AE8">
        <v>-1500</v>
      </c>
      <c r="AF8">
        <v>-1700</v>
      </c>
      <c r="AG8">
        <v>-1800</v>
      </c>
      <c r="AH8">
        <v>-1800</v>
      </c>
      <c r="AI8">
        <v>-1900</v>
      </c>
    </row>
    <row r="9" spans="1:35">
      <c r="A9" t="s">
        <v>17</v>
      </c>
      <c r="B9">
        <v>77</v>
      </c>
      <c r="C9">
        <v>37</v>
      </c>
      <c r="D9">
        <v>49</v>
      </c>
      <c r="E9">
        <v>63</v>
      </c>
      <c r="F9">
        <v>52</v>
      </c>
      <c r="G9">
        <v>9</v>
      </c>
      <c r="H9">
        <v>7</v>
      </c>
      <c r="I9">
        <v>19</v>
      </c>
      <c r="J9">
        <v>14</v>
      </c>
      <c r="K9">
        <v>0</v>
      </c>
      <c r="L9">
        <v>-4</v>
      </c>
      <c r="M9">
        <v>-4</v>
      </c>
      <c r="N9">
        <v>-18</v>
      </c>
      <c r="O9">
        <v>-17</v>
      </c>
      <c r="P9">
        <v>-14</v>
      </c>
      <c r="Q9">
        <v>-12</v>
      </c>
      <c r="R9">
        <v>-39</v>
      </c>
      <c r="S9">
        <v>-38</v>
      </c>
      <c r="T9">
        <v>4</v>
      </c>
      <c r="U9">
        <v>-11</v>
      </c>
      <c r="V9">
        <v>4</v>
      </c>
      <c r="W9">
        <v>8</v>
      </c>
      <c r="X9">
        <v>-1</v>
      </c>
      <c r="Y9">
        <v>-16</v>
      </c>
      <c r="Z9">
        <v>-38</v>
      </c>
      <c r="AA9">
        <v>-32</v>
      </c>
      <c r="AB9">
        <v>-36</v>
      </c>
      <c r="AC9">
        <v>-37</v>
      </c>
      <c r="AD9">
        <v>-13</v>
      </c>
      <c r="AE9">
        <v>-28</v>
      </c>
      <c r="AF9">
        <v>-44</v>
      </c>
      <c r="AG9">
        <v>-47</v>
      </c>
      <c r="AH9">
        <v>-35</v>
      </c>
      <c r="AI9">
        <v>-38</v>
      </c>
    </row>
    <row r="10" spans="1:35">
      <c r="A10" t="s">
        <v>32</v>
      </c>
      <c r="B10">
        <v>-75</v>
      </c>
      <c r="C10">
        <v>-55</v>
      </c>
      <c r="D10">
        <v>-75</v>
      </c>
      <c r="E10">
        <v>-55</v>
      </c>
      <c r="F10">
        <v>-55</v>
      </c>
      <c r="G10">
        <v>-20</v>
      </c>
      <c r="H10">
        <v>35</v>
      </c>
      <c r="I10">
        <v>-65</v>
      </c>
      <c r="J10">
        <v>135</v>
      </c>
      <c r="K10">
        <v>-15</v>
      </c>
      <c r="L10">
        <v>-20</v>
      </c>
      <c r="M10">
        <v>10</v>
      </c>
      <c r="N10">
        <v>-105</v>
      </c>
      <c r="O10">
        <v>-95</v>
      </c>
      <c r="P10">
        <v>-15</v>
      </c>
      <c r="Q10">
        <v>5</v>
      </c>
      <c r="R10">
        <v>-50</v>
      </c>
      <c r="S10">
        <v>45</v>
      </c>
      <c r="T10">
        <v>-65</v>
      </c>
      <c r="U10">
        <v>-65</v>
      </c>
      <c r="V10">
        <v>-70</v>
      </c>
      <c r="W10">
        <v>10</v>
      </c>
      <c r="X10">
        <v>-65</v>
      </c>
      <c r="Y10">
        <v>-105</v>
      </c>
      <c r="Z10">
        <v>-120</v>
      </c>
      <c r="AA10">
        <v>-45</v>
      </c>
      <c r="AB10">
        <v>-90</v>
      </c>
      <c r="AC10">
        <v>-100</v>
      </c>
      <c r="AD10">
        <v>20</v>
      </c>
      <c r="AE10">
        <v>-175</v>
      </c>
      <c r="AF10">
        <v>-110</v>
      </c>
      <c r="AG10">
        <v>-115</v>
      </c>
      <c r="AH10">
        <v>-265</v>
      </c>
      <c r="AI10">
        <v>-140</v>
      </c>
    </row>
    <row r="11" spans="1:35">
      <c r="A11" t="s">
        <v>21</v>
      </c>
      <c r="B11">
        <v>-100</v>
      </c>
      <c r="C11">
        <v>-100</v>
      </c>
      <c r="D11">
        <v>-125</v>
      </c>
      <c r="E11">
        <v>-145</v>
      </c>
      <c r="F11">
        <v>-100</v>
      </c>
      <c r="G11">
        <v>-85</v>
      </c>
      <c r="H11">
        <v>-115</v>
      </c>
      <c r="I11">
        <v>-100</v>
      </c>
      <c r="J11">
        <v>-100</v>
      </c>
      <c r="K11">
        <v>-95</v>
      </c>
      <c r="L11">
        <v>-135</v>
      </c>
      <c r="M11">
        <v>-150</v>
      </c>
      <c r="N11">
        <v>-170</v>
      </c>
      <c r="O11">
        <v>-200</v>
      </c>
      <c r="P11">
        <v>-150</v>
      </c>
      <c r="Q11">
        <v>-165</v>
      </c>
      <c r="R11">
        <v>-140</v>
      </c>
      <c r="S11">
        <v>-70</v>
      </c>
      <c r="T11">
        <v>-100</v>
      </c>
      <c r="U11">
        <v>-70</v>
      </c>
      <c r="V11">
        <v>-70</v>
      </c>
      <c r="W11">
        <v>-70</v>
      </c>
      <c r="X11">
        <v>-85</v>
      </c>
      <c r="Y11">
        <v>-85</v>
      </c>
      <c r="Z11">
        <v>-40</v>
      </c>
      <c r="AA11">
        <v>-70</v>
      </c>
      <c r="AB11">
        <v>-115</v>
      </c>
      <c r="AC11">
        <v>-83</v>
      </c>
      <c r="AD11">
        <v>-75</v>
      </c>
      <c r="AE11">
        <v>-80</v>
      </c>
      <c r="AF11">
        <v>10</v>
      </c>
      <c r="AG11">
        <v>-100</v>
      </c>
      <c r="AH11">
        <v>-180</v>
      </c>
      <c r="AI11">
        <v>-115</v>
      </c>
    </row>
    <row r="12" spans="1:35">
      <c r="A12" t="s">
        <v>33</v>
      </c>
      <c r="B12">
        <v>-150</v>
      </c>
      <c r="C12">
        <v>-150</v>
      </c>
      <c r="D12">
        <v>-125</v>
      </c>
      <c r="E12">
        <v>-107</v>
      </c>
      <c r="F12">
        <v>-140</v>
      </c>
      <c r="G12">
        <v>-114</v>
      </c>
      <c r="H12">
        <v>-150</v>
      </c>
      <c r="I12">
        <v>-120</v>
      </c>
      <c r="J12">
        <v>-130</v>
      </c>
      <c r="K12">
        <v>-118</v>
      </c>
      <c r="L12">
        <v>-160</v>
      </c>
      <c r="M12">
        <v>-130</v>
      </c>
      <c r="N12">
        <v>-145</v>
      </c>
      <c r="O12">
        <v>-172</v>
      </c>
      <c r="P12">
        <v>-111</v>
      </c>
      <c r="Q12">
        <v>-133</v>
      </c>
      <c r="R12">
        <v>-129</v>
      </c>
      <c r="S12">
        <v>-132</v>
      </c>
      <c r="T12">
        <v>-125</v>
      </c>
      <c r="U12">
        <v>-75</v>
      </c>
      <c r="V12">
        <v>-75</v>
      </c>
      <c r="W12">
        <v>-75</v>
      </c>
      <c r="X12">
        <v>-74</v>
      </c>
      <c r="Y12">
        <v>-75</v>
      </c>
      <c r="Z12">
        <v>-75</v>
      </c>
      <c r="AA12">
        <v>-65</v>
      </c>
      <c r="AB12">
        <v>-122</v>
      </c>
      <c r="AC12">
        <v>-75</v>
      </c>
      <c r="AD12">
        <v>-69</v>
      </c>
      <c r="AE12">
        <v>-60</v>
      </c>
      <c r="AF12">
        <v>-12</v>
      </c>
      <c r="AG12">
        <v>-65</v>
      </c>
      <c r="AH12">
        <v>-150</v>
      </c>
      <c r="AI12">
        <v>-83</v>
      </c>
    </row>
    <row r="13" spans="1:35">
      <c r="A13" t="s">
        <v>13</v>
      </c>
      <c r="B13">
        <v>38</v>
      </c>
      <c r="C13">
        <v>55</v>
      </c>
      <c r="D13">
        <v>76</v>
      </c>
      <c r="E13">
        <v>100</v>
      </c>
      <c r="F13">
        <v>120</v>
      </c>
      <c r="G13">
        <v>42</v>
      </c>
      <c r="H13">
        <v>102</v>
      </c>
      <c r="I13">
        <v>88</v>
      </c>
      <c r="J13">
        <v>179</v>
      </c>
      <c r="K13">
        <v>202</v>
      </c>
      <c r="L13">
        <v>191</v>
      </c>
      <c r="M13">
        <v>150</v>
      </c>
      <c r="N13">
        <v>172</v>
      </c>
      <c r="O13">
        <v>81</v>
      </c>
      <c r="P13">
        <v>115</v>
      </c>
      <c r="Q13">
        <v>129</v>
      </c>
      <c r="R13">
        <v>152</v>
      </c>
      <c r="S13">
        <v>150</v>
      </c>
      <c r="T13">
        <v>175</v>
      </c>
      <c r="U13">
        <v>2</v>
      </c>
      <c r="V13">
        <v>22</v>
      </c>
      <c r="W13">
        <v>10</v>
      </c>
      <c r="X13">
        <v>10</v>
      </c>
      <c r="Y13">
        <v>-10</v>
      </c>
      <c r="Z13">
        <v>6</v>
      </c>
      <c r="AA13">
        <v>-30</v>
      </c>
      <c r="AB13">
        <v>-45</v>
      </c>
      <c r="AC13">
        <v>-38</v>
      </c>
      <c r="AD13">
        <v>-22</v>
      </c>
      <c r="AE13">
        <v>-61</v>
      </c>
      <c r="AF13">
        <v>-75</v>
      </c>
      <c r="AG13">
        <v>-40</v>
      </c>
      <c r="AH13">
        <v>-35</v>
      </c>
      <c r="AI13">
        <v>-37</v>
      </c>
    </row>
    <row r="14" spans="1:35">
      <c r="A14" t="s">
        <v>26</v>
      </c>
      <c r="B14">
        <v>-55</v>
      </c>
      <c r="C14">
        <v>-35</v>
      </c>
      <c r="D14">
        <v>-16</v>
      </c>
      <c r="E14">
        <v>14</v>
      </c>
      <c r="F14">
        <v>26</v>
      </c>
      <c r="G14">
        <v>36</v>
      </c>
      <c r="H14">
        <v>-30</v>
      </c>
      <c r="I14">
        <v>4</v>
      </c>
      <c r="J14">
        <v>-8</v>
      </c>
      <c r="K14">
        <v>-10</v>
      </c>
      <c r="L14">
        <v>-28</v>
      </c>
      <c r="M14">
        <v>-18</v>
      </c>
      <c r="N14">
        <v>-70</v>
      </c>
      <c r="O14">
        <v>-80</v>
      </c>
      <c r="P14">
        <v>-96</v>
      </c>
      <c r="Q14">
        <v>-80</v>
      </c>
      <c r="R14">
        <v>-94</v>
      </c>
      <c r="S14">
        <v>-78</v>
      </c>
      <c r="T14">
        <v>-30</v>
      </c>
      <c r="U14">
        <v>16</v>
      </c>
      <c r="V14">
        <v>2</v>
      </c>
      <c r="W14">
        <v>-6</v>
      </c>
      <c r="X14">
        <v>-42</v>
      </c>
      <c r="Y14">
        <v>-66</v>
      </c>
      <c r="Z14">
        <v>-164</v>
      </c>
      <c r="AA14">
        <v>-158</v>
      </c>
      <c r="AB14">
        <v>-214</v>
      </c>
      <c r="AC14">
        <v>-290</v>
      </c>
      <c r="AD14">
        <v>-276</v>
      </c>
      <c r="AE14">
        <v>-298</v>
      </c>
      <c r="AF14">
        <v>-294</v>
      </c>
      <c r="AG14">
        <v>-328</v>
      </c>
      <c r="AH14">
        <v>-464</v>
      </c>
      <c r="AI14">
        <v>-516</v>
      </c>
    </row>
    <row r="15" spans="1:35">
      <c r="A15" t="s">
        <v>6</v>
      </c>
      <c r="B15">
        <v>63</v>
      </c>
      <c r="C15">
        <v>11</v>
      </c>
      <c r="D15">
        <v>103</v>
      </c>
      <c r="E15">
        <v>24</v>
      </c>
      <c r="F15">
        <v>-48</v>
      </c>
      <c r="G15">
        <v>-65</v>
      </c>
      <c r="H15">
        <v>-53</v>
      </c>
      <c r="I15">
        <v>-241</v>
      </c>
      <c r="J15">
        <v>-192</v>
      </c>
      <c r="K15">
        <v>-126</v>
      </c>
      <c r="L15">
        <v>-118</v>
      </c>
      <c r="M15">
        <v>-78</v>
      </c>
      <c r="N15">
        <v>-47</v>
      </c>
      <c r="O15">
        <v>-13</v>
      </c>
      <c r="P15">
        <v>23</v>
      </c>
      <c r="Q15">
        <v>24</v>
      </c>
      <c r="R15">
        <v>49</v>
      </c>
      <c r="S15">
        <v>-15</v>
      </c>
      <c r="T15">
        <v>71</v>
      </c>
      <c r="U15">
        <v>81</v>
      </c>
      <c r="V15">
        <v>83</v>
      </c>
      <c r="W15">
        <v>78</v>
      </c>
      <c r="X15">
        <v>32</v>
      </c>
      <c r="Y15">
        <v>13</v>
      </c>
      <c r="Z15">
        <v>21</v>
      </c>
      <c r="AA15">
        <v>14</v>
      </c>
      <c r="AB15">
        <v>147</v>
      </c>
      <c r="AC15">
        <v>176</v>
      </c>
      <c r="AD15">
        <v>218</v>
      </c>
      <c r="AE15">
        <v>206</v>
      </c>
      <c r="AF15">
        <v>187</v>
      </c>
      <c r="AG15">
        <v>253</v>
      </c>
      <c r="AH15">
        <v>273</v>
      </c>
      <c r="AI15">
        <v>258</v>
      </c>
    </row>
    <row r="16" spans="1:35">
      <c r="A16" t="s">
        <v>15</v>
      </c>
      <c r="B16">
        <v>-57</v>
      </c>
      <c r="C16">
        <v>-64</v>
      </c>
      <c r="D16">
        <v>-55</v>
      </c>
      <c r="E16">
        <v>12</v>
      </c>
      <c r="F16">
        <v>24</v>
      </c>
      <c r="G16">
        <v>34</v>
      </c>
      <c r="H16">
        <v>39</v>
      </c>
      <c r="I16">
        <v>16</v>
      </c>
      <c r="J16">
        <v>-46</v>
      </c>
      <c r="K16">
        <v>-25</v>
      </c>
      <c r="L16">
        <v>-41</v>
      </c>
      <c r="M16">
        <v>-50</v>
      </c>
      <c r="N16">
        <v>-61</v>
      </c>
      <c r="O16">
        <v>-27</v>
      </c>
      <c r="P16">
        <v>-10</v>
      </c>
      <c r="Q16">
        <v>-1</v>
      </c>
      <c r="R16">
        <v>18</v>
      </c>
      <c r="S16">
        <v>22</v>
      </c>
      <c r="T16">
        <v>37</v>
      </c>
      <c r="U16">
        <v>82</v>
      </c>
      <c r="V16">
        <v>89</v>
      </c>
      <c r="W16">
        <v>88</v>
      </c>
      <c r="X16">
        <v>90</v>
      </c>
      <c r="Y16">
        <v>112</v>
      </c>
      <c r="Z16">
        <v>131</v>
      </c>
      <c r="AA16">
        <v>150</v>
      </c>
      <c r="AB16">
        <v>156</v>
      </c>
      <c r="AC16">
        <v>183</v>
      </c>
      <c r="AD16">
        <v>178</v>
      </c>
      <c r="AE16">
        <v>119</v>
      </c>
      <c r="AF16">
        <v>114</v>
      </c>
      <c r="AG16">
        <v>122</v>
      </c>
      <c r="AH16">
        <v>123</v>
      </c>
      <c r="AI16">
        <v>114</v>
      </c>
    </row>
    <row r="17" spans="1:35">
      <c r="A17" t="s">
        <v>11</v>
      </c>
      <c r="B17">
        <v>92</v>
      </c>
      <c r="C17">
        <v>136</v>
      </c>
      <c r="D17">
        <v>94</v>
      </c>
      <c r="E17">
        <v>104</v>
      </c>
      <c r="F17">
        <v>115</v>
      </c>
      <c r="G17">
        <v>120</v>
      </c>
      <c r="H17">
        <v>116</v>
      </c>
      <c r="I17">
        <v>123</v>
      </c>
      <c r="J17">
        <v>105</v>
      </c>
      <c r="K17">
        <v>110</v>
      </c>
      <c r="L17">
        <v>110</v>
      </c>
      <c r="M17">
        <v>140</v>
      </c>
      <c r="N17">
        <v>101</v>
      </c>
      <c r="O17">
        <v>66</v>
      </c>
      <c r="P17">
        <v>67</v>
      </c>
      <c r="Q17">
        <v>88</v>
      </c>
      <c r="R17">
        <v>88</v>
      </c>
      <c r="S17">
        <v>53</v>
      </c>
      <c r="T17">
        <v>-39</v>
      </c>
      <c r="U17">
        <v>63</v>
      </c>
      <c r="V17">
        <v>77</v>
      </c>
      <c r="W17">
        <v>29</v>
      </c>
      <c r="X17">
        <v>69</v>
      </c>
      <c r="Y17">
        <v>54</v>
      </c>
      <c r="Z17">
        <v>55</v>
      </c>
      <c r="AA17">
        <v>56</v>
      </c>
      <c r="AB17">
        <v>61</v>
      </c>
      <c r="AC17">
        <v>73</v>
      </c>
      <c r="AD17">
        <v>61</v>
      </c>
      <c r="AE17">
        <v>35</v>
      </c>
      <c r="AF17">
        <v>46</v>
      </c>
      <c r="AG17">
        <v>22</v>
      </c>
      <c r="AH17">
        <v>59</v>
      </c>
      <c r="AI17">
        <v>59</v>
      </c>
    </row>
    <row r="18" spans="1:35">
      <c r="A18" t="s">
        <v>23</v>
      </c>
      <c r="B18">
        <v>-7</v>
      </c>
      <c r="C18">
        <v>-14</v>
      </c>
      <c r="D18">
        <v>4</v>
      </c>
      <c r="E18">
        <v>20</v>
      </c>
      <c r="F18">
        <v>20</v>
      </c>
      <c r="G18">
        <v>-10</v>
      </c>
      <c r="H18">
        <v>-10</v>
      </c>
      <c r="I18">
        <v>-10</v>
      </c>
      <c r="J18">
        <v>-10</v>
      </c>
      <c r="K18">
        <v>-10</v>
      </c>
      <c r="L18">
        <v>-10</v>
      </c>
      <c r="M18">
        <v>0</v>
      </c>
      <c r="N18">
        <v>0</v>
      </c>
      <c r="O18">
        <v>-30</v>
      </c>
      <c r="P18">
        <v>-30</v>
      </c>
      <c r="Q18">
        <v>-30</v>
      </c>
      <c r="R18">
        <v>-26</v>
      </c>
      <c r="S18">
        <v>-31</v>
      </c>
      <c r="T18">
        <v>-174</v>
      </c>
      <c r="U18">
        <v>-90</v>
      </c>
      <c r="V18">
        <v>-81</v>
      </c>
      <c r="W18">
        <v>-90</v>
      </c>
      <c r="X18">
        <v>-44</v>
      </c>
      <c r="Y18">
        <v>-48</v>
      </c>
      <c r="Z18">
        <v>-45</v>
      </c>
      <c r="AA18">
        <v>-33</v>
      </c>
      <c r="AB18">
        <v>-33</v>
      </c>
      <c r="AC18">
        <v>-41</v>
      </c>
      <c r="AD18">
        <v>-48</v>
      </c>
      <c r="AE18">
        <v>-45</v>
      </c>
      <c r="AF18">
        <v>-53</v>
      </c>
      <c r="AG18">
        <v>-40</v>
      </c>
      <c r="AH18">
        <v>-48</v>
      </c>
      <c r="AI18">
        <v>-65</v>
      </c>
    </row>
    <row r="19" spans="1:35">
      <c r="A19" t="s">
        <v>14</v>
      </c>
      <c r="B19">
        <v>130</v>
      </c>
      <c r="C19">
        <v>116</v>
      </c>
      <c r="D19">
        <v>107</v>
      </c>
      <c r="E19">
        <v>124</v>
      </c>
      <c r="F19">
        <v>122</v>
      </c>
      <c r="G19">
        <v>127</v>
      </c>
      <c r="H19">
        <v>130</v>
      </c>
      <c r="I19">
        <v>128</v>
      </c>
      <c r="J19">
        <v>116</v>
      </c>
      <c r="K19">
        <v>93</v>
      </c>
      <c r="L19">
        <v>63</v>
      </c>
      <c r="M19">
        <v>71</v>
      </c>
      <c r="N19">
        <v>60</v>
      </c>
      <c r="O19">
        <v>72</v>
      </c>
      <c r="P19">
        <v>63</v>
      </c>
      <c r="Q19">
        <v>62</v>
      </c>
      <c r="R19">
        <v>61</v>
      </c>
      <c r="S19">
        <v>57</v>
      </c>
      <c r="T19">
        <v>51</v>
      </c>
      <c r="U19">
        <v>58</v>
      </c>
      <c r="V19">
        <v>70</v>
      </c>
      <c r="W19">
        <v>52</v>
      </c>
      <c r="X19">
        <v>46</v>
      </c>
      <c r="Y19">
        <v>44</v>
      </c>
      <c r="Z19">
        <v>45</v>
      </c>
      <c r="AA19">
        <v>55</v>
      </c>
      <c r="AB19">
        <v>54</v>
      </c>
      <c r="AC19">
        <v>46</v>
      </c>
      <c r="AD19">
        <v>45</v>
      </c>
      <c r="AE19">
        <v>62</v>
      </c>
      <c r="AF19">
        <v>58</v>
      </c>
      <c r="AG19">
        <v>55</v>
      </c>
      <c r="AH19">
        <v>54</v>
      </c>
      <c r="AI19">
        <v>53</v>
      </c>
    </row>
    <row r="20" spans="1:35">
      <c r="A20" t="s">
        <v>8</v>
      </c>
      <c r="B20">
        <v>161</v>
      </c>
      <c r="C20">
        <v>153</v>
      </c>
      <c r="D20">
        <v>162</v>
      </c>
      <c r="E20">
        <v>172</v>
      </c>
      <c r="F20">
        <v>157</v>
      </c>
      <c r="G20">
        <v>149</v>
      </c>
      <c r="H20">
        <v>159</v>
      </c>
      <c r="I20">
        <v>121</v>
      </c>
      <c r="J20">
        <v>111</v>
      </c>
      <c r="K20">
        <v>109</v>
      </c>
      <c r="L20">
        <v>103</v>
      </c>
      <c r="M20">
        <v>98</v>
      </c>
      <c r="N20">
        <v>139</v>
      </c>
      <c r="O20">
        <v>145</v>
      </c>
      <c r="P20">
        <v>135</v>
      </c>
      <c r="Q20">
        <v>132</v>
      </c>
      <c r="R20">
        <v>73</v>
      </c>
      <c r="S20">
        <v>86</v>
      </c>
      <c r="T20">
        <v>89</v>
      </c>
      <c r="U20">
        <v>93</v>
      </c>
      <c r="V20">
        <v>117</v>
      </c>
      <c r="W20">
        <v>87</v>
      </c>
      <c r="X20">
        <v>78</v>
      </c>
      <c r="Y20">
        <v>76</v>
      </c>
      <c r="Z20">
        <v>73</v>
      </c>
      <c r="AA20">
        <v>91</v>
      </c>
      <c r="AB20">
        <v>93</v>
      </c>
      <c r="AC20">
        <v>104</v>
      </c>
      <c r="AD20">
        <v>99</v>
      </c>
      <c r="AE20">
        <v>138</v>
      </c>
      <c r="AF20">
        <v>133</v>
      </c>
      <c r="AG20">
        <v>129</v>
      </c>
      <c r="AH20">
        <v>164</v>
      </c>
      <c r="AI20">
        <v>167</v>
      </c>
    </row>
    <row r="21" spans="1:35">
      <c r="A21" t="s">
        <v>34</v>
      </c>
      <c r="B21">
        <v>0</v>
      </c>
      <c r="C21">
        <v>-6</v>
      </c>
      <c r="D21">
        <v>26</v>
      </c>
      <c r="E21">
        <v>6</v>
      </c>
      <c r="F21">
        <v>20</v>
      </c>
      <c r="G21">
        <v>-8</v>
      </c>
      <c r="H21">
        <v>8</v>
      </c>
      <c r="I21">
        <v>40</v>
      </c>
      <c r="J21">
        <v>-2</v>
      </c>
      <c r="K21">
        <v>54</v>
      </c>
      <c r="L21">
        <v>-12</v>
      </c>
      <c r="M21">
        <v>-34</v>
      </c>
      <c r="N21">
        <v>-54</v>
      </c>
      <c r="O21">
        <v>-78</v>
      </c>
      <c r="P21">
        <v>-66</v>
      </c>
      <c r="Q21">
        <v>-36</v>
      </c>
      <c r="R21">
        <v>-44</v>
      </c>
      <c r="S21">
        <v>-78</v>
      </c>
      <c r="T21">
        <v>-68</v>
      </c>
      <c r="U21">
        <v>-44</v>
      </c>
      <c r="V21">
        <v>-60</v>
      </c>
      <c r="W21">
        <v>-54</v>
      </c>
      <c r="X21">
        <v>-30</v>
      </c>
      <c r="Y21">
        <v>-90</v>
      </c>
      <c r="Z21">
        <v>-62</v>
      </c>
      <c r="AA21">
        <v>-130</v>
      </c>
      <c r="AB21">
        <v>-140</v>
      </c>
      <c r="AC21">
        <v>-100</v>
      </c>
      <c r="AD21">
        <v>-166</v>
      </c>
      <c r="AE21">
        <v>-208</v>
      </c>
      <c r="AF21">
        <v>-168</v>
      </c>
      <c r="AG21">
        <v>-214</v>
      </c>
      <c r="AH21">
        <v>-196</v>
      </c>
      <c r="AI21">
        <v>-178</v>
      </c>
    </row>
    <row r="22" spans="1:35">
      <c r="A22" t="s">
        <v>25</v>
      </c>
      <c r="B22">
        <v>-120</v>
      </c>
      <c r="C22">
        <v>-78</v>
      </c>
      <c r="D22">
        <v>-40</v>
      </c>
      <c r="E22">
        <v>-70</v>
      </c>
      <c r="F22">
        <v>-68</v>
      </c>
      <c r="G22">
        <v>-82</v>
      </c>
      <c r="H22">
        <v>-44</v>
      </c>
      <c r="I22">
        <v>6</v>
      </c>
      <c r="J22">
        <v>-44</v>
      </c>
      <c r="K22">
        <v>-42</v>
      </c>
      <c r="L22">
        <v>-66</v>
      </c>
      <c r="M22">
        <v>-94</v>
      </c>
      <c r="N22">
        <v>-46</v>
      </c>
      <c r="O22">
        <v>-110</v>
      </c>
      <c r="P22">
        <v>-78</v>
      </c>
      <c r="Q22">
        <v>-86</v>
      </c>
      <c r="R22">
        <v>-68</v>
      </c>
      <c r="S22">
        <v>-96</v>
      </c>
      <c r="T22">
        <v>-60</v>
      </c>
      <c r="U22">
        <v>-80</v>
      </c>
      <c r="V22">
        <v>-114</v>
      </c>
      <c r="W22">
        <v>-132</v>
      </c>
      <c r="X22">
        <v>-60</v>
      </c>
      <c r="Y22">
        <v>-100</v>
      </c>
      <c r="Z22">
        <v>-82</v>
      </c>
      <c r="AA22">
        <v>-86</v>
      </c>
      <c r="AB22">
        <v>-78</v>
      </c>
      <c r="AC22">
        <v>-80</v>
      </c>
      <c r="AD22">
        <v>-106</v>
      </c>
      <c r="AE22">
        <v>-92</v>
      </c>
      <c r="AF22">
        <v>-100</v>
      </c>
      <c r="AG22">
        <v>-96</v>
      </c>
      <c r="AH22">
        <v>-88</v>
      </c>
      <c r="AI22">
        <v>-106</v>
      </c>
    </row>
    <row r="23" spans="1:35">
      <c r="A23" t="s">
        <v>16</v>
      </c>
      <c r="B23">
        <v>262</v>
      </c>
      <c r="C23">
        <v>254</v>
      </c>
      <c r="D23">
        <v>110</v>
      </c>
      <c r="E23">
        <v>118</v>
      </c>
      <c r="F23">
        <v>102</v>
      </c>
      <c r="G23">
        <v>84</v>
      </c>
      <c r="H23">
        <v>184</v>
      </c>
      <c r="I23">
        <v>204</v>
      </c>
      <c r="J23">
        <v>202</v>
      </c>
      <c r="K23">
        <v>208</v>
      </c>
      <c r="L23">
        <v>204</v>
      </c>
      <c r="M23">
        <v>202</v>
      </c>
      <c r="N23">
        <v>140</v>
      </c>
      <c r="O23">
        <v>100</v>
      </c>
      <c r="P23">
        <v>140</v>
      </c>
      <c r="Q23">
        <v>-848</v>
      </c>
      <c r="R23">
        <v>162</v>
      </c>
      <c r="S23">
        <v>170</v>
      </c>
      <c r="T23">
        <v>272</v>
      </c>
      <c r="U23">
        <v>270</v>
      </c>
      <c r="V23">
        <v>212</v>
      </c>
      <c r="W23">
        <v>210</v>
      </c>
      <c r="X23">
        <v>212</v>
      </c>
      <c r="Y23">
        <v>178</v>
      </c>
      <c r="Z23">
        <v>180</v>
      </c>
      <c r="AA23">
        <v>180</v>
      </c>
      <c r="AB23">
        <v>156</v>
      </c>
      <c r="AC23">
        <v>166</v>
      </c>
      <c r="AD23">
        <v>86</v>
      </c>
      <c r="AE23">
        <v>62</v>
      </c>
      <c r="AF23">
        <v>120</v>
      </c>
      <c r="AG23">
        <v>88</v>
      </c>
      <c r="AH23">
        <v>90</v>
      </c>
      <c r="AI23">
        <v>90</v>
      </c>
    </row>
    <row r="24" spans="1:35">
      <c r="A24" t="s">
        <v>10</v>
      </c>
      <c r="B24">
        <v>-4</v>
      </c>
      <c r="C24">
        <v>29</v>
      </c>
      <c r="D24">
        <v>75</v>
      </c>
      <c r="E24">
        <v>52</v>
      </c>
      <c r="F24">
        <v>71</v>
      </c>
      <c r="G24">
        <v>80</v>
      </c>
      <c r="H24">
        <v>245</v>
      </c>
      <c r="I24">
        <v>138</v>
      </c>
      <c r="J24">
        <v>124</v>
      </c>
      <c r="K24">
        <v>111</v>
      </c>
      <c r="L24">
        <v>141</v>
      </c>
      <c r="M24">
        <v>128</v>
      </c>
      <c r="N24">
        <v>251</v>
      </c>
      <c r="O24">
        <v>243</v>
      </c>
      <c r="P24">
        <v>255</v>
      </c>
      <c r="Q24">
        <v>124</v>
      </c>
      <c r="R24">
        <v>102</v>
      </c>
      <c r="S24">
        <v>118</v>
      </c>
      <c r="T24">
        <v>171</v>
      </c>
      <c r="U24">
        <v>161</v>
      </c>
      <c r="V24">
        <v>132</v>
      </c>
      <c r="W24">
        <v>122</v>
      </c>
      <c r="X24">
        <v>182</v>
      </c>
      <c r="Y24">
        <v>132</v>
      </c>
      <c r="Z24">
        <v>160</v>
      </c>
      <c r="AA24">
        <v>138</v>
      </c>
      <c r="AB24">
        <v>136</v>
      </c>
      <c r="AC24">
        <v>192</v>
      </c>
      <c r="AD24">
        <v>186</v>
      </c>
      <c r="AE24">
        <v>163</v>
      </c>
      <c r="AF24">
        <v>213</v>
      </c>
      <c r="AG24">
        <v>206</v>
      </c>
      <c r="AH24">
        <v>183</v>
      </c>
      <c r="AI24">
        <v>174</v>
      </c>
    </row>
    <row r="25" spans="1:35">
      <c r="A25" t="s">
        <v>35</v>
      </c>
      <c r="B25">
        <v>635</v>
      </c>
      <c r="C25">
        <v>635</v>
      </c>
      <c r="D25">
        <v>610</v>
      </c>
      <c r="E25">
        <v>550</v>
      </c>
      <c r="F25">
        <v>555</v>
      </c>
      <c r="G25">
        <v>495</v>
      </c>
      <c r="H25">
        <v>470</v>
      </c>
      <c r="I25">
        <v>325</v>
      </c>
      <c r="J25">
        <v>400</v>
      </c>
      <c r="K25">
        <v>305</v>
      </c>
      <c r="L25">
        <v>80</v>
      </c>
      <c r="M25">
        <v>115</v>
      </c>
      <c r="N25">
        <v>300</v>
      </c>
      <c r="O25">
        <v>220</v>
      </c>
      <c r="P25">
        <v>275</v>
      </c>
      <c r="Q25">
        <v>260</v>
      </c>
      <c r="R25">
        <v>205</v>
      </c>
      <c r="S25">
        <v>370</v>
      </c>
      <c r="T25">
        <v>470</v>
      </c>
      <c r="U25">
        <v>550</v>
      </c>
      <c r="V25">
        <v>585</v>
      </c>
      <c r="W25">
        <v>565</v>
      </c>
      <c r="X25">
        <v>570</v>
      </c>
      <c r="Y25">
        <v>505</v>
      </c>
      <c r="Z25">
        <v>395</v>
      </c>
      <c r="AA25">
        <v>400</v>
      </c>
      <c r="AB25">
        <v>370</v>
      </c>
      <c r="AC25">
        <v>255</v>
      </c>
      <c r="AD25">
        <v>285</v>
      </c>
      <c r="AE25">
        <v>255</v>
      </c>
      <c r="AF25">
        <v>195</v>
      </c>
      <c r="AG25">
        <v>50</v>
      </c>
      <c r="AH25">
        <v>-70</v>
      </c>
      <c r="AI25">
        <v>-65</v>
      </c>
    </row>
    <row r="26" spans="1:35">
      <c r="A26" t="s">
        <v>24</v>
      </c>
      <c r="B26">
        <v>-150</v>
      </c>
      <c r="C26">
        <v>-150</v>
      </c>
      <c r="D26">
        <v>-185</v>
      </c>
      <c r="E26">
        <v>-185</v>
      </c>
      <c r="F26">
        <v>-185</v>
      </c>
      <c r="G26">
        <v>-130</v>
      </c>
      <c r="H26">
        <v>-130</v>
      </c>
      <c r="I26">
        <v>-350</v>
      </c>
      <c r="J26">
        <v>-350</v>
      </c>
      <c r="K26">
        <v>-175</v>
      </c>
      <c r="L26">
        <v>-120</v>
      </c>
      <c r="M26">
        <v>-120</v>
      </c>
      <c r="N26">
        <v>-450</v>
      </c>
      <c r="O26">
        <v>-450</v>
      </c>
      <c r="P26">
        <v>-450</v>
      </c>
      <c r="Q26">
        <v>-450</v>
      </c>
      <c r="R26">
        <v>-450</v>
      </c>
      <c r="S26">
        <v>-450</v>
      </c>
      <c r="T26">
        <v>-450</v>
      </c>
      <c r="U26">
        <v>-450</v>
      </c>
      <c r="V26">
        <v>-180</v>
      </c>
      <c r="W26">
        <v>-450</v>
      </c>
      <c r="X26">
        <v>-275</v>
      </c>
      <c r="Y26">
        <v>-380</v>
      </c>
      <c r="Z26">
        <v>-350</v>
      </c>
      <c r="AA26">
        <v>-225</v>
      </c>
      <c r="AB26">
        <v>-135</v>
      </c>
      <c r="AC26">
        <v>-475</v>
      </c>
      <c r="AD26">
        <v>-405</v>
      </c>
      <c r="AE26">
        <v>-430</v>
      </c>
      <c r="AF26">
        <v>-485</v>
      </c>
      <c r="AG26">
        <v>-435</v>
      </c>
      <c r="AH26">
        <v>-510</v>
      </c>
      <c r="AI26">
        <v>-540</v>
      </c>
    </row>
    <row r="27" spans="1:35">
      <c r="A27" t="s">
        <v>36</v>
      </c>
      <c r="B27">
        <v>-790</v>
      </c>
      <c r="C27">
        <v>-740</v>
      </c>
      <c r="D27">
        <v>-70</v>
      </c>
      <c r="E27">
        <v>-50</v>
      </c>
      <c r="F27">
        <v>-190</v>
      </c>
      <c r="G27">
        <v>30</v>
      </c>
      <c r="H27">
        <v>0</v>
      </c>
      <c r="I27">
        <v>-130</v>
      </c>
      <c r="J27">
        <v>-180</v>
      </c>
      <c r="K27">
        <v>-110</v>
      </c>
      <c r="L27">
        <v>-360</v>
      </c>
      <c r="M27">
        <v>-250</v>
      </c>
      <c r="N27">
        <v>-250</v>
      </c>
      <c r="O27">
        <v>-60</v>
      </c>
      <c r="P27">
        <v>0</v>
      </c>
      <c r="Q27">
        <v>-200</v>
      </c>
      <c r="R27">
        <v>-480</v>
      </c>
      <c r="S27">
        <v>1870</v>
      </c>
      <c r="T27">
        <v>620</v>
      </c>
      <c r="U27">
        <v>620</v>
      </c>
      <c r="V27">
        <v>620</v>
      </c>
      <c r="W27">
        <v>-20</v>
      </c>
      <c r="X27">
        <v>-20</v>
      </c>
      <c r="Y27">
        <v>-50</v>
      </c>
      <c r="Z27">
        <v>-160</v>
      </c>
      <c r="AA27">
        <v>-140</v>
      </c>
      <c r="AB27">
        <v>-180</v>
      </c>
      <c r="AC27">
        <v>-460</v>
      </c>
      <c r="AD27">
        <v>50</v>
      </c>
      <c r="AE27">
        <v>-270</v>
      </c>
      <c r="AF27">
        <v>-310</v>
      </c>
      <c r="AG27">
        <v>-40</v>
      </c>
      <c r="AH27">
        <v>-80</v>
      </c>
      <c r="AI27">
        <v>-140</v>
      </c>
    </row>
    <row r="28" spans="1:35">
      <c r="A28" t="s">
        <v>22</v>
      </c>
      <c r="B28">
        <v>-60</v>
      </c>
      <c r="C28">
        <v>-110</v>
      </c>
      <c r="D28">
        <v>-90</v>
      </c>
      <c r="E28">
        <v>-90</v>
      </c>
      <c r="F28">
        <v>-80</v>
      </c>
      <c r="G28">
        <v>-50</v>
      </c>
      <c r="H28">
        <v>-100</v>
      </c>
      <c r="I28">
        <v>-100</v>
      </c>
      <c r="J28">
        <v>-165</v>
      </c>
      <c r="K28">
        <v>-160</v>
      </c>
      <c r="L28">
        <v>-205</v>
      </c>
      <c r="M28">
        <v>-200</v>
      </c>
      <c r="N28">
        <v>-170</v>
      </c>
      <c r="O28">
        <v>-165</v>
      </c>
      <c r="P28">
        <v>-185</v>
      </c>
      <c r="Q28">
        <v>-270</v>
      </c>
      <c r="R28">
        <v>-330</v>
      </c>
      <c r="S28">
        <v>-240</v>
      </c>
      <c r="T28">
        <v>-30</v>
      </c>
      <c r="U28">
        <v>-30</v>
      </c>
      <c r="V28">
        <v>-30</v>
      </c>
      <c r="W28">
        <v>-230</v>
      </c>
      <c r="X28">
        <v>-230</v>
      </c>
      <c r="Y28">
        <v>-130</v>
      </c>
      <c r="Z28">
        <v>-85</v>
      </c>
      <c r="AA28">
        <v>-50</v>
      </c>
      <c r="AB28">
        <v>-130</v>
      </c>
      <c r="AC28">
        <v>-100</v>
      </c>
      <c r="AD28">
        <v>-95</v>
      </c>
      <c r="AE28">
        <v>-130</v>
      </c>
      <c r="AF28">
        <v>-115</v>
      </c>
      <c r="AG28">
        <v>-90</v>
      </c>
      <c r="AH28">
        <v>-80</v>
      </c>
      <c r="AI28">
        <v>-150</v>
      </c>
    </row>
    <row r="29" spans="1:35">
      <c r="A29" t="s">
        <v>37</v>
      </c>
      <c r="B29">
        <v>-170</v>
      </c>
      <c r="C29">
        <v>-10</v>
      </c>
      <c r="D29">
        <v>70</v>
      </c>
      <c r="E29">
        <v>-60</v>
      </c>
      <c r="F29">
        <v>5</v>
      </c>
      <c r="G29">
        <v>-30</v>
      </c>
      <c r="H29">
        <v>15</v>
      </c>
      <c r="I29">
        <v>-95</v>
      </c>
      <c r="J29">
        <v>55</v>
      </c>
      <c r="K29">
        <v>70</v>
      </c>
      <c r="L29">
        <v>0</v>
      </c>
      <c r="M29">
        <v>40</v>
      </c>
      <c r="N29">
        <v>-200</v>
      </c>
      <c r="O29">
        <v>-60</v>
      </c>
      <c r="P29">
        <v>-35</v>
      </c>
      <c r="Q29">
        <v>-30</v>
      </c>
      <c r="R29">
        <v>-155</v>
      </c>
      <c r="S29">
        <v>460</v>
      </c>
      <c r="T29">
        <v>10</v>
      </c>
      <c r="U29">
        <v>10</v>
      </c>
      <c r="V29">
        <v>10</v>
      </c>
      <c r="W29">
        <v>-150</v>
      </c>
      <c r="X29">
        <v>-150</v>
      </c>
      <c r="Y29">
        <v>-30</v>
      </c>
      <c r="Z29">
        <v>-50</v>
      </c>
      <c r="AA29">
        <v>-90</v>
      </c>
      <c r="AB29">
        <v>-120</v>
      </c>
      <c r="AC29">
        <v>-160</v>
      </c>
      <c r="AD29">
        <v>60</v>
      </c>
      <c r="AE29">
        <v>-20</v>
      </c>
      <c r="AF29">
        <v>-145</v>
      </c>
      <c r="AG29">
        <v>60</v>
      </c>
      <c r="AH29">
        <v>-80</v>
      </c>
      <c r="AI29">
        <v>-20</v>
      </c>
    </row>
    <row r="30" spans="1:35">
      <c r="A30" t="s">
        <v>38</v>
      </c>
      <c r="B30">
        <v>-2030</v>
      </c>
      <c r="C30">
        <v>-740</v>
      </c>
      <c r="D30">
        <v>-1120</v>
      </c>
      <c r="E30">
        <v>-1350</v>
      </c>
      <c r="F30">
        <v>-1050</v>
      </c>
      <c r="G30">
        <v>-740</v>
      </c>
      <c r="H30">
        <v>-440</v>
      </c>
      <c r="I30">
        <v>-1120</v>
      </c>
      <c r="J30">
        <v>-580</v>
      </c>
      <c r="K30">
        <v>-660</v>
      </c>
      <c r="L30">
        <v>-1260</v>
      </c>
      <c r="M30">
        <v>-590</v>
      </c>
      <c r="N30">
        <v>-1380</v>
      </c>
      <c r="O30">
        <v>-1380</v>
      </c>
      <c r="P30">
        <v>-500</v>
      </c>
      <c r="Q30">
        <v>-1600</v>
      </c>
      <c r="R30">
        <v>-2020</v>
      </c>
      <c r="S30">
        <v>-1350</v>
      </c>
      <c r="T30">
        <v>-2690</v>
      </c>
      <c r="U30">
        <v>-3340</v>
      </c>
      <c r="V30">
        <v>-720</v>
      </c>
      <c r="W30">
        <v>-1970</v>
      </c>
      <c r="X30">
        <v>-920</v>
      </c>
      <c r="Y30">
        <v>-970</v>
      </c>
      <c r="Z30">
        <v>-1510</v>
      </c>
      <c r="AA30">
        <v>-1360</v>
      </c>
      <c r="AB30">
        <v>-2340</v>
      </c>
      <c r="AC30">
        <v>-830</v>
      </c>
      <c r="AD30">
        <v>-590</v>
      </c>
      <c r="AE30">
        <v>-1370</v>
      </c>
      <c r="AF30">
        <v>-1480</v>
      </c>
      <c r="AG30">
        <v>-670</v>
      </c>
      <c r="AH30">
        <v>-2210</v>
      </c>
      <c r="AI30">
        <v>-1990</v>
      </c>
    </row>
    <row r="31" spans="1:35">
      <c r="A31" t="s">
        <v>18</v>
      </c>
      <c r="B31">
        <v>-0.5</v>
      </c>
      <c r="C31">
        <v>-20.369999999999891</v>
      </c>
      <c r="D31">
        <v>-27.889999999999418</v>
      </c>
      <c r="E31">
        <v>8.1100000000005821</v>
      </c>
      <c r="F31">
        <v>12.319999999999709</v>
      </c>
      <c r="G31">
        <v>13.150000000000546</v>
      </c>
      <c r="H31">
        <v>20.3799999999992</v>
      </c>
      <c r="I31">
        <v>8.180000000000291</v>
      </c>
      <c r="J31">
        <v>36.109999999999673</v>
      </c>
      <c r="K31">
        <v>55.489999999999782</v>
      </c>
      <c r="L31">
        <v>282.5</v>
      </c>
      <c r="M31">
        <v>375.10000000000036</v>
      </c>
      <c r="N31">
        <v>359.10000000000036</v>
      </c>
      <c r="O31">
        <v>336.5</v>
      </c>
      <c r="P31">
        <v>414.89999999999964</v>
      </c>
      <c r="Q31">
        <v>414.69999999999982</v>
      </c>
      <c r="R31">
        <v>389.69999999999982</v>
      </c>
      <c r="S31">
        <v>560.89999999999964</v>
      </c>
      <c r="T31">
        <v>528.30000000000018</v>
      </c>
      <c r="U31">
        <v>664.30000000000018</v>
      </c>
      <c r="V31">
        <v>680.5</v>
      </c>
      <c r="W31">
        <v>733.30000000000018</v>
      </c>
      <c r="X31">
        <v>890.30000000000018</v>
      </c>
      <c r="Y31">
        <v>647.30000000000018</v>
      </c>
      <c r="Z31">
        <v>731.30000000000018</v>
      </c>
      <c r="AA31">
        <v>707.5</v>
      </c>
      <c r="AB31">
        <v>414.5</v>
      </c>
      <c r="AC31">
        <v>408.10000000000036</v>
      </c>
      <c r="AD31">
        <v>424.30000000000018</v>
      </c>
      <c r="AE31">
        <v>207.69999999999982</v>
      </c>
      <c r="AF31">
        <v>91.5</v>
      </c>
      <c r="AG31">
        <v>82.100000000000364</v>
      </c>
      <c r="AH31">
        <v>-2.6999999999998181</v>
      </c>
      <c r="AI31">
        <v>-4.2799999999997453</v>
      </c>
    </row>
    <row r="32" spans="1:35">
      <c r="A32" t="s">
        <v>19</v>
      </c>
      <c r="B32">
        <v>15.400000000000091</v>
      </c>
      <c r="C32">
        <v>8.2600000000002183</v>
      </c>
      <c r="D32">
        <v>-18.269999999999982</v>
      </c>
      <c r="E32">
        <v>-4.2200000000002547</v>
      </c>
      <c r="F32">
        <v>3.1299999999996544</v>
      </c>
      <c r="G32">
        <v>8.5799999999999272</v>
      </c>
      <c r="H32">
        <v>-0.42000000000007276</v>
      </c>
      <c r="I32">
        <v>-0.1999999999998181</v>
      </c>
      <c r="J32">
        <v>-1.5500000000001819</v>
      </c>
      <c r="K32">
        <v>5.1500000000000909</v>
      </c>
      <c r="L32">
        <v>284.52999999999975</v>
      </c>
      <c r="M32">
        <v>324.12999999999965</v>
      </c>
      <c r="N32">
        <v>319.12999999999965</v>
      </c>
      <c r="O32">
        <v>294.12999999999965</v>
      </c>
      <c r="P32">
        <v>304.92999999999984</v>
      </c>
      <c r="Q32">
        <v>262.73</v>
      </c>
      <c r="R32">
        <v>208.32999999999993</v>
      </c>
      <c r="S32">
        <v>226.52999999999975</v>
      </c>
      <c r="T32">
        <v>252.12999999999965</v>
      </c>
      <c r="U32">
        <v>311.73</v>
      </c>
      <c r="V32">
        <v>336.32999999999993</v>
      </c>
      <c r="W32">
        <v>388.12999999999965</v>
      </c>
      <c r="X32">
        <v>406.73</v>
      </c>
      <c r="Y32">
        <v>244.32999999999993</v>
      </c>
      <c r="Z32">
        <v>161.92999999999984</v>
      </c>
      <c r="AA32">
        <v>70.329999999999927</v>
      </c>
      <c r="AB32">
        <v>-12.870000000000346</v>
      </c>
      <c r="AC32">
        <v>22.329999999999927</v>
      </c>
      <c r="AD32">
        <v>39.730000000000018</v>
      </c>
      <c r="AE32">
        <v>55.329999999999927</v>
      </c>
      <c r="AF32">
        <v>93.129999999999654</v>
      </c>
      <c r="AG32">
        <v>53.329999999999927</v>
      </c>
      <c r="AH32">
        <v>-8.6700000000000728</v>
      </c>
      <c r="AI32">
        <v>-7.3400000000001455</v>
      </c>
    </row>
    <row r="33" spans="1:35">
      <c r="A33" t="s">
        <v>39</v>
      </c>
      <c r="B33">
        <v>-4.2999999999997272</v>
      </c>
      <c r="C33">
        <v>-7.75</v>
      </c>
      <c r="D33">
        <v>-25.579999999999927</v>
      </c>
      <c r="E33">
        <v>-1.4400000000005093</v>
      </c>
      <c r="F33">
        <v>8.3400000000001455</v>
      </c>
      <c r="G33">
        <v>16.049999999999727</v>
      </c>
      <c r="H33">
        <v>8.2700000000004366</v>
      </c>
      <c r="I33">
        <v>5.2699999999995271</v>
      </c>
      <c r="J33">
        <v>12.399999999999636</v>
      </c>
      <c r="K33">
        <v>27.25</v>
      </c>
      <c r="L33">
        <v>325.89000000000033</v>
      </c>
      <c r="M33">
        <v>397.89000000000033</v>
      </c>
      <c r="N33">
        <v>379.89000000000033</v>
      </c>
      <c r="O33">
        <v>354.89000000000033</v>
      </c>
      <c r="P33">
        <v>381.09000000000015</v>
      </c>
      <c r="Q33">
        <v>347.89000000000033</v>
      </c>
      <c r="R33">
        <v>281.69000000000051</v>
      </c>
      <c r="S33">
        <v>340.29000000000042</v>
      </c>
      <c r="T33">
        <v>342.29000000000042</v>
      </c>
      <c r="U33">
        <v>430.89000000000033</v>
      </c>
      <c r="V33">
        <v>469.29000000000042</v>
      </c>
      <c r="W33">
        <v>524.29000000000042</v>
      </c>
      <c r="X33">
        <v>608.69000000000005</v>
      </c>
      <c r="Y33">
        <v>393.09000000000015</v>
      </c>
      <c r="Z33">
        <v>366.89000000000033</v>
      </c>
      <c r="AA33">
        <v>270.09000000000015</v>
      </c>
      <c r="AB33">
        <v>125.89000000000033</v>
      </c>
      <c r="AC33">
        <v>119.49000000000069</v>
      </c>
      <c r="AD33">
        <v>150.49000000000069</v>
      </c>
      <c r="AE33">
        <v>109.89000000000033</v>
      </c>
      <c r="AF33">
        <v>122.28999999999996</v>
      </c>
      <c r="AG33">
        <v>74.690000000000509</v>
      </c>
      <c r="AH33">
        <v>-7.9099999999998545</v>
      </c>
      <c r="AI33">
        <v>-7.9200000000000728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H33"/>
  <sheetViews>
    <sheetView workbookViewId="0">
      <selection activeCell="J35" sqref="J35"/>
    </sheetView>
  </sheetViews>
  <sheetFormatPr defaultRowHeight="13.5"/>
  <sheetData>
    <row r="1" spans="1:34">
      <c r="A1" t="s">
        <v>0</v>
      </c>
      <c r="B1" s="11">
        <v>43179</v>
      </c>
      <c r="C1" s="11">
        <v>43178</v>
      </c>
      <c r="D1" s="11">
        <v>43175</v>
      </c>
      <c r="E1" s="11">
        <v>43174</v>
      </c>
      <c r="F1" s="11">
        <v>43173</v>
      </c>
      <c r="G1" s="11">
        <v>43172</v>
      </c>
      <c r="H1" s="11">
        <v>43171</v>
      </c>
      <c r="I1" s="11">
        <v>43168</v>
      </c>
      <c r="J1" s="11">
        <v>43167</v>
      </c>
      <c r="K1" s="11">
        <v>43166</v>
      </c>
      <c r="L1" s="11">
        <v>43165</v>
      </c>
      <c r="M1" s="11">
        <v>43164</v>
      </c>
      <c r="N1" s="11">
        <v>43161</v>
      </c>
      <c r="O1" s="11">
        <v>43160</v>
      </c>
      <c r="P1" s="11">
        <v>43159</v>
      </c>
      <c r="Q1" s="11">
        <v>43158</v>
      </c>
      <c r="R1" s="11">
        <v>43157</v>
      </c>
      <c r="S1" s="11">
        <v>43154</v>
      </c>
      <c r="T1" s="11">
        <v>43153</v>
      </c>
      <c r="U1" s="11">
        <v>43145</v>
      </c>
      <c r="V1" s="11">
        <v>43144</v>
      </c>
      <c r="W1" s="11">
        <v>43143</v>
      </c>
      <c r="X1" s="11">
        <v>43140</v>
      </c>
      <c r="Y1" s="11">
        <v>43139</v>
      </c>
      <c r="Z1" s="11">
        <v>43138</v>
      </c>
      <c r="AA1" s="11">
        <v>43137</v>
      </c>
      <c r="AB1" s="11">
        <v>43136</v>
      </c>
      <c r="AC1" s="11">
        <v>43133</v>
      </c>
      <c r="AD1" s="11">
        <v>43132</v>
      </c>
      <c r="AE1" s="11">
        <v>43131</v>
      </c>
      <c r="AF1" s="11">
        <v>43130</v>
      </c>
      <c r="AG1" s="11">
        <v>43129</v>
      </c>
      <c r="AH1" s="11">
        <v>43126</v>
      </c>
    </row>
    <row r="2" spans="1:34">
      <c r="A2" t="s">
        <v>5</v>
      </c>
      <c r="B2">
        <v>193</v>
      </c>
      <c r="C2">
        <v>180</v>
      </c>
      <c r="D2">
        <v>125.5</v>
      </c>
      <c r="E2">
        <v>172.5</v>
      </c>
      <c r="F2">
        <v>148.5</v>
      </c>
      <c r="G2">
        <v>135</v>
      </c>
      <c r="H2">
        <v>133</v>
      </c>
      <c r="I2">
        <v>105</v>
      </c>
      <c r="J2">
        <v>-6</v>
      </c>
      <c r="K2">
        <v>-44</v>
      </c>
      <c r="L2">
        <v>-52.5</v>
      </c>
      <c r="M2">
        <v>-2</v>
      </c>
      <c r="N2">
        <v>-77.5</v>
      </c>
      <c r="O2">
        <v>-84</v>
      </c>
      <c r="P2">
        <v>-80.5</v>
      </c>
      <c r="Q2">
        <v>-97</v>
      </c>
      <c r="R2">
        <v>-111</v>
      </c>
      <c r="S2">
        <v>-55</v>
      </c>
      <c r="T2">
        <v>-121</v>
      </c>
      <c r="U2">
        <v>-91</v>
      </c>
      <c r="V2">
        <v>-74</v>
      </c>
      <c r="W2">
        <v>-81</v>
      </c>
      <c r="X2">
        <v>-92</v>
      </c>
      <c r="Y2">
        <v>-121</v>
      </c>
      <c r="Z2">
        <v>-125.5</v>
      </c>
      <c r="AA2">
        <v>-96.5</v>
      </c>
      <c r="AB2">
        <v>-94.5</v>
      </c>
      <c r="AC2">
        <v>-39.5</v>
      </c>
      <c r="AD2">
        <v>20</v>
      </c>
      <c r="AE2">
        <v>106.5</v>
      </c>
      <c r="AF2">
        <v>96.5</v>
      </c>
      <c r="AG2">
        <v>68</v>
      </c>
      <c r="AH2">
        <v>74.5</v>
      </c>
    </row>
    <row r="3" spans="1:34">
      <c r="A3" t="s">
        <v>7</v>
      </c>
      <c r="B3">
        <v>181.5</v>
      </c>
      <c r="C3">
        <v>180</v>
      </c>
      <c r="D3">
        <v>154</v>
      </c>
      <c r="E3">
        <v>160</v>
      </c>
      <c r="F3">
        <v>143</v>
      </c>
      <c r="G3">
        <v>160</v>
      </c>
      <c r="H3">
        <v>150.5</v>
      </c>
      <c r="I3">
        <v>140</v>
      </c>
      <c r="J3">
        <v>107.5</v>
      </c>
      <c r="K3">
        <v>79</v>
      </c>
      <c r="L3">
        <v>71.5</v>
      </c>
      <c r="M3">
        <v>83.5</v>
      </c>
      <c r="N3">
        <v>61.5</v>
      </c>
      <c r="O3">
        <v>50</v>
      </c>
      <c r="P3">
        <v>50</v>
      </c>
      <c r="Q3">
        <v>41</v>
      </c>
      <c r="R3">
        <v>16.5</v>
      </c>
      <c r="S3">
        <v>31</v>
      </c>
      <c r="T3">
        <v>53</v>
      </c>
      <c r="U3">
        <v>55.5</v>
      </c>
      <c r="V3">
        <v>66.5</v>
      </c>
      <c r="W3">
        <v>62.5</v>
      </c>
      <c r="X3">
        <v>65</v>
      </c>
      <c r="Y3">
        <v>56.5</v>
      </c>
      <c r="Z3">
        <v>57.5</v>
      </c>
      <c r="AA3">
        <v>68.5</v>
      </c>
      <c r="AB3">
        <v>58.5</v>
      </c>
      <c r="AC3">
        <v>40</v>
      </c>
      <c r="AD3">
        <v>67</v>
      </c>
      <c r="AE3">
        <v>42.5</v>
      </c>
      <c r="AF3">
        <v>39</v>
      </c>
      <c r="AG3">
        <v>94.5</v>
      </c>
      <c r="AH3">
        <v>98.5</v>
      </c>
    </row>
    <row r="4" spans="1:34">
      <c r="A4" t="s">
        <v>4</v>
      </c>
      <c r="B4">
        <v>55</v>
      </c>
      <c r="C4">
        <v>40.600000000000023</v>
      </c>
      <c r="D4">
        <v>35.799999999999955</v>
      </c>
      <c r="E4">
        <v>34.399999999999977</v>
      </c>
      <c r="F4">
        <v>37.199999999999932</v>
      </c>
      <c r="G4">
        <v>41</v>
      </c>
      <c r="H4">
        <v>41.600000000000023</v>
      </c>
      <c r="I4">
        <v>42.799999999999955</v>
      </c>
      <c r="J4">
        <v>42.600000000000023</v>
      </c>
      <c r="K4">
        <v>49</v>
      </c>
      <c r="L4">
        <v>53.600000000000023</v>
      </c>
      <c r="M4">
        <v>65.600000000000023</v>
      </c>
      <c r="N4">
        <v>69</v>
      </c>
      <c r="O4">
        <v>81.399999999999977</v>
      </c>
      <c r="P4">
        <v>89.600000000000023</v>
      </c>
      <c r="Q4">
        <v>105.60000000000002</v>
      </c>
      <c r="R4">
        <v>111.39999999999998</v>
      </c>
      <c r="S4">
        <v>118.60000000000002</v>
      </c>
      <c r="T4">
        <v>124.60000000000002</v>
      </c>
      <c r="U4">
        <v>130</v>
      </c>
      <c r="V4">
        <v>130.39999999999998</v>
      </c>
      <c r="W4">
        <v>136</v>
      </c>
      <c r="X4">
        <v>132</v>
      </c>
      <c r="Y4">
        <v>132.60000000000002</v>
      </c>
      <c r="Z4">
        <v>130.19999999999993</v>
      </c>
      <c r="AA4">
        <v>145.60000000000002</v>
      </c>
      <c r="AB4">
        <v>143.19999999999993</v>
      </c>
      <c r="AC4">
        <v>141.39999999999998</v>
      </c>
      <c r="AD4">
        <v>135</v>
      </c>
      <c r="AE4">
        <v>131.39999999999998</v>
      </c>
      <c r="AF4">
        <v>130</v>
      </c>
      <c r="AG4">
        <v>113.39999999999998</v>
      </c>
      <c r="AH4">
        <v>118.39999999999998</v>
      </c>
    </row>
    <row r="5" spans="1:34">
      <c r="A5" t="s">
        <v>20</v>
      </c>
      <c r="B5">
        <v>16.800000000000011</v>
      </c>
      <c r="C5">
        <v>33.100000000000023</v>
      </c>
      <c r="D5">
        <v>13.300000000000011</v>
      </c>
      <c r="E5">
        <v>2.8000000000000114</v>
      </c>
      <c r="F5">
        <v>-5.6999999999999886</v>
      </c>
      <c r="G5">
        <v>6.8000000000000114</v>
      </c>
      <c r="H5">
        <v>16.899999999999977</v>
      </c>
      <c r="I5">
        <v>29</v>
      </c>
      <c r="J5">
        <v>24.5</v>
      </c>
      <c r="K5">
        <v>16</v>
      </c>
      <c r="L5">
        <v>23.5</v>
      </c>
      <c r="M5">
        <v>22.5</v>
      </c>
      <c r="N5">
        <v>9</v>
      </c>
      <c r="O5">
        <v>7</v>
      </c>
      <c r="P5">
        <v>10.100000000000023</v>
      </c>
      <c r="Q5">
        <v>13.200000000000045</v>
      </c>
      <c r="R5">
        <v>5.8999999999999773</v>
      </c>
      <c r="S5">
        <v>-1.7000000000000455</v>
      </c>
      <c r="T5">
        <v>0.20000000000004547</v>
      </c>
      <c r="U5">
        <v>0.20000000000004547</v>
      </c>
      <c r="V5">
        <v>15.200000000000045</v>
      </c>
      <c r="W5">
        <v>10.899999999999977</v>
      </c>
      <c r="X5">
        <v>9.3999999999999773</v>
      </c>
      <c r="Y5">
        <v>8.3999999999999773</v>
      </c>
      <c r="Z5">
        <v>5.3999999999999773</v>
      </c>
      <c r="AA5">
        <v>-4.3999999999999773</v>
      </c>
      <c r="AB5">
        <v>6.1000000000000227</v>
      </c>
      <c r="AC5">
        <v>2.7999999999999545</v>
      </c>
      <c r="AD5">
        <v>9.2000000000000455</v>
      </c>
      <c r="AE5">
        <v>-9.6000000000000227</v>
      </c>
      <c r="AF5">
        <v>-9.6000000000000227</v>
      </c>
      <c r="AG5">
        <v>-12.799999999999955</v>
      </c>
      <c r="AH5">
        <v>-6.3999999999999773</v>
      </c>
    </row>
    <row r="6" spans="1:34">
      <c r="A6" t="s">
        <v>12</v>
      </c>
      <c r="B6">
        <v>417.59999999999991</v>
      </c>
      <c r="C6">
        <v>457</v>
      </c>
      <c r="D6">
        <v>397</v>
      </c>
      <c r="E6">
        <v>359</v>
      </c>
      <c r="F6">
        <v>359</v>
      </c>
      <c r="G6">
        <v>398</v>
      </c>
      <c r="H6">
        <v>378</v>
      </c>
      <c r="I6">
        <v>337</v>
      </c>
      <c r="J6">
        <v>336</v>
      </c>
      <c r="K6">
        <v>318</v>
      </c>
      <c r="L6">
        <v>313</v>
      </c>
      <c r="M6">
        <v>380</v>
      </c>
      <c r="N6">
        <v>346</v>
      </c>
      <c r="O6">
        <v>356</v>
      </c>
      <c r="P6">
        <v>355</v>
      </c>
      <c r="Q6">
        <v>343</v>
      </c>
      <c r="R6">
        <v>316</v>
      </c>
      <c r="S6">
        <v>165</v>
      </c>
      <c r="T6">
        <v>257</v>
      </c>
      <c r="U6">
        <v>215</v>
      </c>
      <c r="V6">
        <v>228</v>
      </c>
      <c r="W6">
        <v>244</v>
      </c>
      <c r="X6">
        <v>254</v>
      </c>
      <c r="Y6">
        <v>220</v>
      </c>
      <c r="Z6">
        <v>231</v>
      </c>
      <c r="AA6">
        <v>228</v>
      </c>
      <c r="AB6">
        <v>210</v>
      </c>
      <c r="AC6">
        <v>226</v>
      </c>
      <c r="AD6">
        <v>258</v>
      </c>
      <c r="AE6">
        <v>251</v>
      </c>
      <c r="AF6">
        <v>247</v>
      </c>
      <c r="AG6">
        <v>227</v>
      </c>
      <c r="AH6">
        <v>235</v>
      </c>
    </row>
    <row r="7" spans="1:34">
      <c r="A7" t="s">
        <v>9</v>
      </c>
      <c r="B7">
        <v>255</v>
      </c>
      <c r="C7">
        <v>278</v>
      </c>
      <c r="D7">
        <v>209</v>
      </c>
      <c r="E7">
        <v>196</v>
      </c>
      <c r="F7">
        <v>200</v>
      </c>
      <c r="G7">
        <v>200</v>
      </c>
      <c r="H7">
        <v>148</v>
      </c>
      <c r="I7">
        <v>164</v>
      </c>
      <c r="J7">
        <v>124</v>
      </c>
      <c r="K7">
        <v>178</v>
      </c>
      <c r="L7">
        <v>138</v>
      </c>
      <c r="M7">
        <v>145</v>
      </c>
      <c r="N7">
        <v>167</v>
      </c>
      <c r="O7">
        <v>187</v>
      </c>
      <c r="P7">
        <v>188</v>
      </c>
      <c r="Q7">
        <v>183</v>
      </c>
      <c r="R7">
        <v>190</v>
      </c>
      <c r="S7">
        <v>270</v>
      </c>
      <c r="T7">
        <v>221</v>
      </c>
      <c r="U7">
        <v>162</v>
      </c>
      <c r="V7">
        <v>165</v>
      </c>
      <c r="W7">
        <v>165</v>
      </c>
      <c r="X7">
        <v>168</v>
      </c>
      <c r="Y7">
        <v>152</v>
      </c>
      <c r="Z7">
        <v>155</v>
      </c>
      <c r="AA7">
        <v>155</v>
      </c>
      <c r="AB7">
        <v>155</v>
      </c>
      <c r="AC7">
        <v>155</v>
      </c>
      <c r="AD7">
        <v>182</v>
      </c>
      <c r="AE7">
        <v>227</v>
      </c>
      <c r="AF7">
        <v>227</v>
      </c>
      <c r="AG7">
        <v>254</v>
      </c>
      <c r="AH7">
        <v>254</v>
      </c>
    </row>
    <row r="8" spans="1:34">
      <c r="A8" t="s">
        <v>31</v>
      </c>
      <c r="B8">
        <v>-1195</v>
      </c>
      <c r="C8">
        <v>-1170</v>
      </c>
      <c r="D8">
        <v>-1200</v>
      </c>
      <c r="E8">
        <v>-1175</v>
      </c>
      <c r="F8">
        <v>-1195</v>
      </c>
      <c r="G8">
        <v>-1205</v>
      </c>
      <c r="H8">
        <v>-1215</v>
      </c>
      <c r="I8">
        <v>-1220</v>
      </c>
      <c r="J8">
        <v>-1165</v>
      </c>
      <c r="K8">
        <v>-1180</v>
      </c>
      <c r="L8">
        <v>-1160</v>
      </c>
      <c r="M8">
        <v>-1160</v>
      </c>
      <c r="N8">
        <v>-1150</v>
      </c>
      <c r="O8">
        <v>-1145</v>
      </c>
      <c r="P8">
        <v>-1155</v>
      </c>
      <c r="Q8">
        <v>-1295</v>
      </c>
      <c r="R8">
        <v>-1295</v>
      </c>
      <c r="S8">
        <v>-1295</v>
      </c>
      <c r="T8">
        <v>-1375</v>
      </c>
      <c r="U8">
        <v>-1350</v>
      </c>
      <c r="V8">
        <v>-1290</v>
      </c>
      <c r="W8">
        <v>-1390</v>
      </c>
      <c r="X8">
        <v>-1380</v>
      </c>
      <c r="Y8">
        <v>-1380</v>
      </c>
      <c r="Z8">
        <v>-1570</v>
      </c>
      <c r="AA8">
        <v>-1570</v>
      </c>
      <c r="AB8">
        <v>-1630</v>
      </c>
      <c r="AC8">
        <v>-1835</v>
      </c>
      <c r="AD8">
        <v>-1765</v>
      </c>
      <c r="AE8">
        <v>-1855</v>
      </c>
      <c r="AF8">
        <v>-1995</v>
      </c>
      <c r="AG8">
        <v>-2060</v>
      </c>
      <c r="AH8">
        <v>-2055</v>
      </c>
    </row>
    <row r="9" spans="1:34">
      <c r="A9" t="s">
        <v>17</v>
      </c>
      <c r="B9">
        <v>112</v>
      </c>
      <c r="C9">
        <v>84</v>
      </c>
      <c r="D9">
        <v>85</v>
      </c>
      <c r="E9">
        <v>94</v>
      </c>
      <c r="F9">
        <v>76</v>
      </c>
      <c r="G9">
        <v>26</v>
      </c>
      <c r="H9">
        <v>30</v>
      </c>
      <c r="I9">
        <v>27</v>
      </c>
      <c r="J9">
        <v>-7</v>
      </c>
      <c r="K9">
        <v>-21</v>
      </c>
      <c r="L9">
        <v>-23</v>
      </c>
      <c r="M9">
        <v>-29</v>
      </c>
      <c r="N9">
        <v>-43</v>
      </c>
      <c r="O9">
        <v>-43</v>
      </c>
      <c r="P9">
        <v>-39</v>
      </c>
      <c r="Q9">
        <v>-39</v>
      </c>
      <c r="R9">
        <v>-69</v>
      </c>
      <c r="S9">
        <v>-69</v>
      </c>
      <c r="T9">
        <v>-42</v>
      </c>
      <c r="U9">
        <v>-52</v>
      </c>
      <c r="V9">
        <v>-35</v>
      </c>
      <c r="W9">
        <v>-30</v>
      </c>
      <c r="X9">
        <v>-45</v>
      </c>
      <c r="Y9">
        <v>-59</v>
      </c>
      <c r="Z9">
        <v>-75</v>
      </c>
      <c r="AA9">
        <v>-71</v>
      </c>
      <c r="AB9">
        <v>-71</v>
      </c>
      <c r="AC9">
        <v>-73</v>
      </c>
      <c r="AD9">
        <v>-56</v>
      </c>
      <c r="AE9">
        <v>-63</v>
      </c>
      <c r="AF9">
        <v>-73</v>
      </c>
      <c r="AG9">
        <v>-76</v>
      </c>
      <c r="AH9">
        <v>-52</v>
      </c>
    </row>
    <row r="10" spans="1:34">
      <c r="A10" t="s">
        <v>32</v>
      </c>
      <c r="B10">
        <v>-180</v>
      </c>
      <c r="C10">
        <v>-125</v>
      </c>
      <c r="D10">
        <v>-130</v>
      </c>
      <c r="E10">
        <v>-125</v>
      </c>
      <c r="F10">
        <v>-130</v>
      </c>
      <c r="G10">
        <v>-100</v>
      </c>
      <c r="H10">
        <v>-40</v>
      </c>
      <c r="I10">
        <v>-110</v>
      </c>
      <c r="J10">
        <v>75</v>
      </c>
      <c r="K10">
        <v>-70</v>
      </c>
      <c r="L10">
        <v>-85</v>
      </c>
      <c r="M10">
        <v>-35</v>
      </c>
      <c r="N10">
        <v>-155</v>
      </c>
      <c r="O10">
        <v>-125</v>
      </c>
      <c r="P10">
        <v>-65</v>
      </c>
      <c r="Q10">
        <v>-45</v>
      </c>
      <c r="R10">
        <v>-95</v>
      </c>
      <c r="S10">
        <v>-10</v>
      </c>
      <c r="T10">
        <v>-115</v>
      </c>
      <c r="U10">
        <v>-125</v>
      </c>
      <c r="V10">
        <v>-120</v>
      </c>
      <c r="W10">
        <v>-25</v>
      </c>
      <c r="X10">
        <v>-85</v>
      </c>
      <c r="Y10">
        <v>-130</v>
      </c>
      <c r="Z10">
        <v>-155</v>
      </c>
      <c r="AA10">
        <v>-65</v>
      </c>
      <c r="AB10">
        <v>-125</v>
      </c>
      <c r="AC10">
        <v>-150</v>
      </c>
      <c r="AD10">
        <v>-20</v>
      </c>
      <c r="AE10">
        <v>-205</v>
      </c>
      <c r="AF10">
        <v>-140</v>
      </c>
      <c r="AG10">
        <v>-160</v>
      </c>
      <c r="AH10">
        <v>-315</v>
      </c>
    </row>
    <row r="11" spans="1:34">
      <c r="A11" t="s">
        <v>21</v>
      </c>
      <c r="B11">
        <v>-60</v>
      </c>
      <c r="C11">
        <v>-75</v>
      </c>
      <c r="D11">
        <v>-145</v>
      </c>
      <c r="E11">
        <v>-155</v>
      </c>
      <c r="F11">
        <v>-130</v>
      </c>
      <c r="G11">
        <v>-170</v>
      </c>
      <c r="H11">
        <v>-200</v>
      </c>
      <c r="I11">
        <v>-155</v>
      </c>
      <c r="J11">
        <v>-170</v>
      </c>
      <c r="K11">
        <v>-130</v>
      </c>
      <c r="L11">
        <v>-165</v>
      </c>
      <c r="M11">
        <v>-150</v>
      </c>
      <c r="N11">
        <v>-50</v>
      </c>
      <c r="O11">
        <v>-45</v>
      </c>
      <c r="P11">
        <v>-30</v>
      </c>
      <c r="Q11">
        <v>-45</v>
      </c>
      <c r="R11">
        <v>0</v>
      </c>
      <c r="S11">
        <v>85</v>
      </c>
      <c r="T11">
        <v>50</v>
      </c>
      <c r="U11">
        <v>120</v>
      </c>
      <c r="V11">
        <v>115</v>
      </c>
      <c r="W11">
        <v>90</v>
      </c>
      <c r="X11">
        <v>85</v>
      </c>
      <c r="Y11">
        <v>95</v>
      </c>
      <c r="Z11">
        <v>125</v>
      </c>
      <c r="AA11">
        <v>100</v>
      </c>
      <c r="AB11">
        <v>45</v>
      </c>
      <c r="AC11">
        <v>67</v>
      </c>
      <c r="AD11">
        <v>60</v>
      </c>
      <c r="AE11">
        <v>60</v>
      </c>
      <c r="AF11">
        <v>140</v>
      </c>
      <c r="AG11">
        <v>35</v>
      </c>
      <c r="AH11">
        <v>-50</v>
      </c>
    </row>
    <row r="12" spans="1:34">
      <c r="A12" t="s">
        <v>33</v>
      </c>
      <c r="B12">
        <v>-308</v>
      </c>
      <c r="C12">
        <v>-292</v>
      </c>
      <c r="D12">
        <v>-262</v>
      </c>
      <c r="E12">
        <v>-222</v>
      </c>
      <c r="F12">
        <v>-258</v>
      </c>
      <c r="G12">
        <v>-239</v>
      </c>
      <c r="H12">
        <v>-283</v>
      </c>
      <c r="I12">
        <v>-227</v>
      </c>
      <c r="J12">
        <v>-258</v>
      </c>
      <c r="K12">
        <v>-250</v>
      </c>
      <c r="L12">
        <v>-238</v>
      </c>
      <c r="M12">
        <v>-216</v>
      </c>
      <c r="N12">
        <v>-155</v>
      </c>
      <c r="O12">
        <v>-165</v>
      </c>
      <c r="P12">
        <v>-117</v>
      </c>
      <c r="Q12">
        <v>-143</v>
      </c>
      <c r="R12">
        <v>-148</v>
      </c>
      <c r="S12">
        <v>-129</v>
      </c>
      <c r="T12">
        <v>-111</v>
      </c>
      <c r="U12">
        <v>-45</v>
      </c>
      <c r="V12">
        <v>-49</v>
      </c>
      <c r="W12">
        <v>-47</v>
      </c>
      <c r="X12">
        <v>-47</v>
      </c>
      <c r="Y12">
        <v>-59</v>
      </c>
      <c r="Z12">
        <v>-54</v>
      </c>
      <c r="AA12">
        <v>-16</v>
      </c>
      <c r="AB12">
        <v>-75</v>
      </c>
      <c r="AC12">
        <v>-42</v>
      </c>
      <c r="AD12">
        <v>-59</v>
      </c>
      <c r="AE12">
        <v>-32</v>
      </c>
      <c r="AF12">
        <v>0</v>
      </c>
      <c r="AG12">
        <v>-53</v>
      </c>
      <c r="AH12">
        <v>-135</v>
      </c>
    </row>
    <row r="13" spans="1:34">
      <c r="A13" t="s">
        <v>13</v>
      </c>
      <c r="B13">
        <v>80</v>
      </c>
      <c r="C13">
        <v>97</v>
      </c>
      <c r="D13">
        <v>126</v>
      </c>
      <c r="E13">
        <v>174</v>
      </c>
      <c r="F13">
        <v>146</v>
      </c>
      <c r="G13">
        <v>110</v>
      </c>
      <c r="H13">
        <v>170</v>
      </c>
      <c r="I13">
        <v>168</v>
      </c>
      <c r="J13">
        <v>275</v>
      </c>
      <c r="K13">
        <v>302</v>
      </c>
      <c r="L13">
        <v>323</v>
      </c>
      <c r="M13">
        <v>306</v>
      </c>
      <c r="N13">
        <v>342</v>
      </c>
      <c r="O13">
        <v>239</v>
      </c>
      <c r="P13">
        <v>263</v>
      </c>
      <c r="Q13">
        <v>287</v>
      </c>
      <c r="R13">
        <v>312</v>
      </c>
      <c r="S13">
        <v>298</v>
      </c>
      <c r="T13">
        <v>309</v>
      </c>
      <c r="U13">
        <v>86</v>
      </c>
      <c r="V13">
        <v>98</v>
      </c>
      <c r="W13">
        <v>78</v>
      </c>
      <c r="X13">
        <v>46</v>
      </c>
      <c r="Y13">
        <v>30</v>
      </c>
      <c r="Z13">
        <v>38</v>
      </c>
      <c r="AA13">
        <v>-6</v>
      </c>
      <c r="AB13">
        <v>-19</v>
      </c>
      <c r="AC13">
        <v>0</v>
      </c>
      <c r="AD13">
        <v>14</v>
      </c>
      <c r="AE13">
        <v>-35</v>
      </c>
      <c r="AF13">
        <v>-65</v>
      </c>
      <c r="AG13">
        <v>-34</v>
      </c>
      <c r="AH13">
        <v>-35</v>
      </c>
    </row>
    <row r="14" spans="1:34">
      <c r="A14" t="s">
        <v>26</v>
      </c>
      <c r="B14">
        <v>-97</v>
      </c>
      <c r="C14">
        <v>-79</v>
      </c>
      <c r="D14">
        <v>-66</v>
      </c>
      <c r="E14">
        <v>-36</v>
      </c>
      <c r="F14">
        <v>-26</v>
      </c>
      <c r="G14">
        <v>-10</v>
      </c>
      <c r="H14">
        <v>-80</v>
      </c>
      <c r="I14">
        <v>-42</v>
      </c>
      <c r="J14">
        <v>-50</v>
      </c>
      <c r="K14">
        <v>-50</v>
      </c>
      <c r="L14">
        <v>-72</v>
      </c>
      <c r="M14">
        <v>-56</v>
      </c>
      <c r="N14">
        <v>-92</v>
      </c>
      <c r="O14">
        <v>-106</v>
      </c>
      <c r="P14">
        <v>-120</v>
      </c>
      <c r="Q14">
        <v>-106</v>
      </c>
      <c r="R14">
        <v>-116</v>
      </c>
      <c r="S14">
        <v>-104</v>
      </c>
      <c r="T14">
        <v>-46</v>
      </c>
      <c r="U14">
        <v>-18</v>
      </c>
      <c r="V14">
        <v>-28</v>
      </c>
      <c r="W14">
        <v>-48</v>
      </c>
      <c r="X14">
        <v>-88</v>
      </c>
      <c r="Y14">
        <v>-122</v>
      </c>
      <c r="Z14">
        <v>-216</v>
      </c>
      <c r="AA14">
        <v>-210</v>
      </c>
      <c r="AB14">
        <v>-268</v>
      </c>
      <c r="AC14">
        <v>-332</v>
      </c>
      <c r="AD14">
        <v>-326</v>
      </c>
      <c r="AE14">
        <v>-350</v>
      </c>
      <c r="AF14">
        <v>-340</v>
      </c>
      <c r="AG14">
        <v>-376</v>
      </c>
      <c r="AH14">
        <v>-516</v>
      </c>
    </row>
    <row r="15" spans="1:34">
      <c r="A15" t="s">
        <v>6</v>
      </c>
      <c r="B15">
        <v>195</v>
      </c>
      <c r="C15">
        <v>142</v>
      </c>
      <c r="D15">
        <v>187</v>
      </c>
      <c r="E15">
        <v>113</v>
      </c>
      <c r="F15">
        <v>33</v>
      </c>
      <c r="G15">
        <v>4</v>
      </c>
      <c r="H15">
        <v>1</v>
      </c>
      <c r="I15">
        <v>-208</v>
      </c>
      <c r="J15">
        <v>-187</v>
      </c>
      <c r="K15">
        <v>-148</v>
      </c>
      <c r="L15">
        <v>-145</v>
      </c>
      <c r="M15">
        <v>-86</v>
      </c>
      <c r="N15">
        <v>-71</v>
      </c>
      <c r="O15">
        <v>0</v>
      </c>
      <c r="P15">
        <v>39</v>
      </c>
      <c r="Q15">
        <v>50</v>
      </c>
      <c r="R15">
        <v>91</v>
      </c>
      <c r="S15">
        <v>68</v>
      </c>
      <c r="T15">
        <v>159</v>
      </c>
      <c r="U15">
        <v>164</v>
      </c>
      <c r="V15">
        <v>169</v>
      </c>
      <c r="W15">
        <v>160</v>
      </c>
      <c r="X15">
        <v>128</v>
      </c>
      <c r="Y15">
        <v>113</v>
      </c>
      <c r="Z15">
        <v>117</v>
      </c>
      <c r="AA15">
        <v>113</v>
      </c>
      <c r="AB15">
        <v>236</v>
      </c>
      <c r="AC15">
        <v>250</v>
      </c>
      <c r="AD15">
        <v>288</v>
      </c>
      <c r="AE15">
        <v>283</v>
      </c>
      <c r="AF15">
        <v>265</v>
      </c>
      <c r="AG15">
        <v>345</v>
      </c>
      <c r="AH15">
        <v>356</v>
      </c>
    </row>
    <row r="16" spans="1:34">
      <c r="A16" t="s">
        <v>15</v>
      </c>
      <c r="B16">
        <v>-101</v>
      </c>
      <c r="C16">
        <v>-113</v>
      </c>
      <c r="D16">
        <v>-109</v>
      </c>
      <c r="E16">
        <v>-63</v>
      </c>
      <c r="F16">
        <v>-54</v>
      </c>
      <c r="G16">
        <v>-49</v>
      </c>
      <c r="H16">
        <v>-39</v>
      </c>
      <c r="I16">
        <v>-52</v>
      </c>
      <c r="J16">
        <v>-101</v>
      </c>
      <c r="K16">
        <v>-88</v>
      </c>
      <c r="L16">
        <v>-104</v>
      </c>
      <c r="M16">
        <v>-100</v>
      </c>
      <c r="N16">
        <v>-105</v>
      </c>
      <c r="O16">
        <v>-97</v>
      </c>
      <c r="P16">
        <v>-87</v>
      </c>
      <c r="Q16">
        <v>-73</v>
      </c>
      <c r="R16">
        <v>-60</v>
      </c>
      <c r="S16">
        <v>-46</v>
      </c>
      <c r="T16">
        <v>-32</v>
      </c>
      <c r="U16">
        <v>15</v>
      </c>
      <c r="V16">
        <v>18</v>
      </c>
      <c r="W16">
        <v>23</v>
      </c>
      <c r="X16">
        <v>24</v>
      </c>
      <c r="Y16">
        <v>44</v>
      </c>
      <c r="Z16">
        <v>63</v>
      </c>
      <c r="AA16">
        <v>75</v>
      </c>
      <c r="AB16">
        <v>79</v>
      </c>
      <c r="AC16">
        <v>96</v>
      </c>
      <c r="AD16">
        <v>93</v>
      </c>
      <c r="AE16">
        <v>43</v>
      </c>
      <c r="AF16">
        <v>38</v>
      </c>
      <c r="AG16">
        <v>40</v>
      </c>
      <c r="AH16">
        <v>43</v>
      </c>
    </row>
    <row r="17" spans="1:34">
      <c r="A17" t="s">
        <v>11</v>
      </c>
      <c r="B17">
        <v>121</v>
      </c>
      <c r="C17">
        <v>167</v>
      </c>
      <c r="D17">
        <v>124</v>
      </c>
      <c r="E17">
        <v>145</v>
      </c>
      <c r="F17">
        <v>162</v>
      </c>
      <c r="G17">
        <v>166</v>
      </c>
      <c r="H17">
        <v>167</v>
      </c>
      <c r="I17">
        <v>169</v>
      </c>
      <c r="J17">
        <v>149</v>
      </c>
      <c r="K17">
        <v>159</v>
      </c>
      <c r="L17">
        <v>163</v>
      </c>
      <c r="M17">
        <v>203</v>
      </c>
      <c r="N17">
        <v>161</v>
      </c>
      <c r="O17">
        <v>119</v>
      </c>
      <c r="P17">
        <v>112</v>
      </c>
      <c r="Q17">
        <v>134</v>
      </c>
      <c r="R17">
        <v>127</v>
      </c>
      <c r="S17">
        <v>89</v>
      </c>
      <c r="T17">
        <v>0</v>
      </c>
      <c r="U17">
        <v>83</v>
      </c>
      <c r="V17">
        <v>99</v>
      </c>
      <c r="W17">
        <v>55</v>
      </c>
      <c r="X17">
        <v>96</v>
      </c>
      <c r="Y17">
        <v>82</v>
      </c>
      <c r="Z17">
        <v>81</v>
      </c>
      <c r="AA17">
        <v>79</v>
      </c>
      <c r="AB17">
        <v>84</v>
      </c>
      <c r="AC17">
        <v>91</v>
      </c>
      <c r="AD17">
        <v>85</v>
      </c>
      <c r="AE17">
        <v>60</v>
      </c>
      <c r="AF17">
        <v>62</v>
      </c>
      <c r="AG17">
        <v>37</v>
      </c>
      <c r="AH17">
        <v>69</v>
      </c>
    </row>
    <row r="18" spans="1:34">
      <c r="A18" t="s">
        <v>23</v>
      </c>
      <c r="B18">
        <v>-7</v>
      </c>
      <c r="C18">
        <v>-20</v>
      </c>
      <c r="D18">
        <v>1</v>
      </c>
      <c r="E18">
        <v>36</v>
      </c>
      <c r="F18">
        <v>41</v>
      </c>
      <c r="G18">
        <v>13</v>
      </c>
      <c r="H18">
        <v>19</v>
      </c>
      <c r="I18">
        <v>13</v>
      </c>
      <c r="J18">
        <v>14</v>
      </c>
      <c r="K18">
        <v>14</v>
      </c>
      <c r="L18">
        <v>14</v>
      </c>
      <c r="M18">
        <v>36</v>
      </c>
      <c r="N18">
        <v>32</v>
      </c>
      <c r="O18">
        <v>-7</v>
      </c>
      <c r="P18">
        <v>-3</v>
      </c>
      <c r="Q18">
        <v>-2</v>
      </c>
      <c r="R18">
        <v>1</v>
      </c>
      <c r="S18">
        <v>-7</v>
      </c>
      <c r="T18">
        <v>-147</v>
      </c>
      <c r="U18">
        <v>-85</v>
      </c>
      <c r="V18">
        <v>-75</v>
      </c>
      <c r="W18">
        <v>-80</v>
      </c>
      <c r="X18">
        <v>-43</v>
      </c>
      <c r="Y18">
        <v>-38</v>
      </c>
      <c r="Z18">
        <v>-36</v>
      </c>
      <c r="AA18">
        <v>-37</v>
      </c>
      <c r="AB18">
        <v>-33</v>
      </c>
      <c r="AC18">
        <v>-47</v>
      </c>
      <c r="AD18">
        <v>-53</v>
      </c>
      <c r="AE18">
        <v>-53</v>
      </c>
      <c r="AF18">
        <v>-61</v>
      </c>
      <c r="AG18">
        <v>-49</v>
      </c>
      <c r="AH18">
        <v>-62</v>
      </c>
    </row>
    <row r="19" spans="1:34">
      <c r="A19" t="s">
        <v>14</v>
      </c>
      <c r="B19">
        <v>180</v>
      </c>
      <c r="C19">
        <v>165</v>
      </c>
      <c r="D19">
        <v>160</v>
      </c>
      <c r="E19">
        <v>166</v>
      </c>
      <c r="F19">
        <v>174</v>
      </c>
      <c r="G19">
        <v>180</v>
      </c>
      <c r="H19">
        <v>183</v>
      </c>
      <c r="I19">
        <v>189</v>
      </c>
      <c r="J19">
        <v>180</v>
      </c>
      <c r="K19">
        <v>163</v>
      </c>
      <c r="L19">
        <v>131</v>
      </c>
      <c r="M19">
        <v>137</v>
      </c>
      <c r="N19">
        <v>114</v>
      </c>
      <c r="O19">
        <v>119</v>
      </c>
      <c r="P19">
        <v>101</v>
      </c>
      <c r="Q19">
        <v>104</v>
      </c>
      <c r="R19">
        <v>100</v>
      </c>
      <c r="S19">
        <v>90</v>
      </c>
      <c r="T19">
        <v>84</v>
      </c>
      <c r="U19">
        <v>87</v>
      </c>
      <c r="V19">
        <v>100</v>
      </c>
      <c r="W19">
        <v>87</v>
      </c>
      <c r="X19">
        <v>79</v>
      </c>
      <c r="Y19">
        <v>75</v>
      </c>
      <c r="Z19">
        <v>76</v>
      </c>
      <c r="AA19">
        <v>75</v>
      </c>
      <c r="AB19">
        <v>73</v>
      </c>
      <c r="AC19">
        <v>66</v>
      </c>
      <c r="AD19">
        <v>64</v>
      </c>
      <c r="AE19">
        <v>80</v>
      </c>
      <c r="AF19">
        <v>75</v>
      </c>
      <c r="AG19">
        <v>75</v>
      </c>
      <c r="AH19">
        <v>74</v>
      </c>
    </row>
    <row r="20" spans="1:34">
      <c r="A20" t="s">
        <v>8</v>
      </c>
      <c r="B20">
        <v>153</v>
      </c>
      <c r="C20">
        <v>143</v>
      </c>
      <c r="D20">
        <v>141</v>
      </c>
      <c r="E20">
        <v>146</v>
      </c>
      <c r="F20">
        <v>140</v>
      </c>
      <c r="G20">
        <v>135</v>
      </c>
      <c r="H20">
        <v>141</v>
      </c>
      <c r="I20">
        <v>128</v>
      </c>
      <c r="J20">
        <v>112</v>
      </c>
      <c r="K20">
        <v>109</v>
      </c>
      <c r="L20">
        <v>92</v>
      </c>
      <c r="M20">
        <v>88</v>
      </c>
      <c r="N20">
        <v>116</v>
      </c>
      <c r="O20">
        <v>113</v>
      </c>
      <c r="P20">
        <v>116</v>
      </c>
      <c r="Q20">
        <v>117</v>
      </c>
      <c r="R20">
        <v>59</v>
      </c>
      <c r="S20">
        <v>58</v>
      </c>
      <c r="T20">
        <v>58</v>
      </c>
      <c r="U20">
        <v>57</v>
      </c>
      <c r="V20">
        <v>76</v>
      </c>
      <c r="W20">
        <v>53</v>
      </c>
      <c r="X20">
        <v>48</v>
      </c>
      <c r="Y20">
        <v>41</v>
      </c>
      <c r="Z20">
        <v>39</v>
      </c>
      <c r="AA20">
        <v>46</v>
      </c>
      <c r="AB20">
        <v>51</v>
      </c>
      <c r="AC20">
        <v>59</v>
      </c>
      <c r="AD20">
        <v>54</v>
      </c>
      <c r="AE20">
        <v>87</v>
      </c>
      <c r="AF20">
        <v>84</v>
      </c>
      <c r="AG20">
        <v>80</v>
      </c>
      <c r="AH20">
        <v>114</v>
      </c>
    </row>
    <row r="21" spans="1:34">
      <c r="A21" t="s">
        <v>34</v>
      </c>
      <c r="B21">
        <v>-148</v>
      </c>
      <c r="C21">
        <v>-152</v>
      </c>
      <c r="D21">
        <v>-114</v>
      </c>
      <c r="E21">
        <v>-132</v>
      </c>
      <c r="F21">
        <v>-124</v>
      </c>
      <c r="G21">
        <v>-154</v>
      </c>
      <c r="H21">
        <v>-128</v>
      </c>
      <c r="I21">
        <v>-100</v>
      </c>
      <c r="J21">
        <v>-150</v>
      </c>
      <c r="K21">
        <v>-92</v>
      </c>
      <c r="L21">
        <v>-158</v>
      </c>
      <c r="M21">
        <v>-186</v>
      </c>
      <c r="N21">
        <v>-210</v>
      </c>
      <c r="O21">
        <v>-224</v>
      </c>
      <c r="P21">
        <v>-216</v>
      </c>
      <c r="Q21">
        <v>-178</v>
      </c>
      <c r="R21">
        <v>-194</v>
      </c>
      <c r="S21">
        <v>-222</v>
      </c>
      <c r="T21">
        <v>-216</v>
      </c>
      <c r="U21">
        <v>-190</v>
      </c>
      <c r="V21">
        <v>-200</v>
      </c>
      <c r="W21">
        <v>-196</v>
      </c>
      <c r="X21">
        <v>-178</v>
      </c>
      <c r="Y21">
        <v>-234</v>
      </c>
      <c r="Z21">
        <v>-206</v>
      </c>
      <c r="AA21">
        <v>-268</v>
      </c>
      <c r="AB21">
        <v>-282</v>
      </c>
      <c r="AC21">
        <v>-246</v>
      </c>
      <c r="AD21">
        <v>-310</v>
      </c>
      <c r="AE21">
        <v>-344</v>
      </c>
      <c r="AF21">
        <v>-306</v>
      </c>
      <c r="AG21">
        <v>-354</v>
      </c>
      <c r="AH21">
        <v>-334</v>
      </c>
    </row>
    <row r="22" spans="1:34">
      <c r="A22" t="s">
        <v>25</v>
      </c>
      <c r="B22">
        <v>-116</v>
      </c>
      <c r="C22">
        <v>-96</v>
      </c>
      <c r="D22">
        <v>-64</v>
      </c>
      <c r="E22">
        <v>-84</v>
      </c>
      <c r="F22">
        <v>-90</v>
      </c>
      <c r="G22">
        <v>-96</v>
      </c>
      <c r="H22">
        <v>-52</v>
      </c>
      <c r="I22">
        <v>-10</v>
      </c>
      <c r="J22">
        <v>-66</v>
      </c>
      <c r="K22">
        <v>-28</v>
      </c>
      <c r="L22">
        <v>-46</v>
      </c>
      <c r="M22">
        <v>-88</v>
      </c>
      <c r="N22">
        <v>-32</v>
      </c>
      <c r="O22">
        <v>-70</v>
      </c>
      <c r="P22">
        <v>-62</v>
      </c>
      <c r="Q22">
        <v>-66</v>
      </c>
      <c r="R22">
        <v>-80</v>
      </c>
      <c r="S22">
        <v>-122</v>
      </c>
      <c r="T22">
        <v>-100</v>
      </c>
      <c r="U22">
        <v>-126</v>
      </c>
      <c r="V22">
        <v>-148</v>
      </c>
      <c r="W22">
        <v>-162</v>
      </c>
      <c r="X22">
        <v>-110</v>
      </c>
      <c r="Y22">
        <v>-150</v>
      </c>
      <c r="Z22">
        <v>-136</v>
      </c>
      <c r="AA22">
        <v>-144</v>
      </c>
      <c r="AB22">
        <v>-146</v>
      </c>
      <c r="AC22">
        <v>-154</v>
      </c>
      <c r="AD22">
        <v>-180</v>
      </c>
      <c r="AE22">
        <v>-164</v>
      </c>
      <c r="AF22">
        <v>-166</v>
      </c>
      <c r="AG22">
        <v>-164</v>
      </c>
      <c r="AH22">
        <v>-158</v>
      </c>
    </row>
    <row r="23" spans="1:34">
      <c r="A23" t="s">
        <v>16</v>
      </c>
      <c r="B23">
        <v>78</v>
      </c>
      <c r="C23">
        <v>78</v>
      </c>
      <c r="D23">
        <v>-72</v>
      </c>
      <c r="E23">
        <v>-54</v>
      </c>
      <c r="F23">
        <v>-92</v>
      </c>
      <c r="G23">
        <v>-116</v>
      </c>
      <c r="H23">
        <v>-28</v>
      </c>
      <c r="I23">
        <v>-24</v>
      </c>
      <c r="J23">
        <v>-24</v>
      </c>
      <c r="K23">
        <v>-32</v>
      </c>
      <c r="L23">
        <v>-40</v>
      </c>
      <c r="M23">
        <v>-42</v>
      </c>
      <c r="N23">
        <v>-94</v>
      </c>
      <c r="O23">
        <v>-146</v>
      </c>
      <c r="P23">
        <v>-124</v>
      </c>
      <c r="Q23">
        <v>-1116</v>
      </c>
      <c r="R23">
        <v>-108</v>
      </c>
      <c r="S23">
        <v>-98</v>
      </c>
      <c r="T23">
        <v>8</v>
      </c>
      <c r="U23">
        <v>8</v>
      </c>
      <c r="V23">
        <v>-40</v>
      </c>
      <c r="W23">
        <v>-44</v>
      </c>
      <c r="X23">
        <v>-46</v>
      </c>
      <c r="Y23">
        <v>-80</v>
      </c>
      <c r="Z23">
        <v>-76</v>
      </c>
      <c r="AA23">
        <v>-78</v>
      </c>
      <c r="AB23">
        <v>-108</v>
      </c>
      <c r="AC23">
        <v>-78</v>
      </c>
      <c r="AD23">
        <v>-150</v>
      </c>
      <c r="AE23">
        <v>-170</v>
      </c>
      <c r="AF23">
        <v>-130</v>
      </c>
      <c r="AG23">
        <v>-146</v>
      </c>
      <c r="AH23">
        <v>-124</v>
      </c>
    </row>
    <row r="24" spans="1:34">
      <c r="A24" t="s">
        <v>10</v>
      </c>
      <c r="B24">
        <v>12</v>
      </c>
      <c r="C24">
        <v>40</v>
      </c>
      <c r="D24">
        <v>54</v>
      </c>
      <c r="E24">
        <v>36</v>
      </c>
      <c r="F24">
        <v>50</v>
      </c>
      <c r="G24">
        <v>39</v>
      </c>
      <c r="H24">
        <v>206</v>
      </c>
      <c r="I24">
        <v>105</v>
      </c>
      <c r="J24">
        <v>111</v>
      </c>
      <c r="K24">
        <v>104</v>
      </c>
      <c r="L24">
        <v>134</v>
      </c>
      <c r="M24">
        <v>134</v>
      </c>
      <c r="N24">
        <v>280</v>
      </c>
      <c r="O24">
        <v>286</v>
      </c>
      <c r="P24">
        <v>304</v>
      </c>
      <c r="Q24">
        <v>175</v>
      </c>
      <c r="R24">
        <v>153</v>
      </c>
      <c r="S24">
        <v>161</v>
      </c>
      <c r="T24">
        <v>202</v>
      </c>
      <c r="U24">
        <v>178</v>
      </c>
      <c r="V24">
        <v>153</v>
      </c>
      <c r="W24">
        <v>144</v>
      </c>
      <c r="X24">
        <v>197</v>
      </c>
      <c r="Y24">
        <v>156</v>
      </c>
      <c r="Z24">
        <v>178</v>
      </c>
      <c r="AA24">
        <v>156</v>
      </c>
      <c r="AB24">
        <v>155</v>
      </c>
      <c r="AC24">
        <v>213</v>
      </c>
      <c r="AD24">
        <v>206</v>
      </c>
      <c r="AE24">
        <v>195</v>
      </c>
      <c r="AF24">
        <v>246</v>
      </c>
      <c r="AG24">
        <v>248</v>
      </c>
      <c r="AH24">
        <v>227</v>
      </c>
    </row>
    <row r="25" spans="1:34">
      <c r="A25" t="s">
        <v>35</v>
      </c>
      <c r="B25">
        <v>140</v>
      </c>
      <c r="C25">
        <v>140</v>
      </c>
      <c r="D25">
        <v>145</v>
      </c>
      <c r="E25">
        <v>75</v>
      </c>
      <c r="F25">
        <v>75</v>
      </c>
      <c r="G25">
        <v>15</v>
      </c>
      <c r="H25">
        <v>-10</v>
      </c>
      <c r="I25">
        <v>-160</v>
      </c>
      <c r="J25">
        <v>-80</v>
      </c>
      <c r="K25">
        <v>-165</v>
      </c>
      <c r="L25">
        <v>-375</v>
      </c>
      <c r="M25">
        <v>-360</v>
      </c>
      <c r="N25">
        <v>-180</v>
      </c>
      <c r="O25">
        <v>-255</v>
      </c>
      <c r="P25">
        <v>-195</v>
      </c>
      <c r="Q25">
        <v>-215</v>
      </c>
      <c r="R25">
        <v>-260</v>
      </c>
      <c r="S25">
        <v>-95</v>
      </c>
      <c r="T25">
        <v>5</v>
      </c>
      <c r="U25">
        <v>80</v>
      </c>
      <c r="V25">
        <v>135</v>
      </c>
      <c r="W25">
        <v>115</v>
      </c>
      <c r="X25">
        <v>105</v>
      </c>
      <c r="Y25">
        <v>60</v>
      </c>
      <c r="Z25">
        <v>-50</v>
      </c>
      <c r="AA25">
        <v>-45</v>
      </c>
      <c r="AB25">
        <v>-70</v>
      </c>
      <c r="AC25">
        <v>-175</v>
      </c>
      <c r="AD25">
        <v>-135</v>
      </c>
      <c r="AE25">
        <v>-160</v>
      </c>
      <c r="AF25">
        <v>-225</v>
      </c>
      <c r="AG25">
        <v>-365</v>
      </c>
      <c r="AH25">
        <v>-480</v>
      </c>
    </row>
    <row r="26" spans="1:34">
      <c r="A26" t="s">
        <v>24</v>
      </c>
      <c r="B26">
        <v>-515</v>
      </c>
      <c r="C26">
        <v>-275</v>
      </c>
      <c r="D26">
        <v>-275</v>
      </c>
      <c r="E26">
        <v>-275</v>
      </c>
      <c r="F26">
        <v>-275</v>
      </c>
      <c r="G26">
        <v>-350</v>
      </c>
      <c r="H26">
        <v>-300</v>
      </c>
      <c r="I26">
        <v>-300</v>
      </c>
      <c r="J26">
        <v>-300</v>
      </c>
      <c r="K26">
        <v>-330</v>
      </c>
      <c r="L26">
        <v>-330</v>
      </c>
      <c r="M26">
        <v>-400</v>
      </c>
      <c r="N26">
        <v>-195</v>
      </c>
      <c r="O26">
        <v>-300</v>
      </c>
      <c r="P26">
        <v>-300</v>
      </c>
      <c r="Q26">
        <v>-300</v>
      </c>
      <c r="R26">
        <v>-300</v>
      </c>
      <c r="S26">
        <v>-145</v>
      </c>
      <c r="T26">
        <v>-145</v>
      </c>
      <c r="U26">
        <v>-145</v>
      </c>
      <c r="V26">
        <v>-95</v>
      </c>
      <c r="W26">
        <v>-95</v>
      </c>
      <c r="X26">
        <v>-95</v>
      </c>
      <c r="Y26">
        <v>-95</v>
      </c>
      <c r="Z26">
        <v>-95</v>
      </c>
      <c r="AA26">
        <v>105</v>
      </c>
      <c r="AB26">
        <v>105</v>
      </c>
      <c r="AC26">
        <v>-95</v>
      </c>
      <c r="AD26">
        <v>-220</v>
      </c>
      <c r="AE26">
        <v>-55</v>
      </c>
      <c r="AF26">
        <v>-335</v>
      </c>
      <c r="AG26">
        <v>-350</v>
      </c>
      <c r="AH26">
        <v>-350</v>
      </c>
    </row>
    <row r="27" spans="1:34">
      <c r="A27" t="s">
        <v>36</v>
      </c>
      <c r="B27">
        <v>-500</v>
      </c>
      <c r="C27">
        <v>-430</v>
      </c>
      <c r="D27">
        <v>-430</v>
      </c>
      <c r="E27">
        <v>-410</v>
      </c>
      <c r="F27">
        <v>-560</v>
      </c>
      <c r="G27">
        <v>-300</v>
      </c>
      <c r="H27">
        <v>-360</v>
      </c>
      <c r="I27">
        <v>-420</v>
      </c>
      <c r="J27">
        <v>-450</v>
      </c>
      <c r="K27">
        <v>-400</v>
      </c>
      <c r="L27">
        <v>-630</v>
      </c>
      <c r="M27">
        <v>-460</v>
      </c>
      <c r="N27">
        <v>-440</v>
      </c>
      <c r="O27">
        <v>-250</v>
      </c>
      <c r="P27">
        <v>-240</v>
      </c>
      <c r="Q27">
        <v>-460</v>
      </c>
      <c r="R27">
        <v>-730</v>
      </c>
      <c r="S27">
        <v>-400</v>
      </c>
      <c r="T27">
        <v>-850</v>
      </c>
      <c r="U27">
        <v>-940</v>
      </c>
      <c r="V27">
        <v>-230</v>
      </c>
      <c r="W27">
        <v>-480</v>
      </c>
      <c r="X27">
        <v>-330</v>
      </c>
      <c r="Y27">
        <v>-360</v>
      </c>
      <c r="Z27">
        <v>-460</v>
      </c>
      <c r="AA27">
        <v>-410</v>
      </c>
      <c r="AB27">
        <v>-430</v>
      </c>
      <c r="AC27">
        <v>-710</v>
      </c>
      <c r="AD27">
        <v>-140</v>
      </c>
      <c r="AE27">
        <v>-540</v>
      </c>
      <c r="AF27">
        <v>-480</v>
      </c>
      <c r="AG27">
        <v>-200</v>
      </c>
      <c r="AH27">
        <v>-240</v>
      </c>
    </row>
    <row r="28" spans="1:34">
      <c r="A28" t="s">
        <v>22</v>
      </c>
      <c r="B28">
        <v>-155</v>
      </c>
      <c r="C28">
        <v>-160</v>
      </c>
      <c r="D28">
        <v>-180</v>
      </c>
      <c r="E28">
        <v>-170</v>
      </c>
      <c r="F28">
        <v>-160</v>
      </c>
      <c r="G28">
        <v>-150</v>
      </c>
      <c r="H28">
        <v>-180</v>
      </c>
      <c r="I28">
        <v>-185</v>
      </c>
      <c r="J28">
        <v>-250</v>
      </c>
      <c r="K28">
        <v>-240</v>
      </c>
      <c r="L28">
        <v>-300</v>
      </c>
      <c r="M28">
        <v>-280</v>
      </c>
      <c r="N28">
        <v>-260</v>
      </c>
      <c r="O28">
        <v>-260</v>
      </c>
      <c r="P28">
        <v>-275</v>
      </c>
      <c r="Q28">
        <v>-355</v>
      </c>
      <c r="R28">
        <v>-425</v>
      </c>
      <c r="S28">
        <v>-380</v>
      </c>
      <c r="T28">
        <v>80</v>
      </c>
      <c r="U28">
        <v>110</v>
      </c>
      <c r="V28">
        <v>-175</v>
      </c>
      <c r="W28">
        <v>-390</v>
      </c>
      <c r="X28">
        <v>-255</v>
      </c>
      <c r="Y28">
        <v>-215</v>
      </c>
      <c r="Z28">
        <v>-165</v>
      </c>
      <c r="AA28">
        <v>-130</v>
      </c>
      <c r="AB28">
        <v>-230</v>
      </c>
      <c r="AC28">
        <v>-190</v>
      </c>
      <c r="AD28">
        <v>-185</v>
      </c>
      <c r="AE28">
        <v>-210</v>
      </c>
      <c r="AF28">
        <v>-180</v>
      </c>
      <c r="AG28">
        <v>-180</v>
      </c>
      <c r="AH28">
        <v>-175</v>
      </c>
    </row>
    <row r="29" spans="1:34">
      <c r="A29" t="s">
        <v>37</v>
      </c>
      <c r="B29">
        <v>-205</v>
      </c>
      <c r="C29">
        <v>-70</v>
      </c>
      <c r="D29">
        <v>-60</v>
      </c>
      <c r="E29">
        <v>-190</v>
      </c>
      <c r="F29">
        <v>-105</v>
      </c>
      <c r="G29">
        <v>-145</v>
      </c>
      <c r="H29">
        <v>-35</v>
      </c>
      <c r="I29">
        <v>-110</v>
      </c>
      <c r="J29">
        <v>0</v>
      </c>
      <c r="K29">
        <v>10</v>
      </c>
      <c r="L29">
        <v>-70</v>
      </c>
      <c r="M29">
        <v>0</v>
      </c>
      <c r="N29">
        <v>-230</v>
      </c>
      <c r="O29">
        <v>-100</v>
      </c>
      <c r="P29">
        <v>-65</v>
      </c>
      <c r="Q29">
        <v>-60</v>
      </c>
      <c r="R29">
        <v>-170</v>
      </c>
      <c r="S29">
        <v>-55</v>
      </c>
      <c r="T29">
        <v>-295</v>
      </c>
      <c r="U29">
        <v>-625</v>
      </c>
      <c r="V29">
        <v>-175</v>
      </c>
      <c r="W29">
        <v>-70</v>
      </c>
      <c r="X29">
        <v>-240</v>
      </c>
      <c r="Y29">
        <v>-135</v>
      </c>
      <c r="Z29">
        <v>-130</v>
      </c>
      <c r="AA29">
        <v>-205</v>
      </c>
      <c r="AB29">
        <v>-185</v>
      </c>
      <c r="AC29">
        <v>-200</v>
      </c>
      <c r="AD29">
        <v>20</v>
      </c>
      <c r="AE29">
        <v>-160</v>
      </c>
      <c r="AF29">
        <v>-175</v>
      </c>
      <c r="AG29">
        <v>35</v>
      </c>
      <c r="AH29">
        <v>-85</v>
      </c>
    </row>
    <row r="30" spans="1:34">
      <c r="A30" t="s">
        <v>38</v>
      </c>
      <c r="B30">
        <v>-3010</v>
      </c>
      <c r="C30">
        <v>-1690</v>
      </c>
      <c r="D30">
        <v>-2050</v>
      </c>
      <c r="E30">
        <v>-2400</v>
      </c>
      <c r="F30">
        <v>-2070</v>
      </c>
      <c r="G30">
        <v>-1660</v>
      </c>
      <c r="H30">
        <v>-1360</v>
      </c>
      <c r="I30">
        <v>-2070</v>
      </c>
      <c r="J30">
        <v>-1540</v>
      </c>
      <c r="K30">
        <v>-1500</v>
      </c>
      <c r="L30">
        <v>-2130</v>
      </c>
      <c r="M30">
        <v>-1430</v>
      </c>
      <c r="N30">
        <v>-2210</v>
      </c>
      <c r="O30">
        <v>-2200</v>
      </c>
      <c r="P30">
        <v>-1350</v>
      </c>
      <c r="Q30">
        <v>-2430</v>
      </c>
      <c r="R30">
        <v>-2830</v>
      </c>
      <c r="S30">
        <v>-2190</v>
      </c>
      <c r="T30">
        <v>-3440</v>
      </c>
      <c r="U30">
        <v>-4050</v>
      </c>
      <c r="V30">
        <v>-1330</v>
      </c>
      <c r="W30">
        <v>-2790</v>
      </c>
      <c r="X30">
        <v>-1720</v>
      </c>
      <c r="Y30">
        <v>-1790</v>
      </c>
      <c r="Z30">
        <v>-2350</v>
      </c>
      <c r="AA30">
        <v>-2210</v>
      </c>
      <c r="AB30">
        <v>-3350</v>
      </c>
      <c r="AC30">
        <v>-1600</v>
      </c>
      <c r="AD30">
        <v>-1440</v>
      </c>
      <c r="AE30">
        <v>-2260</v>
      </c>
      <c r="AF30">
        <v>-2310</v>
      </c>
      <c r="AG30">
        <v>-1380</v>
      </c>
      <c r="AH30">
        <v>-2980</v>
      </c>
    </row>
    <row r="31" spans="1:34">
      <c r="A31" t="s">
        <v>18</v>
      </c>
      <c r="B31">
        <v>70.5</v>
      </c>
      <c r="C31">
        <v>73.429999999999382</v>
      </c>
      <c r="D31">
        <v>61.710000000000036</v>
      </c>
      <c r="E31">
        <v>55.510000000000218</v>
      </c>
      <c r="F31">
        <v>54.119999999999891</v>
      </c>
      <c r="G31">
        <v>52.150000000000546</v>
      </c>
      <c r="H31">
        <v>50.579999999999927</v>
      </c>
      <c r="I31">
        <v>44.980000000000473</v>
      </c>
      <c r="J31">
        <v>78.109999999999673</v>
      </c>
      <c r="K31">
        <v>98.089999999999236</v>
      </c>
      <c r="L31">
        <v>313.89999999999964</v>
      </c>
      <c r="M31">
        <v>408.89999999999964</v>
      </c>
      <c r="N31">
        <v>402.30000000000018</v>
      </c>
      <c r="O31">
        <v>364.30000000000018</v>
      </c>
      <c r="P31">
        <v>446.30000000000018</v>
      </c>
      <c r="Q31">
        <v>442.89999999999964</v>
      </c>
      <c r="R31">
        <v>423.89999999999964</v>
      </c>
      <c r="S31">
        <v>592.30000000000018</v>
      </c>
      <c r="T31">
        <v>569.30000000000018</v>
      </c>
      <c r="U31">
        <v>686.30000000000018</v>
      </c>
      <c r="V31">
        <v>706.30000000000018</v>
      </c>
      <c r="W31">
        <v>756.5</v>
      </c>
      <c r="X31">
        <v>908.10000000000036</v>
      </c>
      <c r="Y31">
        <v>675.30000000000018</v>
      </c>
      <c r="Z31">
        <v>758.30000000000018</v>
      </c>
      <c r="AA31">
        <v>728.30000000000018</v>
      </c>
      <c r="AB31">
        <v>443.30000000000018</v>
      </c>
      <c r="AC31">
        <v>434.89999999999964</v>
      </c>
      <c r="AD31">
        <v>443.5</v>
      </c>
      <c r="AE31">
        <v>238.30000000000018</v>
      </c>
      <c r="AF31">
        <v>112.30000000000018</v>
      </c>
      <c r="AG31">
        <v>101.10000000000036</v>
      </c>
      <c r="AH31">
        <v>5.8999999999996362</v>
      </c>
    </row>
    <row r="32" spans="1:34">
      <c r="A32" t="s">
        <v>19</v>
      </c>
      <c r="B32">
        <v>4.4000000000000909</v>
      </c>
      <c r="C32">
        <v>-0.13999999999987267</v>
      </c>
      <c r="D32">
        <v>6.1300000000001091</v>
      </c>
      <c r="E32">
        <v>-4.0199999999999818</v>
      </c>
      <c r="F32">
        <v>5.3299999999999272</v>
      </c>
      <c r="G32">
        <v>11.980000000000018</v>
      </c>
      <c r="H32">
        <v>-1.0199999999999818</v>
      </c>
      <c r="I32">
        <v>-0.59999999999990905</v>
      </c>
      <c r="J32">
        <v>-1.5500000000001819</v>
      </c>
      <c r="K32">
        <v>1.3499999999999091</v>
      </c>
      <c r="L32">
        <v>281.73</v>
      </c>
      <c r="M32">
        <v>324.92999999999984</v>
      </c>
      <c r="N32">
        <v>315.73</v>
      </c>
      <c r="O32">
        <v>294.12999999999965</v>
      </c>
      <c r="P32">
        <v>304.32999999999993</v>
      </c>
      <c r="Q32">
        <v>254.32999999999993</v>
      </c>
      <c r="R32">
        <v>202.73000000000002</v>
      </c>
      <c r="S32">
        <v>231.12999999999965</v>
      </c>
      <c r="T32">
        <v>264.32999999999993</v>
      </c>
      <c r="U32">
        <v>313.12999999999965</v>
      </c>
      <c r="V32">
        <v>343.12999999999965</v>
      </c>
      <c r="W32">
        <v>391.73</v>
      </c>
      <c r="X32">
        <v>409.12999999999965</v>
      </c>
      <c r="Y32">
        <v>241.32999999999993</v>
      </c>
      <c r="Z32">
        <v>152.12999999999965</v>
      </c>
      <c r="AA32">
        <v>74.129999999999654</v>
      </c>
      <c r="AB32">
        <v>-24.070000000000164</v>
      </c>
      <c r="AC32">
        <v>8.3299999999999272</v>
      </c>
      <c r="AD32">
        <v>28.329999999999927</v>
      </c>
      <c r="AE32">
        <v>42.329999999999927</v>
      </c>
      <c r="AF32">
        <v>82.529999999999745</v>
      </c>
      <c r="AG32">
        <v>39.329999999999927</v>
      </c>
      <c r="AH32">
        <v>-22.470000000000255</v>
      </c>
    </row>
    <row r="33" spans="1:34">
      <c r="A33" t="s">
        <v>39</v>
      </c>
      <c r="B33">
        <v>28.100000000000364</v>
      </c>
      <c r="C33">
        <v>25.049999999999727</v>
      </c>
      <c r="D33">
        <v>29.2199999999998</v>
      </c>
      <c r="E33">
        <v>15.159999999999854</v>
      </c>
      <c r="F33">
        <v>18.940000000000055</v>
      </c>
      <c r="G33">
        <v>24.25</v>
      </c>
      <c r="H33">
        <v>9.6700000000000728</v>
      </c>
      <c r="I33">
        <v>10.470000000000255</v>
      </c>
      <c r="J33">
        <v>18</v>
      </c>
      <c r="K33">
        <v>36.650000000000091</v>
      </c>
      <c r="L33">
        <v>331.89000000000033</v>
      </c>
      <c r="M33">
        <v>404.09000000000015</v>
      </c>
      <c r="N33">
        <v>385.49000000000024</v>
      </c>
      <c r="O33">
        <v>363.49000000000024</v>
      </c>
      <c r="P33">
        <v>383.09000000000015</v>
      </c>
      <c r="Q33">
        <v>345.89000000000033</v>
      </c>
      <c r="R33">
        <v>282.89000000000033</v>
      </c>
      <c r="S33">
        <v>342.89000000000033</v>
      </c>
      <c r="T33">
        <v>364.49000000000024</v>
      </c>
      <c r="U33">
        <v>437.49000000000024</v>
      </c>
      <c r="V33">
        <v>485.29000000000042</v>
      </c>
      <c r="W33">
        <v>534.89000000000033</v>
      </c>
      <c r="X33">
        <v>615.29000000000042</v>
      </c>
      <c r="Y33">
        <v>389.29000000000042</v>
      </c>
      <c r="Z33">
        <v>369.09000000000015</v>
      </c>
      <c r="AA33">
        <v>269.89000000000033</v>
      </c>
      <c r="AB33">
        <v>122.28999999999996</v>
      </c>
      <c r="AC33">
        <v>112.09000000000015</v>
      </c>
      <c r="AD33">
        <v>147.28999999999996</v>
      </c>
      <c r="AE33">
        <v>106.28999999999996</v>
      </c>
      <c r="AF33">
        <v>113.69000000000051</v>
      </c>
      <c r="AG33">
        <v>66.490000000000691</v>
      </c>
      <c r="AH33">
        <v>-16.710000000000036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H33"/>
  <sheetViews>
    <sheetView workbookViewId="0">
      <selection activeCell="B1" sqref="B1:B1048576"/>
    </sheetView>
  </sheetViews>
  <sheetFormatPr defaultRowHeight="13.5"/>
  <cols>
    <col min="34" max="34" width="10.5" customWidth="1"/>
  </cols>
  <sheetData>
    <row r="1" spans="1:34">
      <c r="A1" t="s">
        <v>0</v>
      </c>
      <c r="B1" s="11">
        <v>43179</v>
      </c>
      <c r="C1" s="11">
        <v>43178</v>
      </c>
      <c r="D1" s="11">
        <v>43175</v>
      </c>
      <c r="E1" s="11">
        <v>43174</v>
      </c>
      <c r="F1" s="11">
        <v>43173</v>
      </c>
      <c r="G1" s="11">
        <v>43172</v>
      </c>
      <c r="H1" s="11">
        <v>43171</v>
      </c>
      <c r="I1" s="11">
        <v>43168</v>
      </c>
      <c r="J1" s="11">
        <v>43167</v>
      </c>
      <c r="K1" s="11">
        <v>43166</v>
      </c>
      <c r="L1" s="11">
        <v>43165</v>
      </c>
      <c r="M1" s="11">
        <v>43164</v>
      </c>
      <c r="N1" s="11">
        <v>43161</v>
      </c>
      <c r="O1" s="11">
        <v>43160</v>
      </c>
      <c r="P1" s="11">
        <v>43159</v>
      </c>
      <c r="Q1" s="11">
        <v>43158</v>
      </c>
      <c r="R1" s="11">
        <v>43157</v>
      </c>
      <c r="S1" s="11">
        <v>43154</v>
      </c>
      <c r="T1" s="11">
        <v>43153</v>
      </c>
      <c r="U1" s="11">
        <v>43145</v>
      </c>
      <c r="V1" s="11">
        <v>43144</v>
      </c>
      <c r="W1" s="11">
        <v>43143</v>
      </c>
      <c r="X1" s="11">
        <v>43140</v>
      </c>
      <c r="Y1" s="11">
        <v>43139</v>
      </c>
      <c r="Z1" s="11">
        <v>43138</v>
      </c>
      <c r="AA1" s="11">
        <v>43137</v>
      </c>
      <c r="AB1" s="11">
        <v>43136</v>
      </c>
      <c r="AC1" s="11">
        <v>43133</v>
      </c>
      <c r="AD1" s="11">
        <v>43132</v>
      </c>
      <c r="AE1" s="11">
        <v>43131</v>
      </c>
      <c r="AF1" s="11">
        <v>43130</v>
      </c>
      <c r="AG1" s="11">
        <v>43129</v>
      </c>
      <c r="AH1" s="11">
        <v>43126</v>
      </c>
    </row>
    <row r="2" spans="1:34">
      <c r="A2" t="s">
        <v>5</v>
      </c>
      <c r="B2">
        <v>120</v>
      </c>
      <c r="C2">
        <v>67</v>
      </c>
      <c r="D2">
        <v>57</v>
      </c>
      <c r="E2">
        <v>112</v>
      </c>
      <c r="F2">
        <v>85.5</v>
      </c>
      <c r="G2">
        <v>101</v>
      </c>
      <c r="H2">
        <v>87</v>
      </c>
      <c r="I2">
        <v>47.5</v>
      </c>
      <c r="J2">
        <v>-90</v>
      </c>
      <c r="K2">
        <v>-134.5</v>
      </c>
      <c r="L2">
        <v>-139</v>
      </c>
      <c r="M2">
        <v>-145</v>
      </c>
      <c r="N2">
        <v>-175</v>
      </c>
      <c r="O2">
        <v>-214</v>
      </c>
      <c r="P2">
        <v>-196</v>
      </c>
      <c r="Q2">
        <v>-211.5</v>
      </c>
      <c r="R2">
        <v>-223</v>
      </c>
      <c r="S2">
        <v>-131</v>
      </c>
      <c r="T2">
        <v>-197</v>
      </c>
      <c r="U2">
        <v>-190</v>
      </c>
      <c r="V2">
        <v>-165</v>
      </c>
      <c r="W2">
        <v>-163.5</v>
      </c>
      <c r="X2">
        <v>-178</v>
      </c>
      <c r="Y2">
        <v>-198.5</v>
      </c>
      <c r="Z2">
        <v>-204</v>
      </c>
      <c r="AA2">
        <v>-160.5</v>
      </c>
      <c r="AB2">
        <v>-141</v>
      </c>
      <c r="AC2">
        <v>-87.5</v>
      </c>
      <c r="AD2">
        <v>-63</v>
      </c>
      <c r="AE2">
        <v>56.5</v>
      </c>
      <c r="AF2">
        <v>27</v>
      </c>
      <c r="AG2">
        <v>2</v>
      </c>
      <c r="AH2">
        <v>6</v>
      </c>
    </row>
    <row r="3" spans="1:34">
      <c r="A3" t="s">
        <v>7</v>
      </c>
      <c r="B3">
        <v>100</v>
      </c>
      <c r="C3">
        <v>78</v>
      </c>
      <c r="D3">
        <v>96.5</v>
      </c>
      <c r="E3">
        <v>97</v>
      </c>
      <c r="F3">
        <v>104</v>
      </c>
      <c r="G3">
        <v>116.5</v>
      </c>
      <c r="H3">
        <v>86</v>
      </c>
      <c r="I3">
        <v>73</v>
      </c>
      <c r="J3">
        <v>37.5</v>
      </c>
      <c r="K3">
        <v>6</v>
      </c>
      <c r="L3">
        <v>-2.5</v>
      </c>
      <c r="M3">
        <v>5</v>
      </c>
      <c r="N3">
        <v>0.5</v>
      </c>
      <c r="O3">
        <v>-27.5</v>
      </c>
      <c r="P3">
        <v>-37</v>
      </c>
      <c r="Q3">
        <v>-37</v>
      </c>
      <c r="R3">
        <v>-64</v>
      </c>
      <c r="S3">
        <v>-29</v>
      </c>
      <c r="T3">
        <v>-16</v>
      </c>
      <c r="U3">
        <v>-22</v>
      </c>
      <c r="V3">
        <v>-11</v>
      </c>
      <c r="W3">
        <v>-13.5</v>
      </c>
      <c r="X3">
        <v>-13</v>
      </c>
      <c r="Y3">
        <v>-10.5</v>
      </c>
      <c r="Z3">
        <v>-18</v>
      </c>
      <c r="AA3">
        <v>-8.5</v>
      </c>
      <c r="AB3">
        <v>-4</v>
      </c>
      <c r="AC3">
        <v>1</v>
      </c>
      <c r="AD3">
        <v>24.5</v>
      </c>
      <c r="AE3">
        <v>11</v>
      </c>
      <c r="AF3">
        <v>7.5</v>
      </c>
      <c r="AG3">
        <v>64.5</v>
      </c>
      <c r="AH3">
        <v>52.5</v>
      </c>
    </row>
    <row r="4" spans="1:34">
      <c r="A4" t="s">
        <v>4</v>
      </c>
      <c r="B4">
        <v>51.399999999999977</v>
      </c>
      <c r="C4">
        <v>38.199999999999932</v>
      </c>
      <c r="D4">
        <v>32.600000000000023</v>
      </c>
      <c r="E4">
        <v>30</v>
      </c>
      <c r="F4">
        <v>35</v>
      </c>
      <c r="G4">
        <v>43.199999999999932</v>
      </c>
      <c r="H4">
        <v>40.600000000000023</v>
      </c>
      <c r="I4">
        <v>33</v>
      </c>
      <c r="J4">
        <v>41.399999999999977</v>
      </c>
      <c r="K4">
        <v>51.399999999999977</v>
      </c>
      <c r="L4">
        <v>53.600000000000023</v>
      </c>
      <c r="M4">
        <v>60.799999999999955</v>
      </c>
      <c r="N4">
        <v>56.600000000000023</v>
      </c>
      <c r="O4">
        <v>67.600000000000023</v>
      </c>
      <c r="P4">
        <v>69</v>
      </c>
      <c r="Q4">
        <v>81.399999999999977</v>
      </c>
      <c r="R4">
        <v>89.199999999999932</v>
      </c>
      <c r="S4">
        <v>86.799999999999955</v>
      </c>
      <c r="T4">
        <v>92.199999999999932</v>
      </c>
      <c r="U4">
        <v>99</v>
      </c>
      <c r="V4">
        <v>110</v>
      </c>
      <c r="W4">
        <v>111.39999999999998</v>
      </c>
      <c r="X4">
        <v>96.199999999999932</v>
      </c>
      <c r="Y4">
        <v>103.19999999999993</v>
      </c>
      <c r="Z4">
        <v>92.399999999999977</v>
      </c>
      <c r="AA4">
        <v>91.799999999999955</v>
      </c>
      <c r="AB4">
        <v>107.39999999999998</v>
      </c>
      <c r="AC4">
        <v>93.199999999999932</v>
      </c>
      <c r="AD4">
        <v>99.799999999999955</v>
      </c>
      <c r="AE4">
        <v>95</v>
      </c>
      <c r="AF4">
        <v>95.799999999999955</v>
      </c>
      <c r="AG4">
        <v>72.399999999999977</v>
      </c>
      <c r="AH4">
        <v>79.799999999999955</v>
      </c>
    </row>
    <row r="5" spans="1:34">
      <c r="A5" t="s">
        <v>20</v>
      </c>
      <c r="B5">
        <v>29.300000000000011</v>
      </c>
      <c r="C5">
        <v>37.100000000000023</v>
      </c>
      <c r="D5">
        <v>23.800000000000011</v>
      </c>
      <c r="E5">
        <v>17.800000000000011</v>
      </c>
      <c r="F5">
        <v>11.300000000000011</v>
      </c>
      <c r="G5">
        <v>21.300000000000011</v>
      </c>
      <c r="H5">
        <v>31.399999999999977</v>
      </c>
      <c r="I5">
        <v>43.899999999999977</v>
      </c>
      <c r="J5">
        <v>34</v>
      </c>
      <c r="K5">
        <v>25.5</v>
      </c>
      <c r="L5">
        <v>40.5</v>
      </c>
      <c r="M5">
        <v>29</v>
      </c>
      <c r="N5">
        <v>30.5</v>
      </c>
      <c r="O5">
        <v>21</v>
      </c>
      <c r="P5">
        <v>27.100000000000023</v>
      </c>
      <c r="Q5">
        <v>29.700000000000045</v>
      </c>
      <c r="R5">
        <v>18.399999999999977</v>
      </c>
      <c r="S5">
        <v>18.799999999999955</v>
      </c>
      <c r="T5">
        <v>16.399999999999977</v>
      </c>
      <c r="U5">
        <v>12.799999999999955</v>
      </c>
      <c r="V5">
        <v>21.200000000000045</v>
      </c>
      <c r="W5">
        <v>23.399999999999977</v>
      </c>
      <c r="X5">
        <v>14.899999999999977</v>
      </c>
      <c r="Y5">
        <v>22.899999999999977</v>
      </c>
      <c r="Z5">
        <v>19.899999999999977</v>
      </c>
      <c r="AA5">
        <v>26.5</v>
      </c>
      <c r="AB5">
        <v>19.600000000000023</v>
      </c>
      <c r="AC5">
        <v>22.299999999999955</v>
      </c>
      <c r="AD5">
        <v>24.700000000000045</v>
      </c>
      <c r="AE5">
        <v>30.899999999999977</v>
      </c>
      <c r="AF5">
        <v>21.399999999999977</v>
      </c>
      <c r="AG5">
        <v>18.700000000000045</v>
      </c>
      <c r="AH5">
        <v>21.600000000000023</v>
      </c>
    </row>
    <row r="6" spans="1:34">
      <c r="A6" t="s">
        <v>12</v>
      </c>
      <c r="B6">
        <v>263.59999999999991</v>
      </c>
      <c r="C6">
        <v>282</v>
      </c>
      <c r="D6">
        <v>237</v>
      </c>
      <c r="E6">
        <v>232</v>
      </c>
      <c r="F6">
        <v>244</v>
      </c>
      <c r="G6">
        <v>288</v>
      </c>
      <c r="H6">
        <v>283</v>
      </c>
      <c r="I6">
        <v>287</v>
      </c>
      <c r="J6">
        <v>224</v>
      </c>
      <c r="K6">
        <v>206</v>
      </c>
      <c r="L6">
        <v>194</v>
      </c>
      <c r="M6">
        <v>232</v>
      </c>
      <c r="N6">
        <v>224</v>
      </c>
      <c r="O6">
        <v>179</v>
      </c>
      <c r="P6">
        <v>215</v>
      </c>
      <c r="Q6">
        <v>234</v>
      </c>
      <c r="R6">
        <v>183</v>
      </c>
      <c r="S6">
        <v>148</v>
      </c>
      <c r="T6">
        <v>150</v>
      </c>
      <c r="U6">
        <v>67</v>
      </c>
      <c r="V6">
        <v>80</v>
      </c>
      <c r="W6">
        <v>100</v>
      </c>
      <c r="X6">
        <v>88</v>
      </c>
      <c r="Y6">
        <v>73</v>
      </c>
      <c r="Z6">
        <v>65</v>
      </c>
      <c r="AA6">
        <v>72</v>
      </c>
      <c r="AB6">
        <v>55</v>
      </c>
      <c r="AC6">
        <v>63</v>
      </c>
      <c r="AD6">
        <v>58</v>
      </c>
      <c r="AE6">
        <v>104</v>
      </c>
      <c r="AF6">
        <v>102</v>
      </c>
      <c r="AG6">
        <v>78</v>
      </c>
      <c r="AH6">
        <v>76</v>
      </c>
    </row>
    <row r="7" spans="1:34">
      <c r="A7" t="s">
        <v>9</v>
      </c>
      <c r="B7">
        <v>147</v>
      </c>
      <c r="C7">
        <v>145</v>
      </c>
      <c r="D7">
        <v>90</v>
      </c>
      <c r="E7">
        <v>92</v>
      </c>
      <c r="F7">
        <v>65</v>
      </c>
      <c r="G7">
        <v>98</v>
      </c>
      <c r="H7">
        <v>103</v>
      </c>
      <c r="I7">
        <v>165</v>
      </c>
      <c r="J7">
        <v>100</v>
      </c>
      <c r="K7">
        <v>88</v>
      </c>
      <c r="L7">
        <v>52</v>
      </c>
      <c r="M7">
        <v>67</v>
      </c>
      <c r="N7">
        <v>71</v>
      </c>
      <c r="O7">
        <v>64</v>
      </c>
      <c r="P7">
        <v>92</v>
      </c>
      <c r="Q7">
        <v>127</v>
      </c>
      <c r="R7">
        <v>125</v>
      </c>
      <c r="S7">
        <v>235</v>
      </c>
      <c r="T7">
        <v>146</v>
      </c>
      <c r="U7">
        <v>85</v>
      </c>
      <c r="V7">
        <v>64</v>
      </c>
      <c r="W7">
        <v>104</v>
      </c>
      <c r="X7">
        <v>62</v>
      </c>
      <c r="Y7">
        <v>41</v>
      </c>
      <c r="Z7">
        <v>65</v>
      </c>
      <c r="AA7">
        <v>77</v>
      </c>
      <c r="AB7">
        <v>48</v>
      </c>
      <c r="AC7">
        <v>63</v>
      </c>
      <c r="AD7">
        <v>101</v>
      </c>
      <c r="AE7">
        <v>164</v>
      </c>
      <c r="AF7">
        <v>167</v>
      </c>
      <c r="AG7">
        <v>159</v>
      </c>
      <c r="AH7">
        <v>157</v>
      </c>
    </row>
    <row r="8" spans="1:34">
      <c r="A8" t="s">
        <v>31</v>
      </c>
      <c r="B8">
        <v>-800</v>
      </c>
      <c r="C8">
        <v>-850</v>
      </c>
      <c r="D8">
        <v>-850</v>
      </c>
      <c r="E8">
        <v>-850</v>
      </c>
      <c r="F8">
        <v>-1050</v>
      </c>
      <c r="G8">
        <v>-850</v>
      </c>
      <c r="H8">
        <v>-850</v>
      </c>
      <c r="I8">
        <v>-800</v>
      </c>
      <c r="J8">
        <v>-800</v>
      </c>
      <c r="K8">
        <v>-800</v>
      </c>
      <c r="L8">
        <v>-800</v>
      </c>
      <c r="M8">
        <v>-800</v>
      </c>
      <c r="N8">
        <v>-800</v>
      </c>
      <c r="O8">
        <v>-800</v>
      </c>
      <c r="P8">
        <v>-900</v>
      </c>
      <c r="Q8">
        <v>-900</v>
      </c>
      <c r="R8">
        <v>-900</v>
      </c>
      <c r="S8">
        <v>-900</v>
      </c>
      <c r="T8">
        <v>-1000</v>
      </c>
      <c r="U8">
        <v>-1000</v>
      </c>
      <c r="V8">
        <v>-1000</v>
      </c>
      <c r="W8">
        <v>-1000</v>
      </c>
      <c r="X8">
        <v>-1000</v>
      </c>
      <c r="Y8">
        <v>-1200</v>
      </c>
      <c r="Z8">
        <v>-1200</v>
      </c>
      <c r="AA8">
        <v>-1300</v>
      </c>
      <c r="AB8">
        <v>-1520</v>
      </c>
      <c r="AC8">
        <v>-1500</v>
      </c>
      <c r="AD8">
        <v>-1500</v>
      </c>
      <c r="AE8">
        <v>-1700</v>
      </c>
      <c r="AF8">
        <v>-1800</v>
      </c>
      <c r="AG8">
        <v>-1800</v>
      </c>
      <c r="AH8">
        <v>-1900</v>
      </c>
    </row>
    <row r="9" spans="1:34">
      <c r="A9" t="s">
        <v>17</v>
      </c>
      <c r="B9">
        <v>74</v>
      </c>
      <c r="C9">
        <v>32</v>
      </c>
      <c r="D9">
        <v>54</v>
      </c>
      <c r="E9">
        <v>59</v>
      </c>
      <c r="F9">
        <v>35</v>
      </c>
      <c r="G9">
        <v>5</v>
      </c>
      <c r="H9">
        <v>5</v>
      </c>
      <c r="I9">
        <v>12</v>
      </c>
      <c r="J9">
        <v>2</v>
      </c>
      <c r="K9">
        <v>-4</v>
      </c>
      <c r="L9">
        <v>-4</v>
      </c>
      <c r="M9">
        <v>-7</v>
      </c>
      <c r="N9">
        <v>-16</v>
      </c>
      <c r="O9">
        <v>-20</v>
      </c>
      <c r="P9">
        <v>-14</v>
      </c>
      <c r="Q9">
        <v>-8</v>
      </c>
      <c r="R9">
        <v>-35</v>
      </c>
      <c r="S9">
        <v>-13</v>
      </c>
      <c r="T9">
        <v>-1</v>
      </c>
      <c r="U9">
        <v>-5</v>
      </c>
      <c r="V9">
        <v>-1</v>
      </c>
      <c r="W9">
        <v>3</v>
      </c>
      <c r="X9">
        <v>-14</v>
      </c>
      <c r="Y9">
        <v>-55</v>
      </c>
      <c r="Z9">
        <v>-39</v>
      </c>
      <c r="AA9">
        <v>-35</v>
      </c>
      <c r="AB9">
        <v>-41</v>
      </c>
      <c r="AC9">
        <v>-21</v>
      </c>
      <c r="AD9">
        <v>-18</v>
      </c>
      <c r="AE9">
        <v>-26</v>
      </c>
      <c r="AF9">
        <v>-39</v>
      </c>
      <c r="AG9">
        <v>-45</v>
      </c>
      <c r="AH9">
        <v>-38</v>
      </c>
    </row>
    <row r="10" spans="1:34">
      <c r="A10" t="s">
        <v>32</v>
      </c>
      <c r="B10">
        <v>-25</v>
      </c>
      <c r="C10">
        <v>-70</v>
      </c>
      <c r="D10">
        <v>-25</v>
      </c>
      <c r="E10">
        <v>-55</v>
      </c>
      <c r="F10">
        <v>-85</v>
      </c>
      <c r="G10">
        <v>-40</v>
      </c>
      <c r="H10">
        <v>-5</v>
      </c>
      <c r="I10">
        <v>-45</v>
      </c>
      <c r="J10">
        <v>-15</v>
      </c>
      <c r="K10">
        <v>-35</v>
      </c>
      <c r="L10">
        <v>-10</v>
      </c>
      <c r="M10">
        <v>-55</v>
      </c>
      <c r="N10">
        <v>-120</v>
      </c>
      <c r="O10">
        <v>-115</v>
      </c>
      <c r="P10">
        <v>-15</v>
      </c>
      <c r="Q10">
        <v>-20</v>
      </c>
      <c r="R10">
        <v>30</v>
      </c>
      <c r="S10">
        <v>35</v>
      </c>
      <c r="T10">
        <v>110</v>
      </c>
      <c r="U10">
        <v>-70</v>
      </c>
      <c r="V10">
        <v>-65</v>
      </c>
      <c r="W10">
        <v>-65</v>
      </c>
      <c r="X10">
        <v>-75</v>
      </c>
      <c r="Y10">
        <v>-65</v>
      </c>
      <c r="Z10">
        <v>-140</v>
      </c>
      <c r="AA10">
        <v>-125</v>
      </c>
      <c r="AB10">
        <v>-75</v>
      </c>
      <c r="AC10">
        <v>-105</v>
      </c>
      <c r="AD10">
        <v>-30</v>
      </c>
      <c r="AE10">
        <v>-205</v>
      </c>
      <c r="AF10">
        <v>-125</v>
      </c>
      <c r="AG10">
        <v>-120</v>
      </c>
      <c r="AH10">
        <v>-280</v>
      </c>
    </row>
    <row r="11" spans="1:34">
      <c r="A11" t="s">
        <v>21</v>
      </c>
      <c r="B11">
        <v>-100</v>
      </c>
      <c r="C11">
        <v>-100</v>
      </c>
      <c r="D11">
        <v>-125</v>
      </c>
      <c r="E11">
        <v>-125</v>
      </c>
      <c r="F11">
        <v>-100</v>
      </c>
      <c r="G11">
        <v>-100</v>
      </c>
      <c r="H11">
        <v>-115</v>
      </c>
      <c r="I11">
        <v>-100</v>
      </c>
      <c r="J11">
        <v>-100</v>
      </c>
      <c r="K11">
        <v>-130</v>
      </c>
      <c r="L11">
        <v>-135</v>
      </c>
      <c r="M11">
        <v>-150</v>
      </c>
      <c r="N11">
        <v>-200</v>
      </c>
      <c r="O11">
        <v>-200</v>
      </c>
      <c r="P11">
        <v>-150</v>
      </c>
      <c r="Q11">
        <v>-150</v>
      </c>
      <c r="R11">
        <v>-140</v>
      </c>
      <c r="S11">
        <v>-70</v>
      </c>
      <c r="T11">
        <v>-100</v>
      </c>
      <c r="U11">
        <v>-70</v>
      </c>
      <c r="V11">
        <v>-70</v>
      </c>
      <c r="W11">
        <v>-70</v>
      </c>
      <c r="X11">
        <v>-170</v>
      </c>
      <c r="Y11">
        <v>-85</v>
      </c>
      <c r="Z11">
        <v>-40</v>
      </c>
      <c r="AA11">
        <v>-70</v>
      </c>
      <c r="AB11">
        <v>-115</v>
      </c>
      <c r="AC11">
        <v>-90</v>
      </c>
      <c r="AD11">
        <v>-75</v>
      </c>
      <c r="AE11">
        <v>-80</v>
      </c>
      <c r="AF11">
        <v>-70</v>
      </c>
      <c r="AG11">
        <v>-100</v>
      </c>
      <c r="AH11">
        <v>-145</v>
      </c>
    </row>
    <row r="12" spans="1:34">
      <c r="A12" t="s">
        <v>33</v>
      </c>
      <c r="B12">
        <v>-150</v>
      </c>
      <c r="C12">
        <v>-150</v>
      </c>
      <c r="D12">
        <v>-125</v>
      </c>
      <c r="E12">
        <v>-140</v>
      </c>
      <c r="F12">
        <v>-140</v>
      </c>
      <c r="G12">
        <v>-140</v>
      </c>
      <c r="H12">
        <v>-150</v>
      </c>
      <c r="I12">
        <v>-120</v>
      </c>
      <c r="J12">
        <v>-180</v>
      </c>
      <c r="K12">
        <v>-150</v>
      </c>
      <c r="L12">
        <v>-160</v>
      </c>
      <c r="M12">
        <v>-135</v>
      </c>
      <c r="N12">
        <v>-150</v>
      </c>
      <c r="O12">
        <v>-181</v>
      </c>
      <c r="P12">
        <v>-100</v>
      </c>
      <c r="Q12">
        <v>-100</v>
      </c>
      <c r="R12">
        <v>-129</v>
      </c>
      <c r="S12">
        <v>-132</v>
      </c>
      <c r="T12">
        <v>-125</v>
      </c>
      <c r="U12">
        <v>-70</v>
      </c>
      <c r="V12">
        <v>-75</v>
      </c>
      <c r="W12">
        <v>-75</v>
      </c>
      <c r="X12">
        <v>-74</v>
      </c>
      <c r="Y12">
        <v>-75</v>
      </c>
      <c r="Z12">
        <v>-75</v>
      </c>
      <c r="AA12">
        <v>-65</v>
      </c>
      <c r="AB12">
        <v>-77</v>
      </c>
      <c r="AC12">
        <v>-83</v>
      </c>
      <c r="AD12">
        <v>-75</v>
      </c>
      <c r="AE12">
        <v>-60</v>
      </c>
      <c r="AF12">
        <v>-70</v>
      </c>
      <c r="AG12">
        <v>-65</v>
      </c>
      <c r="AH12">
        <v>-68</v>
      </c>
    </row>
    <row r="13" spans="1:34">
      <c r="A13" t="s">
        <v>13</v>
      </c>
      <c r="B13">
        <v>50</v>
      </c>
      <c r="C13">
        <v>41</v>
      </c>
      <c r="D13">
        <v>80</v>
      </c>
      <c r="E13">
        <v>100</v>
      </c>
      <c r="F13">
        <v>86</v>
      </c>
      <c r="G13">
        <v>60</v>
      </c>
      <c r="H13">
        <v>92</v>
      </c>
      <c r="I13">
        <v>110</v>
      </c>
      <c r="J13">
        <v>175</v>
      </c>
      <c r="K13">
        <v>208</v>
      </c>
      <c r="L13">
        <v>179</v>
      </c>
      <c r="M13">
        <v>120</v>
      </c>
      <c r="N13">
        <v>194</v>
      </c>
      <c r="O13">
        <v>105</v>
      </c>
      <c r="P13">
        <v>115</v>
      </c>
      <c r="Q13">
        <v>135</v>
      </c>
      <c r="R13">
        <v>150</v>
      </c>
      <c r="S13">
        <v>150</v>
      </c>
      <c r="T13">
        <v>150</v>
      </c>
      <c r="U13">
        <v>0</v>
      </c>
      <c r="V13">
        <v>10</v>
      </c>
      <c r="W13">
        <v>10</v>
      </c>
      <c r="X13">
        <v>5</v>
      </c>
      <c r="Y13">
        <v>-10</v>
      </c>
      <c r="Z13">
        <v>-15</v>
      </c>
      <c r="AA13">
        <v>-20</v>
      </c>
      <c r="AB13">
        <v>-41</v>
      </c>
      <c r="AC13">
        <v>-45</v>
      </c>
      <c r="AD13">
        <v>-60</v>
      </c>
      <c r="AE13">
        <v>-75</v>
      </c>
      <c r="AF13">
        <v>-75</v>
      </c>
      <c r="AG13">
        <v>-60</v>
      </c>
      <c r="AH13">
        <v>-45</v>
      </c>
    </row>
    <row r="14" spans="1:34">
      <c r="A14" t="s">
        <v>26</v>
      </c>
      <c r="B14">
        <v>-27</v>
      </c>
      <c r="C14">
        <v>-33</v>
      </c>
      <c r="D14">
        <v>12</v>
      </c>
      <c r="E14">
        <v>22</v>
      </c>
      <c r="F14">
        <v>16</v>
      </c>
      <c r="G14">
        <v>10</v>
      </c>
      <c r="H14">
        <v>-34</v>
      </c>
      <c r="I14">
        <v>-4</v>
      </c>
      <c r="J14">
        <v>-12</v>
      </c>
      <c r="K14">
        <v>-16</v>
      </c>
      <c r="L14">
        <v>-24</v>
      </c>
      <c r="M14">
        <v>-22</v>
      </c>
      <c r="N14">
        <v>-72</v>
      </c>
      <c r="O14">
        <v>-82</v>
      </c>
      <c r="P14">
        <v>-96</v>
      </c>
      <c r="Q14">
        <v>-76</v>
      </c>
      <c r="R14">
        <v>-90</v>
      </c>
      <c r="S14">
        <v>-68</v>
      </c>
      <c r="T14">
        <v>-24</v>
      </c>
      <c r="U14">
        <v>-8</v>
      </c>
      <c r="V14">
        <v>4</v>
      </c>
      <c r="W14">
        <v>-8</v>
      </c>
      <c r="X14">
        <v>-60</v>
      </c>
      <c r="Y14">
        <v>-122</v>
      </c>
      <c r="Z14">
        <v>-164</v>
      </c>
      <c r="AA14">
        <v>-154</v>
      </c>
      <c r="AB14">
        <v>-202</v>
      </c>
      <c r="AC14">
        <v>-308</v>
      </c>
      <c r="AD14">
        <v>-274</v>
      </c>
      <c r="AE14">
        <v>-292</v>
      </c>
      <c r="AF14">
        <v>-286</v>
      </c>
      <c r="AG14">
        <v>-342</v>
      </c>
      <c r="AH14">
        <v>-512</v>
      </c>
    </row>
    <row r="15" spans="1:34">
      <c r="A15" t="s">
        <v>6</v>
      </c>
      <c r="B15">
        <v>80</v>
      </c>
      <c r="C15">
        <v>21</v>
      </c>
      <c r="D15">
        <v>98</v>
      </c>
      <c r="E15">
        <v>29</v>
      </c>
      <c r="F15">
        <v>-37</v>
      </c>
      <c r="G15">
        <v>-67</v>
      </c>
      <c r="H15">
        <v>-194</v>
      </c>
      <c r="I15">
        <v>-256</v>
      </c>
      <c r="J15">
        <v>-228</v>
      </c>
      <c r="K15">
        <v>-117</v>
      </c>
      <c r="L15">
        <v>-120</v>
      </c>
      <c r="M15">
        <v>-64</v>
      </c>
      <c r="N15">
        <v>-41</v>
      </c>
      <c r="O15">
        <v>-17</v>
      </c>
      <c r="P15">
        <v>23</v>
      </c>
      <c r="Q15">
        <v>26</v>
      </c>
      <c r="R15">
        <v>-47</v>
      </c>
      <c r="S15">
        <v>8</v>
      </c>
      <c r="T15">
        <v>20</v>
      </c>
      <c r="U15">
        <v>100</v>
      </c>
      <c r="V15">
        <v>82</v>
      </c>
      <c r="W15">
        <v>86</v>
      </c>
      <c r="X15">
        <v>9</v>
      </c>
      <c r="Y15">
        <v>24</v>
      </c>
      <c r="Z15">
        <v>7</v>
      </c>
      <c r="AA15">
        <v>32</v>
      </c>
      <c r="AB15">
        <v>167</v>
      </c>
      <c r="AC15">
        <v>199</v>
      </c>
      <c r="AD15">
        <v>213</v>
      </c>
      <c r="AE15">
        <v>232</v>
      </c>
      <c r="AF15">
        <v>231</v>
      </c>
      <c r="AG15">
        <v>253</v>
      </c>
      <c r="AH15">
        <v>278</v>
      </c>
    </row>
    <row r="16" spans="1:34">
      <c r="A16" t="s">
        <v>15</v>
      </c>
      <c r="B16">
        <v>-61</v>
      </c>
      <c r="C16">
        <v>-65</v>
      </c>
      <c r="D16">
        <v>-60</v>
      </c>
      <c r="E16">
        <v>24</v>
      </c>
      <c r="F16">
        <v>26</v>
      </c>
      <c r="G16">
        <v>45</v>
      </c>
      <c r="H16">
        <v>40</v>
      </c>
      <c r="I16">
        <v>-6</v>
      </c>
      <c r="J16">
        <v>-44</v>
      </c>
      <c r="K16">
        <v>-61</v>
      </c>
      <c r="L16">
        <v>-41</v>
      </c>
      <c r="M16">
        <v>-32</v>
      </c>
      <c r="N16">
        <v>-80</v>
      </c>
      <c r="O16">
        <v>-20</v>
      </c>
      <c r="P16">
        <v>-10</v>
      </c>
      <c r="Q16">
        <v>19</v>
      </c>
      <c r="R16">
        <v>12</v>
      </c>
      <c r="S16">
        <v>26</v>
      </c>
      <c r="T16">
        <v>56</v>
      </c>
      <c r="U16">
        <v>100</v>
      </c>
      <c r="V16">
        <v>96</v>
      </c>
      <c r="W16">
        <v>90</v>
      </c>
      <c r="X16">
        <v>89</v>
      </c>
      <c r="Y16">
        <v>126</v>
      </c>
      <c r="Z16">
        <v>135</v>
      </c>
      <c r="AA16">
        <v>147</v>
      </c>
      <c r="AB16">
        <v>157</v>
      </c>
      <c r="AC16">
        <v>186</v>
      </c>
      <c r="AD16">
        <v>186</v>
      </c>
      <c r="AE16">
        <v>114</v>
      </c>
      <c r="AF16">
        <v>126</v>
      </c>
      <c r="AG16">
        <v>117</v>
      </c>
      <c r="AH16">
        <v>127</v>
      </c>
    </row>
    <row r="17" spans="1:34">
      <c r="A17" t="s">
        <v>11</v>
      </c>
      <c r="B17">
        <v>97</v>
      </c>
      <c r="C17">
        <v>126</v>
      </c>
      <c r="D17">
        <v>107</v>
      </c>
      <c r="E17">
        <v>113</v>
      </c>
      <c r="F17">
        <v>115</v>
      </c>
      <c r="G17">
        <v>109</v>
      </c>
      <c r="H17">
        <v>123</v>
      </c>
      <c r="I17">
        <v>123</v>
      </c>
      <c r="J17">
        <v>111</v>
      </c>
      <c r="K17">
        <v>93</v>
      </c>
      <c r="L17">
        <v>125</v>
      </c>
      <c r="M17">
        <v>154</v>
      </c>
      <c r="N17">
        <v>86</v>
      </c>
      <c r="O17">
        <v>55</v>
      </c>
      <c r="P17">
        <v>67</v>
      </c>
      <c r="Q17">
        <v>91</v>
      </c>
      <c r="R17">
        <v>88</v>
      </c>
      <c r="S17">
        <v>54</v>
      </c>
      <c r="T17">
        <v>69</v>
      </c>
      <c r="U17">
        <v>65</v>
      </c>
      <c r="V17">
        <v>74</v>
      </c>
      <c r="W17">
        <v>55</v>
      </c>
      <c r="X17">
        <v>57</v>
      </c>
      <c r="Y17">
        <v>57</v>
      </c>
      <c r="Z17">
        <v>54</v>
      </c>
      <c r="AA17">
        <v>55</v>
      </c>
      <c r="AB17">
        <v>59</v>
      </c>
      <c r="AC17">
        <v>70</v>
      </c>
      <c r="AD17">
        <v>52</v>
      </c>
      <c r="AE17">
        <v>33</v>
      </c>
      <c r="AF17">
        <v>55</v>
      </c>
      <c r="AG17">
        <v>26</v>
      </c>
      <c r="AH17">
        <v>65</v>
      </c>
    </row>
    <row r="18" spans="1:34">
      <c r="A18" t="s">
        <v>23</v>
      </c>
      <c r="B18">
        <v>-4</v>
      </c>
      <c r="C18">
        <v>-31</v>
      </c>
      <c r="D18">
        <v>7</v>
      </c>
      <c r="E18">
        <v>20</v>
      </c>
      <c r="F18">
        <v>20</v>
      </c>
      <c r="G18">
        <v>-10</v>
      </c>
      <c r="H18">
        <v>7</v>
      </c>
      <c r="I18">
        <v>-10</v>
      </c>
      <c r="J18">
        <v>-10</v>
      </c>
      <c r="K18">
        <v>-10</v>
      </c>
      <c r="L18">
        <v>-10</v>
      </c>
      <c r="M18">
        <v>0</v>
      </c>
      <c r="N18">
        <v>0</v>
      </c>
      <c r="O18">
        <v>-30</v>
      </c>
      <c r="P18">
        <v>-30</v>
      </c>
      <c r="Q18">
        <v>-30</v>
      </c>
      <c r="R18">
        <v>-30</v>
      </c>
      <c r="S18">
        <v>-33</v>
      </c>
      <c r="T18">
        <v>-172</v>
      </c>
      <c r="U18">
        <v>-91</v>
      </c>
      <c r="V18">
        <v>-87</v>
      </c>
      <c r="W18">
        <v>-86</v>
      </c>
      <c r="X18">
        <v>-49</v>
      </c>
      <c r="Y18">
        <v>-47</v>
      </c>
      <c r="Z18">
        <v>-68</v>
      </c>
      <c r="AA18">
        <v>-26</v>
      </c>
      <c r="AB18">
        <v>-36</v>
      </c>
      <c r="AC18">
        <v>-27</v>
      </c>
      <c r="AD18">
        <v>-34</v>
      </c>
      <c r="AE18">
        <v>-48</v>
      </c>
      <c r="AF18">
        <v>-39</v>
      </c>
      <c r="AG18">
        <v>-65</v>
      </c>
      <c r="AH18">
        <v>-47</v>
      </c>
    </row>
    <row r="19" spans="1:34">
      <c r="A19" t="s">
        <v>14</v>
      </c>
      <c r="B19">
        <v>131</v>
      </c>
      <c r="C19">
        <v>115</v>
      </c>
      <c r="D19">
        <v>115</v>
      </c>
      <c r="E19">
        <v>123</v>
      </c>
      <c r="F19">
        <v>118</v>
      </c>
      <c r="G19">
        <v>134</v>
      </c>
      <c r="H19">
        <v>127</v>
      </c>
      <c r="I19">
        <v>126</v>
      </c>
      <c r="J19">
        <v>118</v>
      </c>
      <c r="K19">
        <v>87</v>
      </c>
      <c r="L19">
        <v>65</v>
      </c>
      <c r="M19">
        <v>75</v>
      </c>
      <c r="N19">
        <v>57</v>
      </c>
      <c r="O19">
        <v>68</v>
      </c>
      <c r="P19">
        <v>63</v>
      </c>
      <c r="Q19">
        <v>64</v>
      </c>
      <c r="R19">
        <v>43</v>
      </c>
      <c r="S19">
        <v>58</v>
      </c>
      <c r="T19">
        <v>54</v>
      </c>
      <c r="U19">
        <v>70</v>
      </c>
      <c r="V19">
        <v>68</v>
      </c>
      <c r="W19">
        <v>50</v>
      </c>
      <c r="X19">
        <v>44</v>
      </c>
      <c r="Y19">
        <v>43</v>
      </c>
      <c r="Z19">
        <v>43</v>
      </c>
      <c r="AA19">
        <v>57</v>
      </c>
      <c r="AB19">
        <v>53</v>
      </c>
      <c r="AC19">
        <v>47</v>
      </c>
      <c r="AD19">
        <v>50</v>
      </c>
      <c r="AE19">
        <v>62</v>
      </c>
      <c r="AF19">
        <v>60</v>
      </c>
      <c r="AG19">
        <v>55</v>
      </c>
      <c r="AH19">
        <v>59</v>
      </c>
    </row>
    <row r="20" spans="1:34">
      <c r="A20" t="s">
        <v>8</v>
      </c>
      <c r="B20">
        <v>168</v>
      </c>
      <c r="C20">
        <v>156</v>
      </c>
      <c r="D20">
        <v>165</v>
      </c>
      <c r="E20">
        <v>173</v>
      </c>
      <c r="F20">
        <v>148</v>
      </c>
      <c r="G20">
        <v>154</v>
      </c>
      <c r="H20">
        <v>155</v>
      </c>
      <c r="I20">
        <v>121</v>
      </c>
      <c r="J20">
        <v>120</v>
      </c>
      <c r="K20">
        <v>107</v>
      </c>
      <c r="L20">
        <v>105</v>
      </c>
      <c r="M20">
        <v>106</v>
      </c>
      <c r="N20">
        <v>106</v>
      </c>
      <c r="O20">
        <v>146</v>
      </c>
      <c r="P20">
        <v>135</v>
      </c>
      <c r="Q20">
        <v>132</v>
      </c>
      <c r="R20">
        <v>77</v>
      </c>
      <c r="S20">
        <v>90</v>
      </c>
      <c r="T20">
        <v>85</v>
      </c>
      <c r="U20">
        <v>113</v>
      </c>
      <c r="V20">
        <v>106</v>
      </c>
      <c r="W20">
        <v>77</v>
      </c>
      <c r="X20">
        <v>79</v>
      </c>
      <c r="Y20">
        <v>76</v>
      </c>
      <c r="Z20">
        <v>72</v>
      </c>
      <c r="AA20">
        <v>97</v>
      </c>
      <c r="AB20">
        <v>95</v>
      </c>
      <c r="AC20">
        <v>106</v>
      </c>
      <c r="AD20">
        <v>104</v>
      </c>
      <c r="AE20">
        <v>131</v>
      </c>
      <c r="AF20">
        <v>133</v>
      </c>
      <c r="AG20">
        <v>130</v>
      </c>
      <c r="AH20">
        <v>163</v>
      </c>
    </row>
    <row r="21" spans="1:34">
      <c r="A21" t="s">
        <v>34</v>
      </c>
      <c r="B21">
        <v>26</v>
      </c>
      <c r="C21">
        <v>2</v>
      </c>
      <c r="D21">
        <v>2</v>
      </c>
      <c r="E21">
        <v>16</v>
      </c>
      <c r="F21">
        <v>-6</v>
      </c>
      <c r="G21">
        <v>12</v>
      </c>
      <c r="H21">
        <v>-12</v>
      </c>
      <c r="I21">
        <v>26</v>
      </c>
      <c r="J21">
        <v>2</v>
      </c>
      <c r="K21">
        <v>26</v>
      </c>
      <c r="L21">
        <v>-28</v>
      </c>
      <c r="M21">
        <v>-18</v>
      </c>
      <c r="N21">
        <v>-52</v>
      </c>
      <c r="O21">
        <v>-66</v>
      </c>
      <c r="P21">
        <v>-66</v>
      </c>
      <c r="Q21">
        <v>-32</v>
      </c>
      <c r="R21">
        <v>-50</v>
      </c>
      <c r="S21">
        <v>-66</v>
      </c>
      <c r="T21">
        <v>-28</v>
      </c>
      <c r="U21">
        <v>-38</v>
      </c>
      <c r="V21">
        <v>-58</v>
      </c>
      <c r="W21">
        <v>-38</v>
      </c>
      <c r="X21">
        <v>-44</v>
      </c>
      <c r="Y21">
        <v>-62</v>
      </c>
      <c r="Z21">
        <v>-66</v>
      </c>
      <c r="AA21">
        <v>-124</v>
      </c>
      <c r="AB21">
        <v>-132</v>
      </c>
      <c r="AC21">
        <v>-166</v>
      </c>
      <c r="AD21">
        <v>-172</v>
      </c>
      <c r="AE21">
        <v>-196</v>
      </c>
      <c r="AF21">
        <v>-178</v>
      </c>
      <c r="AG21">
        <v>-200</v>
      </c>
      <c r="AH21">
        <v>-210</v>
      </c>
    </row>
    <row r="22" spans="1:34">
      <c r="A22" t="s">
        <v>25</v>
      </c>
      <c r="B22">
        <v>-78</v>
      </c>
      <c r="C22">
        <v>-74</v>
      </c>
      <c r="D22">
        <v>-74</v>
      </c>
      <c r="E22">
        <v>-66</v>
      </c>
      <c r="F22">
        <v>-72</v>
      </c>
      <c r="G22">
        <v>-64</v>
      </c>
      <c r="H22">
        <v>-78</v>
      </c>
      <c r="I22">
        <v>-10</v>
      </c>
      <c r="J22">
        <v>-62</v>
      </c>
      <c r="K22">
        <v>-84</v>
      </c>
      <c r="L22">
        <v>-88</v>
      </c>
      <c r="M22">
        <v>-76</v>
      </c>
      <c r="N22">
        <v>-72</v>
      </c>
      <c r="O22">
        <v>-98</v>
      </c>
      <c r="P22">
        <v>-78</v>
      </c>
      <c r="Q22">
        <v>-74</v>
      </c>
      <c r="R22">
        <v>-60</v>
      </c>
      <c r="S22">
        <v>-74</v>
      </c>
      <c r="T22">
        <v>-64</v>
      </c>
      <c r="U22">
        <v>-78</v>
      </c>
      <c r="V22">
        <v>-108</v>
      </c>
      <c r="W22">
        <v>-76</v>
      </c>
      <c r="X22">
        <v>-60</v>
      </c>
      <c r="Y22">
        <v>-78</v>
      </c>
      <c r="Z22">
        <v>-80</v>
      </c>
      <c r="AA22">
        <v>-82</v>
      </c>
      <c r="AB22">
        <v>-74</v>
      </c>
      <c r="AC22">
        <v>-104</v>
      </c>
      <c r="AD22">
        <v>-104</v>
      </c>
      <c r="AE22">
        <v>-96</v>
      </c>
      <c r="AF22">
        <v>-102</v>
      </c>
      <c r="AG22">
        <v>-102</v>
      </c>
      <c r="AH22">
        <v>-100</v>
      </c>
    </row>
    <row r="23" spans="1:34">
      <c r="A23" t="s">
        <v>16</v>
      </c>
      <c r="B23">
        <v>276</v>
      </c>
      <c r="C23">
        <v>258</v>
      </c>
      <c r="D23">
        <v>62</v>
      </c>
      <c r="E23">
        <v>134</v>
      </c>
      <c r="F23">
        <v>46</v>
      </c>
      <c r="G23">
        <v>120</v>
      </c>
      <c r="H23">
        <v>168</v>
      </c>
      <c r="I23">
        <v>168</v>
      </c>
      <c r="J23">
        <v>202</v>
      </c>
      <c r="K23">
        <v>160</v>
      </c>
      <c r="L23">
        <v>200</v>
      </c>
      <c r="M23">
        <v>218</v>
      </c>
      <c r="N23">
        <v>156</v>
      </c>
      <c r="O23">
        <v>122</v>
      </c>
      <c r="P23">
        <v>140</v>
      </c>
      <c r="Q23">
        <v>-858</v>
      </c>
      <c r="R23">
        <v>154</v>
      </c>
      <c r="S23">
        <v>194</v>
      </c>
      <c r="T23">
        <v>166</v>
      </c>
      <c r="U23">
        <v>288</v>
      </c>
      <c r="V23">
        <v>212</v>
      </c>
      <c r="W23">
        <v>226</v>
      </c>
      <c r="X23">
        <v>196</v>
      </c>
      <c r="Y23">
        <v>202</v>
      </c>
      <c r="Z23">
        <v>162</v>
      </c>
      <c r="AA23">
        <v>154</v>
      </c>
      <c r="AB23">
        <v>172</v>
      </c>
      <c r="AC23">
        <v>98</v>
      </c>
      <c r="AD23">
        <v>92</v>
      </c>
      <c r="AE23">
        <v>70</v>
      </c>
      <c r="AF23">
        <v>112</v>
      </c>
      <c r="AG23">
        <v>80</v>
      </c>
      <c r="AH23">
        <v>90</v>
      </c>
    </row>
    <row r="24" spans="1:34">
      <c r="A24" t="s">
        <v>10</v>
      </c>
      <c r="B24">
        <v>3</v>
      </c>
      <c r="C24">
        <v>19</v>
      </c>
      <c r="D24">
        <v>67</v>
      </c>
      <c r="E24">
        <v>60</v>
      </c>
      <c r="F24">
        <v>76</v>
      </c>
      <c r="G24">
        <v>89</v>
      </c>
      <c r="H24">
        <v>234</v>
      </c>
      <c r="I24">
        <v>145</v>
      </c>
      <c r="J24">
        <v>127</v>
      </c>
      <c r="K24">
        <v>105</v>
      </c>
      <c r="L24">
        <v>128</v>
      </c>
      <c r="M24">
        <v>88</v>
      </c>
      <c r="N24">
        <v>235</v>
      </c>
      <c r="O24">
        <v>235</v>
      </c>
      <c r="P24">
        <v>255</v>
      </c>
      <c r="Q24">
        <v>114</v>
      </c>
      <c r="R24">
        <v>111</v>
      </c>
      <c r="S24">
        <v>125</v>
      </c>
      <c r="T24">
        <v>178</v>
      </c>
      <c r="U24">
        <v>159</v>
      </c>
      <c r="V24">
        <v>126</v>
      </c>
      <c r="W24">
        <v>140</v>
      </c>
      <c r="X24">
        <v>153</v>
      </c>
      <c r="Y24">
        <v>145</v>
      </c>
      <c r="Z24">
        <v>150</v>
      </c>
      <c r="AA24">
        <v>135</v>
      </c>
      <c r="AB24">
        <v>142</v>
      </c>
      <c r="AC24">
        <v>3</v>
      </c>
      <c r="AD24">
        <v>204</v>
      </c>
      <c r="AE24">
        <v>135</v>
      </c>
      <c r="AF24">
        <v>209</v>
      </c>
      <c r="AG24">
        <v>209</v>
      </c>
      <c r="AH24">
        <v>163</v>
      </c>
    </row>
    <row r="25" spans="1:34">
      <c r="A25" t="s">
        <v>35</v>
      </c>
      <c r="B25">
        <v>620</v>
      </c>
      <c r="C25">
        <v>600</v>
      </c>
      <c r="D25">
        <v>580</v>
      </c>
      <c r="E25">
        <v>590</v>
      </c>
      <c r="F25">
        <v>520</v>
      </c>
      <c r="G25">
        <v>485</v>
      </c>
      <c r="H25">
        <v>395</v>
      </c>
      <c r="I25">
        <v>360</v>
      </c>
      <c r="J25">
        <v>325</v>
      </c>
      <c r="K25">
        <v>280</v>
      </c>
      <c r="L25">
        <v>85</v>
      </c>
      <c r="M25">
        <v>115</v>
      </c>
      <c r="N25">
        <v>325</v>
      </c>
      <c r="O25">
        <v>230</v>
      </c>
      <c r="P25">
        <v>275</v>
      </c>
      <c r="Q25">
        <v>265</v>
      </c>
      <c r="R25">
        <v>220</v>
      </c>
      <c r="S25">
        <v>400</v>
      </c>
      <c r="T25">
        <v>435</v>
      </c>
      <c r="U25">
        <v>530</v>
      </c>
      <c r="V25">
        <v>555</v>
      </c>
      <c r="W25">
        <v>530</v>
      </c>
      <c r="X25">
        <v>520</v>
      </c>
      <c r="Y25">
        <v>435</v>
      </c>
      <c r="Z25">
        <v>395</v>
      </c>
      <c r="AA25">
        <v>390</v>
      </c>
      <c r="AB25">
        <v>355</v>
      </c>
      <c r="AC25">
        <v>240</v>
      </c>
      <c r="AD25">
        <v>265</v>
      </c>
      <c r="AE25">
        <v>260</v>
      </c>
      <c r="AF25">
        <v>175</v>
      </c>
      <c r="AG25">
        <v>5</v>
      </c>
      <c r="AH25">
        <v>-65</v>
      </c>
    </row>
    <row r="26" spans="1:34">
      <c r="A26" t="s">
        <v>24</v>
      </c>
      <c r="B26">
        <v>-150</v>
      </c>
      <c r="C26">
        <v>-150</v>
      </c>
      <c r="D26">
        <v>-185</v>
      </c>
      <c r="E26">
        <v>-185</v>
      </c>
      <c r="F26">
        <v>-130</v>
      </c>
      <c r="G26">
        <v>-130</v>
      </c>
      <c r="H26">
        <v>-350</v>
      </c>
      <c r="I26">
        <v>-350</v>
      </c>
      <c r="J26">
        <v>-45</v>
      </c>
      <c r="K26">
        <v>-350</v>
      </c>
      <c r="L26">
        <v>-120</v>
      </c>
      <c r="M26">
        <v>-120</v>
      </c>
      <c r="N26">
        <v>-450</v>
      </c>
      <c r="O26">
        <v>-450</v>
      </c>
      <c r="P26">
        <v>-450</v>
      </c>
      <c r="Q26">
        <v>-450</v>
      </c>
      <c r="R26">
        <v>-450</v>
      </c>
      <c r="S26">
        <v>-450</v>
      </c>
      <c r="T26">
        <v>-450</v>
      </c>
      <c r="U26">
        <v>-55</v>
      </c>
      <c r="V26">
        <v>-170</v>
      </c>
      <c r="W26">
        <v>-450</v>
      </c>
      <c r="X26">
        <v>-275</v>
      </c>
      <c r="Y26">
        <v>-350</v>
      </c>
      <c r="Z26">
        <v>-360</v>
      </c>
      <c r="AA26">
        <v>-425</v>
      </c>
      <c r="AB26">
        <v>-125</v>
      </c>
      <c r="AC26">
        <v>-475</v>
      </c>
      <c r="AD26">
        <v>-405</v>
      </c>
      <c r="AE26">
        <v>-430</v>
      </c>
      <c r="AF26">
        <v>-485</v>
      </c>
      <c r="AG26">
        <v>-435</v>
      </c>
      <c r="AH26">
        <v>-510</v>
      </c>
    </row>
    <row r="27" spans="1:34">
      <c r="A27" t="s">
        <v>36</v>
      </c>
      <c r="B27">
        <v>-590</v>
      </c>
      <c r="C27">
        <v>-600</v>
      </c>
      <c r="D27">
        <v>-70</v>
      </c>
      <c r="E27">
        <v>280</v>
      </c>
      <c r="F27">
        <v>-170</v>
      </c>
      <c r="G27">
        <v>110</v>
      </c>
      <c r="H27">
        <v>20</v>
      </c>
      <c r="I27">
        <v>270</v>
      </c>
      <c r="J27">
        <v>-10</v>
      </c>
      <c r="K27">
        <v>-110</v>
      </c>
      <c r="L27">
        <v>-90</v>
      </c>
      <c r="M27">
        <v>-130</v>
      </c>
      <c r="N27">
        <v>-180</v>
      </c>
      <c r="O27">
        <v>-210</v>
      </c>
      <c r="P27">
        <v>0</v>
      </c>
      <c r="Q27">
        <v>-100</v>
      </c>
      <c r="R27">
        <v>-200</v>
      </c>
      <c r="S27">
        <v>1870</v>
      </c>
      <c r="T27">
        <v>1220</v>
      </c>
      <c r="U27">
        <v>1180</v>
      </c>
      <c r="V27">
        <v>620</v>
      </c>
      <c r="W27">
        <v>250</v>
      </c>
      <c r="X27">
        <v>260</v>
      </c>
      <c r="Y27">
        <v>80</v>
      </c>
      <c r="Z27">
        <v>190</v>
      </c>
      <c r="AA27">
        <v>80</v>
      </c>
      <c r="AB27">
        <v>20</v>
      </c>
      <c r="AC27">
        <v>-40</v>
      </c>
      <c r="AD27">
        <v>-40</v>
      </c>
      <c r="AE27">
        <v>-290</v>
      </c>
      <c r="AF27">
        <v>300</v>
      </c>
      <c r="AG27">
        <v>-60</v>
      </c>
      <c r="AH27">
        <v>-100</v>
      </c>
    </row>
    <row r="28" spans="1:34">
      <c r="A28" t="s">
        <v>22</v>
      </c>
      <c r="B28">
        <v>-40</v>
      </c>
      <c r="C28">
        <v>-100</v>
      </c>
      <c r="D28">
        <v>-90</v>
      </c>
      <c r="E28">
        <v>-90</v>
      </c>
      <c r="F28">
        <v>-75</v>
      </c>
      <c r="G28">
        <v>40</v>
      </c>
      <c r="H28">
        <v>-120</v>
      </c>
      <c r="I28">
        <v>-55</v>
      </c>
      <c r="J28">
        <v>-120</v>
      </c>
      <c r="K28">
        <v>-100</v>
      </c>
      <c r="L28">
        <v>-125</v>
      </c>
      <c r="M28">
        <v>-225</v>
      </c>
      <c r="N28">
        <v>-170</v>
      </c>
      <c r="O28">
        <v>-150</v>
      </c>
      <c r="P28">
        <v>-185</v>
      </c>
      <c r="Q28">
        <v>-245</v>
      </c>
      <c r="R28">
        <v>-235</v>
      </c>
      <c r="S28">
        <v>-240</v>
      </c>
      <c r="T28">
        <v>-490</v>
      </c>
      <c r="U28">
        <v>-150</v>
      </c>
      <c r="V28">
        <v>-30</v>
      </c>
      <c r="W28">
        <v>-320</v>
      </c>
      <c r="X28">
        <v>-180</v>
      </c>
      <c r="Y28">
        <v>-185</v>
      </c>
      <c r="Z28">
        <v>-50</v>
      </c>
      <c r="AA28">
        <v>-105</v>
      </c>
      <c r="AB28">
        <v>-105</v>
      </c>
      <c r="AC28">
        <v>-105</v>
      </c>
      <c r="AD28">
        <v>-145</v>
      </c>
      <c r="AE28">
        <v>-145</v>
      </c>
      <c r="AF28">
        <v>-35</v>
      </c>
      <c r="AG28">
        <v>-140</v>
      </c>
      <c r="AH28">
        <v>-75</v>
      </c>
    </row>
    <row r="29" spans="1:34">
      <c r="A29" t="s">
        <v>37</v>
      </c>
      <c r="B29">
        <v>-50</v>
      </c>
      <c r="C29">
        <v>100</v>
      </c>
      <c r="D29">
        <v>70</v>
      </c>
      <c r="E29">
        <v>30</v>
      </c>
      <c r="F29">
        <v>35</v>
      </c>
      <c r="G29">
        <v>95</v>
      </c>
      <c r="H29">
        <v>105</v>
      </c>
      <c r="I29">
        <v>180</v>
      </c>
      <c r="J29">
        <v>40</v>
      </c>
      <c r="K29">
        <v>30</v>
      </c>
      <c r="L29">
        <v>15</v>
      </c>
      <c r="M29">
        <v>-25</v>
      </c>
      <c r="N29">
        <v>-60</v>
      </c>
      <c r="O29">
        <v>-80</v>
      </c>
      <c r="P29">
        <v>-35</v>
      </c>
      <c r="Q29">
        <v>-15</v>
      </c>
      <c r="R29">
        <v>-85</v>
      </c>
      <c r="S29">
        <v>460</v>
      </c>
      <c r="T29">
        <v>200</v>
      </c>
      <c r="U29">
        <v>430</v>
      </c>
      <c r="V29">
        <v>10</v>
      </c>
      <c r="W29">
        <v>40</v>
      </c>
      <c r="X29">
        <v>40</v>
      </c>
      <c r="Y29">
        <v>50</v>
      </c>
      <c r="Z29">
        <v>150</v>
      </c>
      <c r="AA29">
        <v>20</v>
      </c>
      <c r="AB29">
        <v>5</v>
      </c>
      <c r="AC29">
        <v>-30</v>
      </c>
      <c r="AD29">
        <v>15</v>
      </c>
      <c r="AE29">
        <v>-160</v>
      </c>
      <c r="AF29">
        <v>70</v>
      </c>
      <c r="AG29">
        <v>60</v>
      </c>
      <c r="AH29">
        <v>-40</v>
      </c>
    </row>
    <row r="30" spans="1:34">
      <c r="A30" t="s">
        <v>38</v>
      </c>
      <c r="B30">
        <v>460</v>
      </c>
      <c r="C30">
        <v>-680</v>
      </c>
      <c r="D30">
        <v>-140</v>
      </c>
      <c r="E30">
        <v>-170</v>
      </c>
      <c r="F30">
        <v>-910</v>
      </c>
      <c r="G30">
        <v>60</v>
      </c>
      <c r="H30">
        <v>-350</v>
      </c>
      <c r="I30">
        <v>-590</v>
      </c>
      <c r="J30">
        <v>-1260</v>
      </c>
      <c r="K30">
        <v>-520</v>
      </c>
      <c r="L30">
        <v>-260</v>
      </c>
      <c r="M30">
        <v>-340</v>
      </c>
      <c r="N30">
        <v>-450</v>
      </c>
      <c r="O30">
        <v>-1900</v>
      </c>
      <c r="P30">
        <v>-500</v>
      </c>
      <c r="Q30">
        <v>-600</v>
      </c>
      <c r="R30">
        <v>-1430</v>
      </c>
      <c r="S30">
        <v>-930</v>
      </c>
      <c r="T30">
        <v>-950</v>
      </c>
      <c r="U30">
        <v>-720</v>
      </c>
      <c r="V30">
        <v>-670</v>
      </c>
      <c r="W30">
        <v>-280</v>
      </c>
      <c r="X30">
        <v>-680</v>
      </c>
      <c r="Y30">
        <v>-400</v>
      </c>
      <c r="Z30">
        <v>-410</v>
      </c>
      <c r="AA30">
        <v>-590</v>
      </c>
      <c r="AB30">
        <v>-1260</v>
      </c>
      <c r="AC30">
        <v>-500</v>
      </c>
      <c r="AD30">
        <v>-1020</v>
      </c>
      <c r="AE30">
        <v>-1310</v>
      </c>
      <c r="AF30">
        <v>290</v>
      </c>
      <c r="AG30">
        <v>-1260</v>
      </c>
      <c r="AH30">
        <v>-1080</v>
      </c>
    </row>
    <row r="31" spans="1:34">
      <c r="A31" t="s">
        <v>18</v>
      </c>
      <c r="B31">
        <v>-43.339999999999236</v>
      </c>
      <c r="C31">
        <v>5.9000000000005457</v>
      </c>
      <c r="D31">
        <v>-0.2999999999992724</v>
      </c>
      <c r="E31">
        <v>18.890000000000327</v>
      </c>
      <c r="F31">
        <v>8.3400000000001455</v>
      </c>
      <c r="G31">
        <v>18.840000000000146</v>
      </c>
      <c r="H31">
        <v>12.019999999999527</v>
      </c>
      <c r="I31">
        <v>9.4699999999993452</v>
      </c>
      <c r="J31">
        <v>32.630000000000109</v>
      </c>
      <c r="K31">
        <v>39.339999999999236</v>
      </c>
      <c r="L31">
        <v>14.119999999999891</v>
      </c>
      <c r="M31">
        <v>40.920000000000073</v>
      </c>
      <c r="N31">
        <v>47.159999999999854</v>
      </c>
      <c r="O31">
        <v>19.760000000000218</v>
      </c>
      <c r="P31">
        <v>36.349999999999454</v>
      </c>
      <c r="Q31">
        <v>33.579999999999927</v>
      </c>
      <c r="R31">
        <v>52.090000000000146</v>
      </c>
      <c r="S31">
        <v>69.390000000000327</v>
      </c>
      <c r="T31">
        <v>4.3800000000001091</v>
      </c>
      <c r="U31">
        <v>11.609999999999673</v>
      </c>
      <c r="V31">
        <v>5.5100000000002183</v>
      </c>
      <c r="W31">
        <v>6.4799999999995634</v>
      </c>
      <c r="X31">
        <v>16.25</v>
      </c>
      <c r="Y31">
        <v>-3.3099999999994907</v>
      </c>
      <c r="Z31">
        <v>17.720000000000255</v>
      </c>
      <c r="AA31">
        <v>9.999999999308784E-3</v>
      </c>
      <c r="AB31">
        <v>11.289999999999964</v>
      </c>
      <c r="AC31">
        <v>13.699999999999818</v>
      </c>
      <c r="AD31">
        <v>-6.7900000000008731</v>
      </c>
      <c r="AE31">
        <v>15.869999999999891</v>
      </c>
      <c r="AF31">
        <v>-7.7799999999997453</v>
      </c>
      <c r="AG31">
        <v>6.6100000000005821</v>
      </c>
      <c r="AH31">
        <v>-0.68000000000029104</v>
      </c>
    </row>
    <row r="32" spans="1:34">
      <c r="A32" t="s">
        <v>19</v>
      </c>
      <c r="B32">
        <v>-1.5399999999999636</v>
      </c>
      <c r="C32">
        <v>-10.880000000000109</v>
      </c>
      <c r="D32">
        <v>0.51999999999998181</v>
      </c>
      <c r="E32">
        <v>-3.7899999999999636</v>
      </c>
      <c r="F32">
        <v>0.76999999999998181</v>
      </c>
      <c r="G32">
        <v>-2.1599999999998545</v>
      </c>
      <c r="H32">
        <v>-0.10999999999967258</v>
      </c>
      <c r="I32">
        <v>0.5500000000001819</v>
      </c>
      <c r="J32">
        <v>-0.57000000000016371</v>
      </c>
      <c r="K32">
        <v>-2.4800000000000182</v>
      </c>
      <c r="L32">
        <v>1.4099999999998545</v>
      </c>
      <c r="M32">
        <v>-0.51999999999998181</v>
      </c>
      <c r="N32">
        <v>1.069999999999709</v>
      </c>
      <c r="O32">
        <v>4.9099999999998545</v>
      </c>
      <c r="P32">
        <v>2.1100000000001273</v>
      </c>
      <c r="Q32">
        <v>-2.2699999999999818</v>
      </c>
      <c r="R32">
        <v>2.8200000000001637</v>
      </c>
      <c r="S32">
        <v>4.6999999999998181</v>
      </c>
      <c r="T32">
        <v>1.2200000000002547</v>
      </c>
      <c r="U32">
        <v>-1.1500000000000909</v>
      </c>
      <c r="V32">
        <v>5.4400000000000546</v>
      </c>
      <c r="W32">
        <v>9.9000000000000909</v>
      </c>
      <c r="X32">
        <v>8.6799999999998363</v>
      </c>
      <c r="Y32">
        <v>-4.4100000000003092</v>
      </c>
      <c r="Z32">
        <v>-3.4200000000000728</v>
      </c>
      <c r="AA32">
        <v>-16.420000000000073</v>
      </c>
      <c r="AB32">
        <v>-7.4099999999998545</v>
      </c>
      <c r="AC32">
        <v>-16.570000000000164</v>
      </c>
      <c r="AD32">
        <v>-7.1799999999998363</v>
      </c>
      <c r="AE32">
        <v>-8.9099999999998545</v>
      </c>
      <c r="AF32">
        <v>-12.820000000000164</v>
      </c>
      <c r="AG32">
        <v>-13.980000000000018</v>
      </c>
      <c r="AH32">
        <v>-10.569999999999709</v>
      </c>
    </row>
    <row r="33" spans="1:34">
      <c r="A33" t="s">
        <v>39</v>
      </c>
      <c r="B33">
        <v>-28.639999999999873</v>
      </c>
      <c r="C33">
        <v>-16.329999999999927</v>
      </c>
      <c r="D33">
        <v>-3.4499999999998181</v>
      </c>
      <c r="E33">
        <v>0.90999999999985448</v>
      </c>
      <c r="F33">
        <v>2.8700000000003456</v>
      </c>
      <c r="G33">
        <v>2.8000000000001819</v>
      </c>
      <c r="H33">
        <v>3.9800000000004729</v>
      </c>
      <c r="I33">
        <v>7.5599999999999454</v>
      </c>
      <c r="J33">
        <v>11.639999999999873</v>
      </c>
      <c r="K33">
        <v>9.6199999999998909</v>
      </c>
      <c r="L33">
        <v>9</v>
      </c>
      <c r="M33">
        <v>16.360000000000127</v>
      </c>
      <c r="N33">
        <v>15.5</v>
      </c>
      <c r="O33">
        <v>11.080000000000382</v>
      </c>
      <c r="P33">
        <v>7.1399999999998727</v>
      </c>
      <c r="Q33">
        <v>9.0899999999996908</v>
      </c>
      <c r="R33">
        <v>20.509999999999764</v>
      </c>
      <c r="S33">
        <v>21.590000000000146</v>
      </c>
      <c r="T33">
        <v>4.9600000000000364</v>
      </c>
      <c r="U33">
        <v>3.8600000000001273</v>
      </c>
      <c r="V33">
        <v>10.419999999999618</v>
      </c>
      <c r="W33">
        <v>14.809999999999945</v>
      </c>
      <c r="X33">
        <v>18.650000000000091</v>
      </c>
      <c r="Y33">
        <v>-4.6399999999998727</v>
      </c>
      <c r="Z33">
        <v>6.7200000000002547</v>
      </c>
      <c r="AA33">
        <v>-2.2299999999995634</v>
      </c>
      <c r="AB33">
        <v>5.9600000000000364</v>
      </c>
      <c r="AC33">
        <v>-17.149999999999636</v>
      </c>
      <c r="AD33">
        <v>-7.6700000000000728</v>
      </c>
      <c r="AE33">
        <v>-7.0200000000004366</v>
      </c>
      <c r="AF33">
        <v>-20.329999999999927</v>
      </c>
      <c r="AG33">
        <v>-8.6899999999995998</v>
      </c>
      <c r="AH33">
        <v>-12.950000000000728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H33"/>
  <sheetViews>
    <sheetView workbookViewId="0">
      <selection activeCell="B1" sqref="B1:B1048576"/>
    </sheetView>
  </sheetViews>
  <sheetFormatPr defaultRowHeight="13.5"/>
  <cols>
    <col min="1" max="33" width="9.125" customWidth="1"/>
    <col min="34" max="34" width="10.125" customWidth="1"/>
  </cols>
  <sheetData>
    <row r="1" spans="1:34">
      <c r="A1" t="s">
        <v>0</v>
      </c>
      <c r="B1" s="11">
        <v>43179</v>
      </c>
      <c r="C1" s="11">
        <v>43178</v>
      </c>
      <c r="D1" s="11">
        <v>43175</v>
      </c>
      <c r="E1" s="11">
        <v>43174</v>
      </c>
      <c r="F1" s="11">
        <v>43173</v>
      </c>
      <c r="G1" s="11">
        <v>43172</v>
      </c>
      <c r="H1" s="11">
        <v>43171</v>
      </c>
      <c r="I1" s="11">
        <v>43168</v>
      </c>
      <c r="J1" s="11">
        <v>43167</v>
      </c>
      <c r="K1" s="11">
        <v>43166</v>
      </c>
      <c r="L1" s="11">
        <v>43165</v>
      </c>
      <c r="M1" s="11">
        <v>43164</v>
      </c>
      <c r="N1" s="11">
        <v>43161</v>
      </c>
      <c r="O1" s="11">
        <v>43160</v>
      </c>
      <c r="P1" s="11">
        <v>43159</v>
      </c>
      <c r="Q1" s="11">
        <v>43158</v>
      </c>
      <c r="R1" s="11">
        <v>43157</v>
      </c>
      <c r="S1" s="11">
        <v>43154</v>
      </c>
      <c r="T1" s="11">
        <v>43153</v>
      </c>
      <c r="U1" s="11">
        <v>43145</v>
      </c>
      <c r="V1" s="11">
        <v>43144</v>
      </c>
      <c r="W1" s="11">
        <v>43143</v>
      </c>
      <c r="X1" s="11">
        <v>43140</v>
      </c>
      <c r="Y1" s="11">
        <v>43139</v>
      </c>
      <c r="Z1" s="11">
        <v>43138</v>
      </c>
      <c r="AA1" s="11">
        <v>43137</v>
      </c>
      <c r="AB1" s="11">
        <v>43136</v>
      </c>
      <c r="AC1" s="11">
        <v>43133</v>
      </c>
      <c r="AD1" s="11">
        <v>43132</v>
      </c>
      <c r="AE1" s="11">
        <v>43131</v>
      </c>
      <c r="AF1" s="11">
        <v>43130</v>
      </c>
      <c r="AG1" s="11">
        <v>43129</v>
      </c>
      <c r="AH1" s="11">
        <v>43126</v>
      </c>
    </row>
    <row r="2" spans="1:34">
      <c r="A2" t="s">
        <v>5</v>
      </c>
      <c r="B2">
        <v>203.5</v>
      </c>
      <c r="C2">
        <v>143.5</v>
      </c>
      <c r="D2">
        <v>120</v>
      </c>
      <c r="E2">
        <v>175.5</v>
      </c>
      <c r="F2">
        <v>139</v>
      </c>
      <c r="G2">
        <v>127.5</v>
      </c>
      <c r="H2">
        <v>130.5</v>
      </c>
      <c r="I2">
        <v>93</v>
      </c>
      <c r="J2">
        <v>-18</v>
      </c>
      <c r="K2">
        <v>-50</v>
      </c>
      <c r="L2">
        <v>-27</v>
      </c>
      <c r="M2">
        <v>-15</v>
      </c>
      <c r="N2">
        <v>-54.5</v>
      </c>
      <c r="O2">
        <v>-94</v>
      </c>
      <c r="P2">
        <v>-80.5</v>
      </c>
      <c r="Q2">
        <v>-92</v>
      </c>
      <c r="R2">
        <v>-96.5</v>
      </c>
      <c r="S2">
        <v>-31.5</v>
      </c>
      <c r="T2">
        <v>-95.5</v>
      </c>
      <c r="U2">
        <v>-95</v>
      </c>
      <c r="V2">
        <v>-79.5</v>
      </c>
      <c r="W2">
        <v>-82.5</v>
      </c>
      <c r="X2">
        <v>-103</v>
      </c>
      <c r="Y2">
        <v>-125.5</v>
      </c>
      <c r="Z2">
        <v>-126</v>
      </c>
      <c r="AA2">
        <v>-97</v>
      </c>
      <c r="AB2">
        <v>-58.5</v>
      </c>
      <c r="AC2">
        <v>-29.5</v>
      </c>
      <c r="AD2">
        <v>-4</v>
      </c>
      <c r="AE2">
        <v>116</v>
      </c>
      <c r="AF2">
        <v>89</v>
      </c>
      <c r="AG2">
        <v>61.5</v>
      </c>
      <c r="AH2">
        <v>172</v>
      </c>
    </row>
    <row r="3" spans="1:34">
      <c r="A3" t="s">
        <v>7</v>
      </c>
      <c r="B3">
        <v>189.5</v>
      </c>
      <c r="C3">
        <v>162</v>
      </c>
      <c r="D3">
        <v>156.5</v>
      </c>
      <c r="E3">
        <v>158</v>
      </c>
      <c r="F3">
        <v>160</v>
      </c>
      <c r="G3">
        <v>151.5</v>
      </c>
      <c r="H3">
        <v>142</v>
      </c>
      <c r="I3">
        <v>134.5</v>
      </c>
      <c r="J3">
        <v>97.5</v>
      </c>
      <c r="K3">
        <v>69</v>
      </c>
      <c r="L3">
        <v>73</v>
      </c>
      <c r="M3">
        <v>84</v>
      </c>
      <c r="N3">
        <v>70.5</v>
      </c>
      <c r="O3">
        <v>47</v>
      </c>
      <c r="P3">
        <v>50</v>
      </c>
      <c r="Q3">
        <v>46</v>
      </c>
      <c r="R3">
        <v>23.5</v>
      </c>
      <c r="S3">
        <v>41.5</v>
      </c>
      <c r="T3">
        <v>60</v>
      </c>
      <c r="U3">
        <v>54.5</v>
      </c>
      <c r="V3">
        <v>65.5</v>
      </c>
      <c r="W3">
        <v>69</v>
      </c>
      <c r="X3">
        <v>61</v>
      </c>
      <c r="Y3">
        <v>57</v>
      </c>
      <c r="Z3">
        <v>57</v>
      </c>
      <c r="AA3">
        <v>61.5</v>
      </c>
      <c r="AB3">
        <v>69.5</v>
      </c>
      <c r="AC3">
        <v>48</v>
      </c>
      <c r="AD3">
        <v>56.5</v>
      </c>
      <c r="AE3">
        <v>46</v>
      </c>
      <c r="AF3">
        <v>42</v>
      </c>
      <c r="AG3">
        <v>91</v>
      </c>
      <c r="AH3">
        <v>94</v>
      </c>
    </row>
    <row r="4" spans="1:34">
      <c r="A4" t="s">
        <v>4</v>
      </c>
      <c r="B4">
        <v>54</v>
      </c>
      <c r="C4">
        <v>36.600000000000023</v>
      </c>
      <c r="D4">
        <v>35</v>
      </c>
      <c r="E4">
        <v>33.399999999999977</v>
      </c>
      <c r="F4">
        <v>37.199999999999932</v>
      </c>
      <c r="G4">
        <v>42</v>
      </c>
      <c r="H4">
        <v>40.600000000000023</v>
      </c>
      <c r="I4">
        <v>36</v>
      </c>
      <c r="J4">
        <v>43.199999999999932</v>
      </c>
      <c r="K4">
        <v>48.600000000000023</v>
      </c>
      <c r="L4">
        <v>53.799999999999955</v>
      </c>
      <c r="M4">
        <v>65.399999999999977</v>
      </c>
      <c r="N4">
        <v>69</v>
      </c>
      <c r="O4">
        <v>82</v>
      </c>
      <c r="P4">
        <v>89.600000000000023</v>
      </c>
      <c r="Q4">
        <v>105.79999999999995</v>
      </c>
      <c r="R4">
        <v>114</v>
      </c>
      <c r="S4">
        <v>118.19999999999993</v>
      </c>
      <c r="T4">
        <v>124.79999999999995</v>
      </c>
      <c r="U4">
        <v>126.39999999999998</v>
      </c>
      <c r="V4">
        <v>131.19999999999993</v>
      </c>
      <c r="W4">
        <v>133.60000000000002</v>
      </c>
      <c r="X4">
        <v>129</v>
      </c>
      <c r="Y4">
        <v>132.60000000000002</v>
      </c>
      <c r="Z4">
        <v>127.79999999999995</v>
      </c>
      <c r="AA4">
        <v>127.60000000000002</v>
      </c>
      <c r="AB4">
        <v>146.79999999999995</v>
      </c>
      <c r="AC4">
        <v>135.19999999999993</v>
      </c>
      <c r="AD4">
        <v>137</v>
      </c>
      <c r="AE4">
        <v>130.79999999999995</v>
      </c>
      <c r="AF4">
        <v>131.19999999999993</v>
      </c>
      <c r="AG4">
        <v>113.60000000000002</v>
      </c>
      <c r="AH4">
        <v>115.39999999999998</v>
      </c>
    </row>
    <row r="5" spans="1:34">
      <c r="A5" t="s">
        <v>20</v>
      </c>
      <c r="B5">
        <v>16.300000000000011</v>
      </c>
      <c r="C5">
        <v>29.600000000000023</v>
      </c>
      <c r="D5">
        <v>13.300000000000011</v>
      </c>
      <c r="E5">
        <v>7.3000000000000114</v>
      </c>
      <c r="F5">
        <v>1.3000000000000114</v>
      </c>
      <c r="G5">
        <v>3.3000000000000114</v>
      </c>
      <c r="H5">
        <v>15.899999999999977</v>
      </c>
      <c r="I5">
        <v>26.399999999999977</v>
      </c>
      <c r="J5">
        <v>19</v>
      </c>
      <c r="K5">
        <v>15.5</v>
      </c>
      <c r="L5">
        <v>22.5</v>
      </c>
      <c r="M5">
        <v>20</v>
      </c>
      <c r="N5">
        <v>9</v>
      </c>
      <c r="O5">
        <v>7</v>
      </c>
      <c r="P5">
        <v>10.100000000000023</v>
      </c>
      <c r="Q5">
        <v>8.7000000000000455</v>
      </c>
      <c r="R5">
        <v>5.8999999999999773</v>
      </c>
      <c r="S5">
        <v>8.7999999999999545</v>
      </c>
      <c r="T5">
        <v>2.3999999999999773</v>
      </c>
      <c r="U5">
        <v>1.2999999999999545</v>
      </c>
      <c r="V5">
        <v>15.200000000000045</v>
      </c>
      <c r="W5">
        <v>10.899999999999977</v>
      </c>
      <c r="X5">
        <v>7.3999999999999773</v>
      </c>
      <c r="Y5">
        <v>8.3999999999999773</v>
      </c>
      <c r="Z5">
        <v>0.89999999999997726</v>
      </c>
      <c r="AA5">
        <v>2</v>
      </c>
      <c r="AB5">
        <v>6.1000000000000227</v>
      </c>
      <c r="AC5">
        <v>3.2999999999999545</v>
      </c>
      <c r="AD5">
        <v>-12.799999999999955</v>
      </c>
      <c r="AE5">
        <v>-9.6000000000000227</v>
      </c>
      <c r="AF5">
        <v>-9.6000000000000227</v>
      </c>
      <c r="AG5">
        <v>-12.799999999999955</v>
      </c>
      <c r="AH5">
        <v>1.2000000000000455</v>
      </c>
    </row>
    <row r="6" spans="1:34">
      <c r="A6" t="s">
        <v>12</v>
      </c>
      <c r="B6">
        <v>445.59999999999991</v>
      </c>
      <c r="C6">
        <v>442</v>
      </c>
      <c r="D6">
        <v>387</v>
      </c>
      <c r="E6">
        <v>369</v>
      </c>
      <c r="F6">
        <v>360</v>
      </c>
      <c r="G6">
        <v>381</v>
      </c>
      <c r="H6">
        <v>364</v>
      </c>
      <c r="I6">
        <v>340</v>
      </c>
      <c r="J6">
        <v>314</v>
      </c>
      <c r="K6">
        <v>320</v>
      </c>
      <c r="L6">
        <v>322</v>
      </c>
      <c r="M6">
        <v>367</v>
      </c>
      <c r="N6">
        <v>372</v>
      </c>
      <c r="O6">
        <v>345</v>
      </c>
      <c r="P6">
        <v>355</v>
      </c>
      <c r="Q6">
        <v>361</v>
      </c>
      <c r="R6">
        <v>312</v>
      </c>
      <c r="S6">
        <v>249</v>
      </c>
      <c r="T6">
        <v>257</v>
      </c>
      <c r="U6">
        <v>207</v>
      </c>
      <c r="V6">
        <v>217</v>
      </c>
      <c r="W6">
        <v>245</v>
      </c>
      <c r="X6">
        <v>226</v>
      </c>
      <c r="Y6">
        <v>217</v>
      </c>
      <c r="Z6">
        <v>227</v>
      </c>
      <c r="AA6">
        <v>227</v>
      </c>
      <c r="AB6">
        <v>219</v>
      </c>
      <c r="AC6">
        <v>237</v>
      </c>
      <c r="AD6">
        <v>236</v>
      </c>
      <c r="AE6">
        <v>257</v>
      </c>
      <c r="AF6">
        <v>250</v>
      </c>
      <c r="AG6">
        <v>234</v>
      </c>
      <c r="AH6">
        <v>263</v>
      </c>
    </row>
    <row r="7" spans="1:34">
      <c r="A7" t="s">
        <v>9</v>
      </c>
      <c r="B7">
        <v>273</v>
      </c>
      <c r="C7">
        <v>258</v>
      </c>
      <c r="D7">
        <v>193</v>
      </c>
      <c r="E7">
        <v>195</v>
      </c>
      <c r="F7">
        <v>181</v>
      </c>
      <c r="G7">
        <v>171</v>
      </c>
      <c r="H7">
        <v>163</v>
      </c>
      <c r="I7">
        <v>214</v>
      </c>
      <c r="J7">
        <v>160</v>
      </c>
      <c r="K7">
        <v>167</v>
      </c>
      <c r="L7">
        <v>138</v>
      </c>
      <c r="M7">
        <v>150</v>
      </c>
      <c r="N7">
        <v>177</v>
      </c>
      <c r="O7">
        <v>141</v>
      </c>
      <c r="P7">
        <v>188</v>
      </c>
      <c r="Q7">
        <v>208</v>
      </c>
      <c r="R7">
        <v>208</v>
      </c>
      <c r="S7">
        <v>272</v>
      </c>
      <c r="T7">
        <v>162</v>
      </c>
      <c r="U7">
        <v>162</v>
      </c>
      <c r="V7">
        <v>165</v>
      </c>
      <c r="W7">
        <v>165</v>
      </c>
      <c r="X7">
        <v>152</v>
      </c>
      <c r="Y7">
        <v>152</v>
      </c>
      <c r="Z7">
        <v>155</v>
      </c>
      <c r="AA7">
        <v>155</v>
      </c>
      <c r="AB7">
        <v>155</v>
      </c>
      <c r="AC7">
        <v>182</v>
      </c>
      <c r="AD7">
        <v>184</v>
      </c>
      <c r="AE7">
        <v>227</v>
      </c>
      <c r="AF7">
        <v>243</v>
      </c>
      <c r="AG7">
        <v>254</v>
      </c>
      <c r="AH7">
        <v>214</v>
      </c>
    </row>
    <row r="8" spans="1:34">
      <c r="A8" t="s">
        <v>31</v>
      </c>
      <c r="B8">
        <v>-1170</v>
      </c>
      <c r="C8">
        <v>-1165</v>
      </c>
      <c r="D8">
        <v>-1170</v>
      </c>
      <c r="E8">
        <v>-1175</v>
      </c>
      <c r="F8">
        <v>-1385</v>
      </c>
      <c r="G8">
        <v>-1220</v>
      </c>
      <c r="H8">
        <v>-1220</v>
      </c>
      <c r="I8">
        <v>-1180</v>
      </c>
      <c r="J8">
        <v>-1165</v>
      </c>
      <c r="K8">
        <v>-1175</v>
      </c>
      <c r="L8">
        <v>-1170</v>
      </c>
      <c r="M8">
        <v>-1165</v>
      </c>
      <c r="N8">
        <v>-1150</v>
      </c>
      <c r="O8">
        <v>-1155</v>
      </c>
      <c r="P8">
        <v>-1275</v>
      </c>
      <c r="Q8">
        <v>-1295</v>
      </c>
      <c r="R8">
        <v>-1290</v>
      </c>
      <c r="S8">
        <v>-1280</v>
      </c>
      <c r="T8">
        <v>-1390</v>
      </c>
      <c r="U8">
        <v>-1380</v>
      </c>
      <c r="V8">
        <v>-1380</v>
      </c>
      <c r="W8">
        <v>-1380</v>
      </c>
      <c r="X8">
        <v>-1360</v>
      </c>
      <c r="Y8">
        <v>-1590</v>
      </c>
      <c r="Z8">
        <v>-1575</v>
      </c>
      <c r="AA8">
        <v>-1675</v>
      </c>
      <c r="AB8">
        <v>-1855</v>
      </c>
      <c r="AC8">
        <v>-1845</v>
      </c>
      <c r="AD8">
        <v>-1835</v>
      </c>
      <c r="AE8">
        <v>-2055</v>
      </c>
      <c r="AF8">
        <v>-2055</v>
      </c>
      <c r="AG8">
        <v>-2060</v>
      </c>
      <c r="AH8">
        <v>-2215</v>
      </c>
    </row>
    <row r="9" spans="1:34">
      <c r="A9" t="s">
        <v>17</v>
      </c>
      <c r="B9">
        <v>113</v>
      </c>
      <c r="C9">
        <v>76</v>
      </c>
      <c r="D9">
        <v>87</v>
      </c>
      <c r="E9">
        <v>90</v>
      </c>
      <c r="F9">
        <v>64</v>
      </c>
      <c r="G9">
        <v>29</v>
      </c>
      <c r="H9">
        <v>28</v>
      </c>
      <c r="I9">
        <v>14</v>
      </c>
      <c r="J9">
        <v>-19</v>
      </c>
      <c r="K9">
        <v>-27</v>
      </c>
      <c r="L9">
        <v>-23</v>
      </c>
      <c r="M9">
        <v>-30</v>
      </c>
      <c r="N9">
        <v>-40</v>
      </c>
      <c r="O9">
        <v>-45</v>
      </c>
      <c r="P9">
        <v>-39</v>
      </c>
      <c r="Q9">
        <v>-36</v>
      </c>
      <c r="R9">
        <v>-65</v>
      </c>
      <c r="S9">
        <v>-52</v>
      </c>
      <c r="T9">
        <v>-48</v>
      </c>
      <c r="U9">
        <v>-48</v>
      </c>
      <c r="V9">
        <v>-38</v>
      </c>
      <c r="W9">
        <v>-40</v>
      </c>
      <c r="X9">
        <v>-55</v>
      </c>
      <c r="Y9">
        <v>-89</v>
      </c>
      <c r="Z9">
        <v>-73</v>
      </c>
      <c r="AA9">
        <v>-69</v>
      </c>
      <c r="AB9">
        <v>-73</v>
      </c>
      <c r="AC9">
        <v>-63</v>
      </c>
      <c r="AD9">
        <v>-61</v>
      </c>
      <c r="AE9">
        <v>-64</v>
      </c>
      <c r="AF9">
        <v>-70</v>
      </c>
      <c r="AG9">
        <v>-70</v>
      </c>
      <c r="AH9">
        <v>-49</v>
      </c>
    </row>
    <row r="10" spans="1:34">
      <c r="A10" t="s">
        <v>32</v>
      </c>
      <c r="B10">
        <v>-120</v>
      </c>
      <c r="C10">
        <v>-135</v>
      </c>
      <c r="D10">
        <v>-100</v>
      </c>
      <c r="E10">
        <v>-135</v>
      </c>
      <c r="F10">
        <v>-160</v>
      </c>
      <c r="G10">
        <v>-120</v>
      </c>
      <c r="H10">
        <v>-65</v>
      </c>
      <c r="I10">
        <v>-85</v>
      </c>
      <c r="J10">
        <v>-75</v>
      </c>
      <c r="K10">
        <v>-90</v>
      </c>
      <c r="L10">
        <v>-85</v>
      </c>
      <c r="M10">
        <v>-105</v>
      </c>
      <c r="N10">
        <v>-170</v>
      </c>
      <c r="O10">
        <v>-140</v>
      </c>
      <c r="P10">
        <v>-65</v>
      </c>
      <c r="Q10">
        <v>-60</v>
      </c>
      <c r="R10">
        <v>-40</v>
      </c>
      <c r="S10">
        <v>-5</v>
      </c>
      <c r="T10">
        <v>60</v>
      </c>
      <c r="U10">
        <v>-120</v>
      </c>
      <c r="V10">
        <v>-115</v>
      </c>
      <c r="W10">
        <v>-95</v>
      </c>
      <c r="X10">
        <v>-100</v>
      </c>
      <c r="Y10">
        <v>-85</v>
      </c>
      <c r="Z10">
        <v>-150</v>
      </c>
      <c r="AA10">
        <v>-150</v>
      </c>
      <c r="AB10">
        <v>-120</v>
      </c>
      <c r="AC10">
        <v>-165</v>
      </c>
      <c r="AD10">
        <v>-75</v>
      </c>
      <c r="AE10">
        <v>-245</v>
      </c>
      <c r="AF10">
        <v>-160</v>
      </c>
      <c r="AG10">
        <v>-175</v>
      </c>
      <c r="AH10">
        <v>-335</v>
      </c>
    </row>
    <row r="11" spans="1:34">
      <c r="A11" t="s">
        <v>21</v>
      </c>
      <c r="B11">
        <v>-95</v>
      </c>
      <c r="C11">
        <v>-50</v>
      </c>
      <c r="D11">
        <v>-150</v>
      </c>
      <c r="E11">
        <v>-160</v>
      </c>
      <c r="F11">
        <v>-135</v>
      </c>
      <c r="G11">
        <v>-165</v>
      </c>
      <c r="H11">
        <v>-195</v>
      </c>
      <c r="I11">
        <v>-155</v>
      </c>
      <c r="J11">
        <v>-175</v>
      </c>
      <c r="K11">
        <v>-170</v>
      </c>
      <c r="L11">
        <v>-165</v>
      </c>
      <c r="M11">
        <v>-90</v>
      </c>
      <c r="N11">
        <v>-80</v>
      </c>
      <c r="O11">
        <v>-55</v>
      </c>
      <c r="P11">
        <v>-30</v>
      </c>
      <c r="Q11">
        <v>-40</v>
      </c>
      <c r="R11">
        <v>15</v>
      </c>
      <c r="S11">
        <v>90</v>
      </c>
      <c r="T11">
        <v>85</v>
      </c>
      <c r="U11">
        <v>110</v>
      </c>
      <c r="V11">
        <v>110</v>
      </c>
      <c r="W11">
        <v>90</v>
      </c>
      <c r="X11">
        <v>15</v>
      </c>
      <c r="Y11">
        <v>80</v>
      </c>
      <c r="Z11">
        <v>115</v>
      </c>
      <c r="AA11">
        <v>100</v>
      </c>
      <c r="AB11">
        <v>40</v>
      </c>
      <c r="AC11">
        <v>35</v>
      </c>
      <c r="AD11">
        <v>55</v>
      </c>
      <c r="AE11">
        <v>65</v>
      </c>
      <c r="AF11">
        <v>70</v>
      </c>
      <c r="AG11">
        <v>30</v>
      </c>
      <c r="AH11">
        <v>65</v>
      </c>
    </row>
    <row r="12" spans="1:34">
      <c r="A12" t="s">
        <v>33</v>
      </c>
      <c r="B12">
        <v>-318</v>
      </c>
      <c r="C12">
        <v>-287</v>
      </c>
      <c r="D12">
        <v>-261</v>
      </c>
      <c r="E12">
        <v>-255</v>
      </c>
      <c r="F12">
        <v>-249</v>
      </c>
      <c r="G12">
        <v>-260</v>
      </c>
      <c r="H12">
        <v>-288</v>
      </c>
      <c r="I12">
        <v>-241</v>
      </c>
      <c r="J12">
        <v>-312</v>
      </c>
      <c r="K12">
        <v>-266</v>
      </c>
      <c r="L12">
        <v>-253</v>
      </c>
      <c r="M12">
        <v>-190</v>
      </c>
      <c r="N12">
        <v>-165</v>
      </c>
      <c r="O12">
        <v>-173</v>
      </c>
      <c r="P12">
        <v>-106</v>
      </c>
      <c r="Q12">
        <v>-111</v>
      </c>
      <c r="R12">
        <v>-142</v>
      </c>
      <c r="S12">
        <v>-115</v>
      </c>
      <c r="T12">
        <v>-113</v>
      </c>
      <c r="U12">
        <v>-43</v>
      </c>
      <c r="V12">
        <v>-53</v>
      </c>
      <c r="W12">
        <v>-60</v>
      </c>
      <c r="X12">
        <v>-52</v>
      </c>
      <c r="Y12">
        <v>-66</v>
      </c>
      <c r="Z12">
        <v>-48</v>
      </c>
      <c r="AA12">
        <v>-17</v>
      </c>
      <c r="AB12">
        <v>-40</v>
      </c>
      <c r="AC12">
        <v>-67</v>
      </c>
      <c r="AD12">
        <v>-62</v>
      </c>
      <c r="AE12">
        <v>-24</v>
      </c>
      <c r="AF12">
        <v>-51</v>
      </c>
      <c r="AG12">
        <v>-44</v>
      </c>
      <c r="AH12">
        <v>18</v>
      </c>
    </row>
    <row r="13" spans="1:34">
      <c r="A13" t="s">
        <v>13</v>
      </c>
      <c r="B13">
        <v>88</v>
      </c>
      <c r="C13">
        <v>95</v>
      </c>
      <c r="D13">
        <v>126</v>
      </c>
      <c r="E13">
        <v>170</v>
      </c>
      <c r="F13">
        <v>132</v>
      </c>
      <c r="G13">
        <v>132</v>
      </c>
      <c r="H13">
        <v>176</v>
      </c>
      <c r="I13">
        <v>190</v>
      </c>
      <c r="J13">
        <v>251</v>
      </c>
      <c r="K13">
        <v>296</v>
      </c>
      <c r="L13">
        <v>319</v>
      </c>
      <c r="M13">
        <v>282</v>
      </c>
      <c r="N13">
        <v>352</v>
      </c>
      <c r="O13">
        <v>243</v>
      </c>
      <c r="P13">
        <v>263</v>
      </c>
      <c r="Q13">
        <v>289</v>
      </c>
      <c r="R13">
        <v>324</v>
      </c>
      <c r="S13">
        <v>302</v>
      </c>
      <c r="T13">
        <v>262</v>
      </c>
      <c r="U13">
        <v>84</v>
      </c>
      <c r="V13">
        <v>84</v>
      </c>
      <c r="W13">
        <v>58</v>
      </c>
      <c r="X13">
        <v>37</v>
      </c>
      <c r="Y13">
        <v>26</v>
      </c>
      <c r="Z13">
        <v>15</v>
      </c>
      <c r="AA13">
        <v>6</v>
      </c>
      <c r="AB13">
        <v>-9</v>
      </c>
      <c r="AC13">
        <v>-7</v>
      </c>
      <c r="AD13">
        <v>-12</v>
      </c>
      <c r="AE13">
        <v>-53</v>
      </c>
      <c r="AF13">
        <v>-67</v>
      </c>
      <c r="AG13">
        <v>-52</v>
      </c>
      <c r="AH13">
        <v>-38</v>
      </c>
    </row>
    <row r="14" spans="1:34">
      <c r="A14" t="s">
        <v>26</v>
      </c>
      <c r="B14">
        <v>-69</v>
      </c>
      <c r="C14">
        <v>-79</v>
      </c>
      <c r="D14">
        <v>-40</v>
      </c>
      <c r="E14">
        <v>-38</v>
      </c>
      <c r="F14">
        <v>-38</v>
      </c>
      <c r="G14">
        <v>-34</v>
      </c>
      <c r="H14">
        <v>-70</v>
      </c>
      <c r="I14">
        <v>-40</v>
      </c>
      <c r="J14">
        <v>-50</v>
      </c>
      <c r="K14">
        <v>-60</v>
      </c>
      <c r="L14">
        <v>-74</v>
      </c>
      <c r="M14">
        <v>-52</v>
      </c>
      <c r="N14">
        <v>-100</v>
      </c>
      <c r="O14">
        <v>-106</v>
      </c>
      <c r="P14">
        <v>-120</v>
      </c>
      <c r="Q14">
        <v>-96</v>
      </c>
      <c r="R14">
        <v>-114</v>
      </c>
      <c r="S14">
        <v>-86</v>
      </c>
      <c r="T14">
        <v>-40</v>
      </c>
      <c r="U14">
        <v>-36</v>
      </c>
      <c r="V14">
        <v>-42</v>
      </c>
      <c r="W14">
        <v>-68</v>
      </c>
      <c r="X14">
        <v>-110</v>
      </c>
      <c r="Y14">
        <v>-174</v>
      </c>
      <c r="Z14">
        <v>-220</v>
      </c>
      <c r="AA14">
        <v>-206</v>
      </c>
      <c r="AB14">
        <v>-248</v>
      </c>
      <c r="AC14">
        <v>-360</v>
      </c>
      <c r="AD14">
        <v>-322</v>
      </c>
      <c r="AE14">
        <v>-342</v>
      </c>
      <c r="AF14">
        <v>-334</v>
      </c>
      <c r="AG14">
        <v>-390</v>
      </c>
      <c r="AH14">
        <v>-508</v>
      </c>
    </row>
    <row r="15" spans="1:34">
      <c r="A15" t="s">
        <v>6</v>
      </c>
      <c r="B15">
        <v>209</v>
      </c>
      <c r="C15">
        <v>147</v>
      </c>
      <c r="D15">
        <v>184</v>
      </c>
      <c r="E15">
        <v>114</v>
      </c>
      <c r="F15">
        <v>33</v>
      </c>
      <c r="G15">
        <v>4</v>
      </c>
      <c r="H15">
        <v>-154</v>
      </c>
      <c r="I15">
        <v>-217</v>
      </c>
      <c r="J15">
        <v>-231</v>
      </c>
      <c r="K15">
        <v>-146</v>
      </c>
      <c r="L15">
        <v>-137</v>
      </c>
      <c r="M15">
        <v>-83</v>
      </c>
      <c r="N15">
        <v>-34</v>
      </c>
      <c r="O15">
        <v>-2</v>
      </c>
      <c r="P15">
        <v>39</v>
      </c>
      <c r="Q15">
        <v>52</v>
      </c>
      <c r="R15">
        <v>26</v>
      </c>
      <c r="S15">
        <v>89</v>
      </c>
      <c r="T15">
        <v>97</v>
      </c>
      <c r="U15">
        <v>172</v>
      </c>
      <c r="V15">
        <v>167</v>
      </c>
      <c r="W15">
        <v>168</v>
      </c>
      <c r="X15">
        <v>111</v>
      </c>
      <c r="Y15">
        <v>121</v>
      </c>
      <c r="Z15">
        <v>102</v>
      </c>
      <c r="AA15">
        <v>127</v>
      </c>
      <c r="AB15">
        <v>252</v>
      </c>
      <c r="AC15">
        <v>275</v>
      </c>
      <c r="AD15">
        <v>290</v>
      </c>
      <c r="AE15">
        <v>310</v>
      </c>
      <c r="AF15">
        <v>313</v>
      </c>
      <c r="AG15">
        <v>348</v>
      </c>
      <c r="AH15">
        <v>580</v>
      </c>
    </row>
    <row r="16" spans="1:34">
      <c r="A16" t="s">
        <v>15</v>
      </c>
      <c r="B16">
        <v>-101</v>
      </c>
      <c r="C16">
        <v>-117</v>
      </c>
      <c r="D16">
        <v>-111</v>
      </c>
      <c r="E16">
        <v>-54</v>
      </c>
      <c r="F16">
        <v>-55</v>
      </c>
      <c r="G16">
        <v>-40</v>
      </c>
      <c r="H16">
        <v>-37</v>
      </c>
      <c r="I16">
        <v>-75</v>
      </c>
      <c r="J16">
        <v>-100</v>
      </c>
      <c r="K16">
        <v>-115</v>
      </c>
      <c r="L16">
        <v>-106</v>
      </c>
      <c r="M16">
        <v>-76</v>
      </c>
      <c r="N16">
        <v>-128</v>
      </c>
      <c r="O16">
        <v>-91</v>
      </c>
      <c r="P16">
        <v>-87</v>
      </c>
      <c r="Q16">
        <v>-57</v>
      </c>
      <c r="R16">
        <v>-66</v>
      </c>
      <c r="S16">
        <v>-44</v>
      </c>
      <c r="T16">
        <v>-11</v>
      </c>
      <c r="U16">
        <v>26</v>
      </c>
      <c r="V16">
        <v>22</v>
      </c>
      <c r="W16">
        <v>22</v>
      </c>
      <c r="X16">
        <v>20</v>
      </c>
      <c r="Y16">
        <v>59</v>
      </c>
      <c r="Z16">
        <v>65</v>
      </c>
      <c r="AA16">
        <v>74</v>
      </c>
      <c r="AB16">
        <v>81</v>
      </c>
      <c r="AC16">
        <v>95</v>
      </c>
      <c r="AD16">
        <v>98</v>
      </c>
      <c r="AE16">
        <v>41</v>
      </c>
      <c r="AF16">
        <v>48</v>
      </c>
      <c r="AG16">
        <v>35</v>
      </c>
      <c r="AH16">
        <v>201</v>
      </c>
    </row>
    <row r="17" spans="1:34">
      <c r="A17" t="s">
        <v>11</v>
      </c>
      <c r="B17">
        <v>126</v>
      </c>
      <c r="C17">
        <v>154</v>
      </c>
      <c r="D17">
        <v>133</v>
      </c>
      <c r="E17">
        <v>156</v>
      </c>
      <c r="F17">
        <v>160</v>
      </c>
      <c r="G17">
        <v>159</v>
      </c>
      <c r="H17">
        <v>170</v>
      </c>
      <c r="I17">
        <v>167</v>
      </c>
      <c r="J17">
        <v>153</v>
      </c>
      <c r="K17">
        <v>133</v>
      </c>
      <c r="L17">
        <v>179</v>
      </c>
      <c r="M17">
        <v>222</v>
      </c>
      <c r="N17">
        <v>150</v>
      </c>
      <c r="O17">
        <v>117</v>
      </c>
      <c r="P17">
        <v>112</v>
      </c>
      <c r="Q17">
        <v>139</v>
      </c>
      <c r="R17">
        <v>122</v>
      </c>
      <c r="S17">
        <v>87</v>
      </c>
      <c r="T17">
        <v>105</v>
      </c>
      <c r="U17">
        <v>87</v>
      </c>
      <c r="V17">
        <v>98</v>
      </c>
      <c r="W17">
        <v>81</v>
      </c>
      <c r="X17">
        <v>84</v>
      </c>
      <c r="Y17">
        <v>83</v>
      </c>
      <c r="Z17">
        <v>82</v>
      </c>
      <c r="AA17">
        <v>76</v>
      </c>
      <c r="AB17">
        <v>79</v>
      </c>
      <c r="AC17">
        <v>86</v>
      </c>
      <c r="AD17">
        <v>76</v>
      </c>
      <c r="AE17">
        <v>55</v>
      </c>
      <c r="AF17">
        <v>71</v>
      </c>
      <c r="AG17">
        <v>39</v>
      </c>
      <c r="AH17">
        <v>103</v>
      </c>
    </row>
    <row r="18" spans="1:34">
      <c r="A18" t="s">
        <v>23</v>
      </c>
      <c r="B18">
        <v>-4</v>
      </c>
      <c r="C18">
        <v>-35</v>
      </c>
      <c r="D18">
        <v>0</v>
      </c>
      <c r="E18">
        <v>31</v>
      </c>
      <c r="F18">
        <v>42</v>
      </c>
      <c r="G18">
        <v>13</v>
      </c>
      <c r="H18">
        <v>37</v>
      </c>
      <c r="I18">
        <v>10</v>
      </c>
      <c r="J18">
        <v>11</v>
      </c>
      <c r="K18">
        <v>10</v>
      </c>
      <c r="L18">
        <v>20</v>
      </c>
      <c r="M18">
        <v>39</v>
      </c>
      <c r="N18">
        <v>31</v>
      </c>
      <c r="O18">
        <v>-3</v>
      </c>
      <c r="P18">
        <v>-3</v>
      </c>
      <c r="Q18">
        <v>-4</v>
      </c>
      <c r="R18">
        <v>-4</v>
      </c>
      <c r="S18">
        <v>-8</v>
      </c>
      <c r="T18">
        <v>-145</v>
      </c>
      <c r="U18">
        <v>-85</v>
      </c>
      <c r="V18">
        <v>-78</v>
      </c>
      <c r="W18">
        <v>-80</v>
      </c>
      <c r="X18">
        <v>-45</v>
      </c>
      <c r="Y18">
        <v>-40</v>
      </c>
      <c r="Z18">
        <v>-64</v>
      </c>
      <c r="AA18">
        <v>-29</v>
      </c>
      <c r="AB18">
        <v>-38</v>
      </c>
      <c r="AC18">
        <v>-33</v>
      </c>
      <c r="AD18">
        <v>-40</v>
      </c>
      <c r="AE18">
        <v>-56</v>
      </c>
      <c r="AF18">
        <v>-48</v>
      </c>
      <c r="AG18">
        <v>-78</v>
      </c>
      <c r="AH18">
        <v>-40</v>
      </c>
    </row>
    <row r="19" spans="1:34">
      <c r="A19" t="s">
        <v>14</v>
      </c>
      <c r="B19">
        <v>178</v>
      </c>
      <c r="C19">
        <v>161</v>
      </c>
      <c r="D19">
        <v>161</v>
      </c>
      <c r="E19">
        <v>165</v>
      </c>
      <c r="F19">
        <v>171</v>
      </c>
      <c r="G19">
        <v>181</v>
      </c>
      <c r="H19">
        <v>181</v>
      </c>
      <c r="I19">
        <v>190</v>
      </c>
      <c r="J19">
        <v>182</v>
      </c>
      <c r="K19">
        <v>160</v>
      </c>
      <c r="L19">
        <v>135</v>
      </c>
      <c r="M19">
        <v>142</v>
      </c>
      <c r="N19">
        <v>103</v>
      </c>
      <c r="O19">
        <v>116</v>
      </c>
      <c r="P19">
        <v>101</v>
      </c>
      <c r="Q19">
        <v>103</v>
      </c>
      <c r="R19">
        <v>84</v>
      </c>
      <c r="S19">
        <v>90</v>
      </c>
      <c r="T19">
        <v>84</v>
      </c>
      <c r="U19">
        <v>99</v>
      </c>
      <c r="V19">
        <v>96</v>
      </c>
      <c r="W19">
        <v>83</v>
      </c>
      <c r="X19">
        <v>79</v>
      </c>
      <c r="Y19">
        <v>76</v>
      </c>
      <c r="Z19">
        <v>70</v>
      </c>
      <c r="AA19">
        <v>78</v>
      </c>
      <c r="AB19">
        <v>73</v>
      </c>
      <c r="AC19">
        <v>64</v>
      </c>
      <c r="AD19">
        <v>71</v>
      </c>
      <c r="AE19">
        <v>79</v>
      </c>
      <c r="AF19">
        <v>76</v>
      </c>
      <c r="AG19">
        <v>74</v>
      </c>
      <c r="AH19">
        <v>69</v>
      </c>
    </row>
    <row r="20" spans="1:34">
      <c r="A20" t="s">
        <v>8</v>
      </c>
      <c r="B20">
        <v>153</v>
      </c>
      <c r="C20">
        <v>142</v>
      </c>
      <c r="D20">
        <v>141</v>
      </c>
      <c r="E20">
        <v>149</v>
      </c>
      <c r="F20">
        <v>135</v>
      </c>
      <c r="G20">
        <v>135</v>
      </c>
      <c r="H20">
        <v>139</v>
      </c>
      <c r="I20">
        <v>126</v>
      </c>
      <c r="J20">
        <v>120</v>
      </c>
      <c r="K20">
        <v>104</v>
      </c>
      <c r="L20">
        <v>95</v>
      </c>
      <c r="M20">
        <v>96</v>
      </c>
      <c r="N20">
        <v>93</v>
      </c>
      <c r="O20">
        <v>117</v>
      </c>
      <c r="P20">
        <v>116</v>
      </c>
      <c r="Q20">
        <v>114</v>
      </c>
      <c r="R20">
        <v>62</v>
      </c>
      <c r="S20">
        <v>59</v>
      </c>
      <c r="T20">
        <v>54</v>
      </c>
      <c r="U20">
        <v>75</v>
      </c>
      <c r="V20">
        <v>67</v>
      </c>
      <c r="W20">
        <v>46</v>
      </c>
      <c r="X20">
        <v>49</v>
      </c>
      <c r="Y20">
        <v>42</v>
      </c>
      <c r="Z20">
        <v>37</v>
      </c>
      <c r="AA20">
        <v>53</v>
      </c>
      <c r="AB20">
        <v>51</v>
      </c>
      <c r="AC20">
        <v>59</v>
      </c>
      <c r="AD20">
        <v>64</v>
      </c>
      <c r="AE20">
        <v>82</v>
      </c>
      <c r="AF20">
        <v>85</v>
      </c>
      <c r="AG20">
        <v>80</v>
      </c>
      <c r="AH20">
        <v>114</v>
      </c>
    </row>
    <row r="21" spans="1:34">
      <c r="A21" t="s">
        <v>34</v>
      </c>
      <c r="B21">
        <v>-128</v>
      </c>
      <c r="C21">
        <v>-144</v>
      </c>
      <c r="D21">
        <v>-138</v>
      </c>
      <c r="E21">
        <v>-130</v>
      </c>
      <c r="F21">
        <v>-154</v>
      </c>
      <c r="G21">
        <v>-132</v>
      </c>
      <c r="H21">
        <v>-148</v>
      </c>
      <c r="I21">
        <v>-116</v>
      </c>
      <c r="J21">
        <v>-152</v>
      </c>
      <c r="K21">
        <v>-132</v>
      </c>
      <c r="L21">
        <v>-184</v>
      </c>
      <c r="M21">
        <v>-172</v>
      </c>
      <c r="N21">
        <v>-212</v>
      </c>
      <c r="O21">
        <v>-212</v>
      </c>
      <c r="P21">
        <v>-216</v>
      </c>
      <c r="Q21">
        <v>-180</v>
      </c>
      <c r="R21">
        <v>-198</v>
      </c>
      <c r="S21">
        <v>-210</v>
      </c>
      <c r="T21">
        <v>-174</v>
      </c>
      <c r="U21">
        <v>-182</v>
      </c>
      <c r="V21">
        <v>-194</v>
      </c>
      <c r="W21">
        <v>-176</v>
      </c>
      <c r="X21">
        <v>-188</v>
      </c>
      <c r="Y21">
        <v>-208</v>
      </c>
      <c r="Z21">
        <v>-208</v>
      </c>
      <c r="AA21">
        <v>-264</v>
      </c>
      <c r="AB21">
        <v>-276</v>
      </c>
      <c r="AC21">
        <v>-306</v>
      </c>
      <c r="AD21">
        <v>-316</v>
      </c>
      <c r="AE21">
        <v>-340</v>
      </c>
      <c r="AF21">
        <v>-320</v>
      </c>
      <c r="AG21">
        <v>-340</v>
      </c>
      <c r="AH21">
        <v>-342</v>
      </c>
    </row>
    <row r="22" spans="1:34">
      <c r="A22" t="s">
        <v>25</v>
      </c>
      <c r="B22">
        <v>-92</v>
      </c>
      <c r="C22">
        <v>-90</v>
      </c>
      <c r="D22">
        <v>-88</v>
      </c>
      <c r="E22">
        <v>-86</v>
      </c>
      <c r="F22">
        <v>-88</v>
      </c>
      <c r="G22">
        <v>-76</v>
      </c>
      <c r="H22">
        <v>-70</v>
      </c>
      <c r="I22">
        <v>-44</v>
      </c>
      <c r="J22">
        <v>-80</v>
      </c>
      <c r="K22">
        <v>-64</v>
      </c>
      <c r="L22">
        <v>-56</v>
      </c>
      <c r="M22">
        <v>-68</v>
      </c>
      <c r="N22">
        <v>-58</v>
      </c>
      <c r="O22">
        <v>-76</v>
      </c>
      <c r="P22">
        <v>-62</v>
      </c>
      <c r="Q22">
        <v>-70</v>
      </c>
      <c r="R22">
        <v>-82</v>
      </c>
      <c r="S22">
        <v>-98</v>
      </c>
      <c r="T22">
        <v>-106</v>
      </c>
      <c r="U22">
        <v>-118</v>
      </c>
      <c r="V22">
        <v>-146</v>
      </c>
      <c r="W22">
        <v>-122</v>
      </c>
      <c r="X22">
        <v>-108</v>
      </c>
      <c r="Y22">
        <v>-130</v>
      </c>
      <c r="Z22">
        <v>-138</v>
      </c>
      <c r="AA22">
        <v>-140</v>
      </c>
      <c r="AB22">
        <v>-146</v>
      </c>
      <c r="AC22">
        <v>-178</v>
      </c>
      <c r="AD22">
        <v>-186</v>
      </c>
      <c r="AE22">
        <v>-170</v>
      </c>
      <c r="AF22">
        <v>-176</v>
      </c>
      <c r="AG22">
        <v>-172</v>
      </c>
      <c r="AH22">
        <v>-210</v>
      </c>
    </row>
    <row r="23" spans="1:34">
      <c r="A23" t="s">
        <v>16</v>
      </c>
      <c r="B23">
        <v>100</v>
      </c>
      <c r="C23">
        <v>80</v>
      </c>
      <c r="D23">
        <v>-100</v>
      </c>
      <c r="E23">
        <v>-56</v>
      </c>
      <c r="F23">
        <v>-140</v>
      </c>
      <c r="G23">
        <v>-88</v>
      </c>
      <c r="H23">
        <v>-52</v>
      </c>
      <c r="I23">
        <v>-56</v>
      </c>
      <c r="J23">
        <v>-36</v>
      </c>
      <c r="K23">
        <v>-84</v>
      </c>
      <c r="L23">
        <v>-52</v>
      </c>
      <c r="M23">
        <v>-38</v>
      </c>
      <c r="N23">
        <v>-86</v>
      </c>
      <c r="O23">
        <v>-134</v>
      </c>
      <c r="P23">
        <v>-124</v>
      </c>
      <c r="Q23">
        <v>-1130</v>
      </c>
      <c r="R23">
        <v>-114</v>
      </c>
      <c r="S23">
        <v>-78</v>
      </c>
      <c r="T23">
        <v>-100</v>
      </c>
      <c r="U23">
        <v>24</v>
      </c>
      <c r="V23">
        <v>-42</v>
      </c>
      <c r="W23">
        <v>-36</v>
      </c>
      <c r="X23">
        <v>-52</v>
      </c>
      <c r="Y23">
        <v>-58</v>
      </c>
      <c r="Z23">
        <v>-100</v>
      </c>
      <c r="AA23">
        <v>-100</v>
      </c>
      <c r="AB23">
        <v>-78</v>
      </c>
      <c r="AC23">
        <v>-132</v>
      </c>
      <c r="AD23">
        <v>-142</v>
      </c>
      <c r="AE23">
        <v>-168</v>
      </c>
      <c r="AF23">
        <v>-130</v>
      </c>
      <c r="AG23">
        <v>-138</v>
      </c>
      <c r="AH23">
        <v>40</v>
      </c>
    </row>
    <row r="24" spans="1:34">
      <c r="A24" t="s">
        <v>10</v>
      </c>
      <c r="B24">
        <v>12</v>
      </c>
      <c r="C24">
        <v>39</v>
      </c>
      <c r="D24">
        <v>40</v>
      </c>
      <c r="E24">
        <v>38</v>
      </c>
      <c r="F24">
        <v>51</v>
      </c>
      <c r="G24">
        <v>43</v>
      </c>
      <c r="H24">
        <v>205</v>
      </c>
      <c r="I24">
        <v>102</v>
      </c>
      <c r="J24">
        <v>115</v>
      </c>
      <c r="K24">
        <v>98</v>
      </c>
      <c r="L24">
        <v>111</v>
      </c>
      <c r="M24">
        <v>108</v>
      </c>
      <c r="N24">
        <v>272</v>
      </c>
      <c r="O24">
        <v>280</v>
      </c>
      <c r="P24">
        <v>304</v>
      </c>
      <c r="Q24">
        <v>164</v>
      </c>
      <c r="R24">
        <v>159</v>
      </c>
      <c r="S24">
        <v>169</v>
      </c>
      <c r="T24">
        <v>197</v>
      </c>
      <c r="U24">
        <v>174</v>
      </c>
      <c r="V24">
        <v>140</v>
      </c>
      <c r="W24">
        <v>152</v>
      </c>
      <c r="X24">
        <v>176</v>
      </c>
      <c r="Y24">
        <v>168</v>
      </c>
      <c r="Z24">
        <v>168</v>
      </c>
      <c r="AA24">
        <v>152</v>
      </c>
      <c r="AB24">
        <v>163</v>
      </c>
      <c r="AC24">
        <v>21</v>
      </c>
      <c r="AD24">
        <v>223</v>
      </c>
      <c r="AE24">
        <v>180</v>
      </c>
      <c r="AF24">
        <v>248</v>
      </c>
      <c r="AG24">
        <v>252</v>
      </c>
      <c r="AH24">
        <v>255</v>
      </c>
    </row>
    <row r="25" spans="1:34">
      <c r="A25" t="s">
        <v>35</v>
      </c>
      <c r="B25">
        <v>125</v>
      </c>
      <c r="C25">
        <v>100</v>
      </c>
      <c r="D25">
        <v>105</v>
      </c>
      <c r="E25">
        <v>95</v>
      </c>
      <c r="F25">
        <v>30</v>
      </c>
      <c r="G25">
        <v>15</v>
      </c>
      <c r="H25">
        <v>-85</v>
      </c>
      <c r="I25">
        <v>-120</v>
      </c>
      <c r="J25">
        <v>-135</v>
      </c>
      <c r="K25">
        <v>-180</v>
      </c>
      <c r="L25">
        <v>-365</v>
      </c>
      <c r="M25">
        <v>-365</v>
      </c>
      <c r="N25">
        <v>-145</v>
      </c>
      <c r="O25">
        <v>-240</v>
      </c>
      <c r="P25">
        <v>-195</v>
      </c>
      <c r="Q25">
        <v>-205</v>
      </c>
      <c r="R25">
        <v>-260</v>
      </c>
      <c r="S25">
        <v>-65</v>
      </c>
      <c r="T25">
        <v>-25</v>
      </c>
      <c r="U25">
        <v>65</v>
      </c>
      <c r="V25">
        <v>100</v>
      </c>
      <c r="W25">
        <v>80</v>
      </c>
      <c r="X25">
        <v>70</v>
      </c>
      <c r="Y25">
        <v>-15</v>
      </c>
      <c r="Z25">
        <v>-55</v>
      </c>
      <c r="AA25">
        <v>-50</v>
      </c>
      <c r="AB25">
        <v>-85</v>
      </c>
      <c r="AC25">
        <v>-190</v>
      </c>
      <c r="AD25">
        <v>-155</v>
      </c>
      <c r="AE25">
        <v>-155</v>
      </c>
      <c r="AF25">
        <v>-235</v>
      </c>
      <c r="AG25">
        <v>-410</v>
      </c>
      <c r="AH25">
        <v>-465</v>
      </c>
    </row>
    <row r="26" spans="1:34">
      <c r="A26" t="s">
        <v>24</v>
      </c>
      <c r="B26">
        <v>-515</v>
      </c>
      <c r="C26">
        <v>-275</v>
      </c>
      <c r="D26">
        <v>-275</v>
      </c>
      <c r="E26">
        <v>-275</v>
      </c>
      <c r="F26">
        <v>-275</v>
      </c>
      <c r="G26">
        <v>-345</v>
      </c>
      <c r="H26">
        <v>-300</v>
      </c>
      <c r="I26">
        <v>-300</v>
      </c>
      <c r="J26">
        <v>-315</v>
      </c>
      <c r="K26">
        <v>-330</v>
      </c>
      <c r="L26">
        <v>-400</v>
      </c>
      <c r="M26">
        <v>-250</v>
      </c>
      <c r="N26">
        <v>-400</v>
      </c>
      <c r="O26">
        <v>-300</v>
      </c>
      <c r="P26">
        <v>-300</v>
      </c>
      <c r="Q26">
        <v>-300</v>
      </c>
      <c r="R26">
        <v>-320</v>
      </c>
      <c r="S26">
        <v>-145</v>
      </c>
      <c r="T26">
        <v>-145</v>
      </c>
      <c r="U26">
        <v>-220</v>
      </c>
      <c r="V26">
        <v>-95</v>
      </c>
      <c r="W26">
        <v>-95</v>
      </c>
      <c r="X26">
        <v>-95</v>
      </c>
      <c r="Y26">
        <v>-95</v>
      </c>
      <c r="Z26">
        <v>-95</v>
      </c>
      <c r="AA26">
        <v>-95</v>
      </c>
      <c r="AB26">
        <v>105</v>
      </c>
      <c r="AC26">
        <v>-95</v>
      </c>
      <c r="AD26">
        <v>-220</v>
      </c>
      <c r="AE26">
        <v>-55</v>
      </c>
      <c r="AF26">
        <v>-350</v>
      </c>
      <c r="AG26">
        <v>-350</v>
      </c>
      <c r="AH26">
        <v>-350</v>
      </c>
    </row>
    <row r="27" spans="1:34">
      <c r="A27" t="s">
        <v>36</v>
      </c>
      <c r="B27">
        <v>-90</v>
      </c>
      <c r="C27">
        <v>-160</v>
      </c>
      <c r="D27">
        <v>-180</v>
      </c>
      <c r="E27">
        <v>-60</v>
      </c>
      <c r="F27">
        <v>-530</v>
      </c>
      <c r="G27">
        <v>-210</v>
      </c>
      <c r="H27">
        <v>-340</v>
      </c>
      <c r="I27">
        <v>-10</v>
      </c>
      <c r="J27">
        <v>-300</v>
      </c>
      <c r="K27">
        <v>-400</v>
      </c>
      <c r="L27">
        <v>-360</v>
      </c>
      <c r="M27">
        <v>-360</v>
      </c>
      <c r="N27">
        <v>-420</v>
      </c>
      <c r="O27">
        <v>-450</v>
      </c>
      <c r="P27">
        <v>-240</v>
      </c>
      <c r="Q27">
        <v>-350</v>
      </c>
      <c r="R27">
        <v>-480</v>
      </c>
      <c r="S27">
        <v>-270</v>
      </c>
      <c r="T27">
        <v>-130</v>
      </c>
      <c r="U27">
        <v>-240</v>
      </c>
      <c r="V27">
        <v>-160</v>
      </c>
      <c r="W27">
        <v>-150</v>
      </c>
      <c r="X27">
        <v>-30</v>
      </c>
      <c r="Y27">
        <v>-210</v>
      </c>
      <c r="Z27">
        <v>-90</v>
      </c>
      <c r="AA27">
        <v>-190</v>
      </c>
      <c r="AB27">
        <v>-260</v>
      </c>
      <c r="AC27">
        <v>-240</v>
      </c>
      <c r="AD27">
        <v>-270</v>
      </c>
      <c r="AE27">
        <v>-490</v>
      </c>
      <c r="AF27">
        <v>140</v>
      </c>
      <c r="AG27">
        <v>-200</v>
      </c>
      <c r="AH27">
        <v>10</v>
      </c>
    </row>
    <row r="28" spans="1:34">
      <c r="A28" t="s">
        <v>22</v>
      </c>
      <c r="B28">
        <v>-110</v>
      </c>
      <c r="C28">
        <v>-155</v>
      </c>
      <c r="D28">
        <v>-115</v>
      </c>
      <c r="E28">
        <v>-175</v>
      </c>
      <c r="F28">
        <v>-160</v>
      </c>
      <c r="G28">
        <v>-55</v>
      </c>
      <c r="H28">
        <v>-215</v>
      </c>
      <c r="I28">
        <v>-140</v>
      </c>
      <c r="J28">
        <v>-200</v>
      </c>
      <c r="K28">
        <v>-175</v>
      </c>
      <c r="L28">
        <v>-210</v>
      </c>
      <c r="M28">
        <v>-310</v>
      </c>
      <c r="N28">
        <v>-265</v>
      </c>
      <c r="O28">
        <v>-240</v>
      </c>
      <c r="P28">
        <v>-275</v>
      </c>
      <c r="Q28">
        <v>-335</v>
      </c>
      <c r="R28">
        <v>-320</v>
      </c>
      <c r="S28">
        <v>-285</v>
      </c>
      <c r="T28">
        <v>-350</v>
      </c>
      <c r="U28">
        <v>-230</v>
      </c>
      <c r="V28">
        <v>-180</v>
      </c>
      <c r="W28">
        <v>-330</v>
      </c>
      <c r="X28">
        <v>-285</v>
      </c>
      <c r="Y28">
        <v>-270</v>
      </c>
      <c r="Z28">
        <v>-135</v>
      </c>
      <c r="AA28">
        <v>-185</v>
      </c>
      <c r="AB28">
        <v>-190</v>
      </c>
      <c r="AC28">
        <v>-190</v>
      </c>
      <c r="AD28">
        <v>-230</v>
      </c>
      <c r="AE28">
        <v>-235</v>
      </c>
      <c r="AF28">
        <v>-105</v>
      </c>
      <c r="AG28">
        <v>-230</v>
      </c>
      <c r="AH28">
        <v>-310</v>
      </c>
    </row>
    <row r="29" spans="1:34">
      <c r="A29" t="s">
        <v>37</v>
      </c>
      <c r="B29">
        <v>15</v>
      </c>
      <c r="C29">
        <v>-80</v>
      </c>
      <c r="D29">
        <v>-10</v>
      </c>
      <c r="E29">
        <v>-80</v>
      </c>
      <c r="F29">
        <v>-110</v>
      </c>
      <c r="G29">
        <v>-60</v>
      </c>
      <c r="H29">
        <v>20</v>
      </c>
      <c r="I29">
        <v>130</v>
      </c>
      <c r="J29">
        <v>-25</v>
      </c>
      <c r="K29">
        <v>-20</v>
      </c>
      <c r="L29">
        <v>-30</v>
      </c>
      <c r="M29">
        <v>-55</v>
      </c>
      <c r="N29">
        <v>-110</v>
      </c>
      <c r="O29">
        <v>-145</v>
      </c>
      <c r="P29">
        <v>-65</v>
      </c>
      <c r="Q29">
        <v>-45</v>
      </c>
      <c r="R29">
        <v>-120</v>
      </c>
      <c r="S29">
        <v>-25</v>
      </c>
      <c r="T29">
        <v>-85</v>
      </c>
      <c r="U29">
        <v>-110</v>
      </c>
      <c r="V29">
        <v>-90</v>
      </c>
      <c r="W29">
        <v>-10</v>
      </c>
      <c r="X29">
        <v>-50</v>
      </c>
      <c r="Y29">
        <v>-80</v>
      </c>
      <c r="Z29">
        <v>15</v>
      </c>
      <c r="AA29">
        <v>-80</v>
      </c>
      <c r="AB29">
        <v>-65</v>
      </c>
      <c r="AC29">
        <v>-60</v>
      </c>
      <c r="AD29">
        <v>-25</v>
      </c>
      <c r="AE29">
        <v>-185</v>
      </c>
      <c r="AF29">
        <v>40</v>
      </c>
      <c r="AG29">
        <v>15</v>
      </c>
      <c r="AH29">
        <v>-40</v>
      </c>
    </row>
    <row r="30" spans="1:34">
      <c r="A30" t="s">
        <v>38</v>
      </c>
      <c r="B30">
        <v>-540</v>
      </c>
      <c r="C30">
        <v>-1790</v>
      </c>
      <c r="D30">
        <v>-1180</v>
      </c>
      <c r="E30">
        <v>-1180</v>
      </c>
      <c r="F30">
        <v>-1940</v>
      </c>
      <c r="G30">
        <v>-900</v>
      </c>
      <c r="H30">
        <v>-1220</v>
      </c>
      <c r="I30">
        <v>-1420</v>
      </c>
      <c r="J30">
        <v>-2130</v>
      </c>
      <c r="K30">
        <v>-1410</v>
      </c>
      <c r="L30">
        <v>-1060</v>
      </c>
      <c r="M30">
        <v>-1180</v>
      </c>
      <c r="N30">
        <v>-1320</v>
      </c>
      <c r="O30">
        <v>-2700</v>
      </c>
      <c r="P30">
        <v>-1350</v>
      </c>
      <c r="Q30">
        <v>-1380</v>
      </c>
      <c r="R30">
        <v>-2220</v>
      </c>
      <c r="S30">
        <v>-1700</v>
      </c>
      <c r="T30">
        <v>-1630</v>
      </c>
      <c r="U30">
        <v>-1440</v>
      </c>
      <c r="V30">
        <v>-1330</v>
      </c>
      <c r="W30">
        <v>-990</v>
      </c>
      <c r="X30">
        <v>-1500</v>
      </c>
      <c r="Y30">
        <v>-1160</v>
      </c>
      <c r="Z30">
        <v>-1220</v>
      </c>
      <c r="AA30">
        <v>-1570</v>
      </c>
      <c r="AB30">
        <v>-2220</v>
      </c>
      <c r="AC30">
        <v>-1350</v>
      </c>
      <c r="AD30">
        <v>-1810</v>
      </c>
      <c r="AE30">
        <v>-2190</v>
      </c>
      <c r="AF30">
        <v>-480</v>
      </c>
      <c r="AG30">
        <v>-2000</v>
      </c>
      <c r="AH30">
        <v>-6780</v>
      </c>
    </row>
    <row r="31" spans="1:34">
      <c r="A31" t="s">
        <v>18</v>
      </c>
      <c r="B31">
        <v>66.0600000000004</v>
      </c>
      <c r="C31">
        <v>36.900000000000546</v>
      </c>
      <c r="D31">
        <v>61.5</v>
      </c>
      <c r="E31">
        <v>59.090000000000146</v>
      </c>
      <c r="F31">
        <v>44.140000000000327</v>
      </c>
      <c r="G31">
        <v>58.4399999999996</v>
      </c>
      <c r="H31">
        <v>48.420000000000073</v>
      </c>
      <c r="I31">
        <v>49.069999999999709</v>
      </c>
      <c r="J31">
        <v>72.630000000000109</v>
      </c>
      <c r="K31">
        <v>77.539999999999964</v>
      </c>
      <c r="L31">
        <v>52.520000000000437</v>
      </c>
      <c r="M31">
        <v>73.920000000000073</v>
      </c>
      <c r="N31">
        <v>83.159999999999854</v>
      </c>
      <c r="O31">
        <v>50.5600000000004</v>
      </c>
      <c r="P31">
        <v>67.75</v>
      </c>
      <c r="Q31">
        <v>61.979999999999563</v>
      </c>
      <c r="R31">
        <v>83.489999999999782</v>
      </c>
      <c r="S31">
        <v>94.390000000000327</v>
      </c>
      <c r="T31">
        <v>53.380000000000109</v>
      </c>
      <c r="U31">
        <v>48.8100000000004</v>
      </c>
      <c r="V31">
        <v>33.3100000000004</v>
      </c>
      <c r="W31">
        <v>28.079999999999927</v>
      </c>
      <c r="X31">
        <v>37.849999999999454</v>
      </c>
      <c r="Y31">
        <v>20.690000000000509</v>
      </c>
      <c r="Z31">
        <v>39.520000000000437</v>
      </c>
      <c r="AA31">
        <v>21.409999999999854</v>
      </c>
      <c r="AB31">
        <v>39.489999999999782</v>
      </c>
      <c r="AC31">
        <v>29.699999999999818</v>
      </c>
      <c r="AD31">
        <v>3.0099999999993088</v>
      </c>
      <c r="AE31">
        <v>35.869999999999891</v>
      </c>
      <c r="AF31">
        <v>13.420000000000073</v>
      </c>
      <c r="AG31">
        <v>13.610000000000582</v>
      </c>
      <c r="AH31">
        <v>-20.469999999999345</v>
      </c>
    </row>
    <row r="32" spans="1:34">
      <c r="A32" t="s">
        <v>19</v>
      </c>
      <c r="B32">
        <v>5.2599999999997635</v>
      </c>
      <c r="C32">
        <v>5.1199999999998909</v>
      </c>
      <c r="D32">
        <v>-4.8800000000001091</v>
      </c>
      <c r="E32">
        <v>-1.5899999999996908</v>
      </c>
      <c r="F32">
        <v>2.9699999999997999</v>
      </c>
      <c r="G32">
        <v>-4.3600000000001273</v>
      </c>
      <c r="H32">
        <v>-1.5099999999997635</v>
      </c>
      <c r="I32">
        <v>0.5500000000001819</v>
      </c>
      <c r="J32">
        <v>2.9999999999745341E-2</v>
      </c>
      <c r="K32">
        <v>-5.080000000000382</v>
      </c>
      <c r="L32">
        <v>3.6099999999996726</v>
      </c>
      <c r="M32">
        <v>1.0799999999999272</v>
      </c>
      <c r="N32">
        <v>-0.32999999999992724</v>
      </c>
      <c r="O32">
        <v>4.7100000000000364</v>
      </c>
      <c r="P32">
        <v>1.5100000000002183</v>
      </c>
      <c r="Q32">
        <v>-5.6700000000000728</v>
      </c>
      <c r="R32">
        <v>2.4200000000000728</v>
      </c>
      <c r="S32">
        <v>2.0999999999999091</v>
      </c>
      <c r="T32">
        <v>8.6199999999998909</v>
      </c>
      <c r="U32">
        <v>0.84999999999990905</v>
      </c>
      <c r="V32">
        <v>6.8400000000001455</v>
      </c>
      <c r="W32">
        <v>11.900000000000091</v>
      </c>
      <c r="X32">
        <v>12.679999999999836</v>
      </c>
      <c r="Y32">
        <v>-8.6100000000001273</v>
      </c>
      <c r="Z32">
        <v>-10.619999999999891</v>
      </c>
      <c r="AA32">
        <v>-26.420000000000073</v>
      </c>
      <c r="AB32">
        <v>-17.210000000000036</v>
      </c>
      <c r="AC32">
        <v>-27.970000000000255</v>
      </c>
      <c r="AD32">
        <v>-19.779999999999745</v>
      </c>
      <c r="AE32">
        <v>-18.509999999999764</v>
      </c>
      <c r="AF32">
        <v>-25.820000000000164</v>
      </c>
      <c r="AG32">
        <v>-25.580000000000382</v>
      </c>
      <c r="AH32">
        <v>-8.5499999999997272</v>
      </c>
    </row>
    <row r="33" spans="1:34">
      <c r="A33" t="s">
        <v>39</v>
      </c>
      <c r="B33">
        <v>28.559999999999945</v>
      </c>
      <c r="C33">
        <v>22.869999999999891</v>
      </c>
      <c r="D33">
        <v>21.150000000000091</v>
      </c>
      <c r="E33">
        <v>13.110000000000127</v>
      </c>
      <c r="F33">
        <v>11.470000000000255</v>
      </c>
      <c r="G33">
        <v>6.8000000000001819</v>
      </c>
      <c r="H33">
        <v>9.7800000000006548</v>
      </c>
      <c r="I33">
        <v>14.159999999999854</v>
      </c>
      <c r="J33">
        <v>17.839999999999691</v>
      </c>
      <c r="K33">
        <v>17.420000000000073</v>
      </c>
      <c r="L33">
        <v>16.400000000000091</v>
      </c>
      <c r="M33">
        <v>20.760000000000218</v>
      </c>
      <c r="N33">
        <v>20.700000000000273</v>
      </c>
      <c r="O33">
        <v>18.480000000000018</v>
      </c>
      <c r="P33">
        <v>9.1399999999998727</v>
      </c>
      <c r="Q33">
        <v>4.8899999999998727</v>
      </c>
      <c r="R33">
        <v>21.709999999999582</v>
      </c>
      <c r="S33">
        <v>20.190000000000055</v>
      </c>
      <c r="T33">
        <v>29.360000000000127</v>
      </c>
      <c r="U33">
        <v>16.860000000000127</v>
      </c>
      <c r="V33">
        <v>20.819999999999709</v>
      </c>
      <c r="W33">
        <v>28.210000000000036</v>
      </c>
      <c r="X33">
        <v>26.050000000000182</v>
      </c>
      <c r="Y33">
        <v>-9.8400000000001455</v>
      </c>
      <c r="Z33">
        <v>0.92000000000007276</v>
      </c>
      <c r="AA33">
        <v>-7.6299999999991996</v>
      </c>
      <c r="AB33">
        <v>2.5600000000004002</v>
      </c>
      <c r="AC33">
        <v>-21.75</v>
      </c>
      <c r="AD33">
        <v>-15.869999999999891</v>
      </c>
      <c r="AE33">
        <v>-13.220000000000255</v>
      </c>
      <c r="AF33">
        <v>-28.730000000000473</v>
      </c>
      <c r="AG33">
        <v>-18.489999999999782</v>
      </c>
      <c r="AH33">
        <v>-18.989999999999782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G34"/>
  <sheetViews>
    <sheetView workbookViewId="0">
      <selection activeCell="O23" sqref="O23"/>
    </sheetView>
  </sheetViews>
  <sheetFormatPr defaultRowHeight="13.5"/>
  <sheetData>
    <row r="1" spans="1:33">
      <c r="A1" t="s">
        <v>0</v>
      </c>
      <c r="B1" s="11">
        <v>43179</v>
      </c>
      <c r="C1" s="11">
        <v>43178</v>
      </c>
      <c r="D1" s="11">
        <v>43175</v>
      </c>
      <c r="E1" s="11">
        <v>43174</v>
      </c>
      <c r="F1" s="11">
        <v>43173</v>
      </c>
      <c r="G1" s="11">
        <v>43172</v>
      </c>
      <c r="H1" s="11">
        <v>43171</v>
      </c>
      <c r="I1" s="11">
        <v>43168</v>
      </c>
      <c r="J1" s="11">
        <v>43167</v>
      </c>
      <c r="K1" s="11">
        <v>43166</v>
      </c>
      <c r="L1" s="11">
        <v>43165</v>
      </c>
      <c r="M1" s="11">
        <v>43164</v>
      </c>
      <c r="N1" s="11">
        <v>43161</v>
      </c>
      <c r="O1" s="11">
        <v>43160</v>
      </c>
      <c r="P1" s="11">
        <v>43159</v>
      </c>
      <c r="Q1" s="11">
        <v>43158</v>
      </c>
      <c r="R1" s="11">
        <v>43157</v>
      </c>
      <c r="S1" s="11">
        <v>43154</v>
      </c>
      <c r="T1" s="11">
        <v>43153</v>
      </c>
      <c r="U1" s="11">
        <v>43145</v>
      </c>
      <c r="V1" s="11">
        <v>43144</v>
      </c>
      <c r="W1" s="11">
        <v>43143</v>
      </c>
      <c r="X1" s="11">
        <v>43140</v>
      </c>
      <c r="Y1" s="11">
        <v>43139</v>
      </c>
      <c r="Z1" s="11">
        <v>43138</v>
      </c>
      <c r="AA1" s="11">
        <v>43137</v>
      </c>
      <c r="AB1" s="11">
        <v>43136</v>
      </c>
      <c r="AC1" s="11">
        <v>43133</v>
      </c>
      <c r="AD1" s="11">
        <v>43132</v>
      </c>
      <c r="AE1" s="11">
        <v>43131</v>
      </c>
      <c r="AF1" s="11">
        <v>43130</v>
      </c>
      <c r="AG1" s="11">
        <v>43129</v>
      </c>
    </row>
    <row r="2" spans="1:33">
      <c r="A2" t="str">
        <f>IF(手动输入表!$F2="","",手动输入表!$F2)</f>
        <v>焦炭</v>
      </c>
      <c r="B2" t="s">
        <v>123</v>
      </c>
      <c r="C2" t="s">
        <v>123</v>
      </c>
      <c r="D2" t="s">
        <v>123</v>
      </c>
      <c r="E2" t="s">
        <v>493</v>
      </c>
      <c r="F2" t="s">
        <v>474</v>
      </c>
      <c r="G2" t="s">
        <v>123</v>
      </c>
      <c r="H2" t="s">
        <v>123</v>
      </c>
      <c r="I2" t="s">
        <v>123</v>
      </c>
      <c r="J2" t="s">
        <v>123</v>
      </c>
      <c r="K2" t="s">
        <v>123</v>
      </c>
      <c r="L2" t="s">
        <v>123</v>
      </c>
      <c r="M2" t="s">
        <v>123</v>
      </c>
      <c r="N2" t="s">
        <v>159</v>
      </c>
      <c r="O2" t="s">
        <v>338</v>
      </c>
      <c r="P2" t="s">
        <v>319</v>
      </c>
      <c r="Q2" t="s">
        <v>123</v>
      </c>
      <c r="R2" t="s">
        <v>282</v>
      </c>
      <c r="S2" t="s">
        <v>264</v>
      </c>
      <c r="T2" t="s">
        <v>245</v>
      </c>
      <c r="U2" t="s">
        <v>119</v>
      </c>
      <c r="V2" t="s">
        <v>119</v>
      </c>
      <c r="W2" t="s">
        <v>119</v>
      </c>
      <c r="X2" t="s">
        <v>119</v>
      </c>
      <c r="Y2" t="s">
        <v>119</v>
      </c>
      <c r="Z2" t="s">
        <v>119</v>
      </c>
      <c r="AA2" t="s">
        <v>119</v>
      </c>
      <c r="AB2" t="s">
        <v>204</v>
      </c>
      <c r="AC2" t="s">
        <v>119</v>
      </c>
      <c r="AD2" t="s">
        <v>119</v>
      </c>
      <c r="AE2" t="s">
        <v>119</v>
      </c>
      <c r="AF2" t="s">
        <v>119</v>
      </c>
      <c r="AG2" t="s">
        <v>119</v>
      </c>
    </row>
    <row r="3" spans="1:33">
      <c r="A3" t="str">
        <f>IF(手动输入表!$F3="","",手动输入表!$F3)</f>
        <v>焦煤</v>
      </c>
      <c r="B3" t="s">
        <v>122</v>
      </c>
      <c r="C3" t="s">
        <v>122</v>
      </c>
      <c r="D3" t="s">
        <v>122</v>
      </c>
      <c r="E3" t="s">
        <v>494</v>
      </c>
      <c r="F3" t="s">
        <v>475</v>
      </c>
      <c r="G3" t="s">
        <v>122</v>
      </c>
      <c r="H3" t="s">
        <v>122</v>
      </c>
      <c r="I3" t="s">
        <v>122</v>
      </c>
      <c r="J3" t="s">
        <v>122</v>
      </c>
      <c r="K3" t="s">
        <v>122</v>
      </c>
      <c r="L3" t="s">
        <v>122</v>
      </c>
      <c r="M3" t="s">
        <v>122</v>
      </c>
      <c r="N3" t="s">
        <v>147</v>
      </c>
      <c r="O3" t="s">
        <v>339</v>
      </c>
      <c r="P3" t="s">
        <v>320</v>
      </c>
      <c r="Q3" t="s">
        <v>122</v>
      </c>
      <c r="R3" t="s">
        <v>283</v>
      </c>
      <c r="S3" t="s">
        <v>265</v>
      </c>
      <c r="T3" t="s">
        <v>246</v>
      </c>
      <c r="U3" t="s">
        <v>122</v>
      </c>
      <c r="V3" t="s">
        <v>122</v>
      </c>
      <c r="W3" t="s">
        <v>122</v>
      </c>
      <c r="X3" t="s">
        <v>122</v>
      </c>
      <c r="Y3" t="s">
        <v>122</v>
      </c>
      <c r="Z3" t="s">
        <v>122</v>
      </c>
      <c r="AA3" t="s">
        <v>122</v>
      </c>
      <c r="AB3" t="s">
        <v>205</v>
      </c>
      <c r="AC3" t="s">
        <v>122</v>
      </c>
      <c r="AD3" t="s">
        <v>122</v>
      </c>
      <c r="AE3" t="s">
        <v>122</v>
      </c>
      <c r="AF3" t="s">
        <v>122</v>
      </c>
      <c r="AG3" t="s">
        <v>122</v>
      </c>
    </row>
    <row r="4" spans="1:33">
      <c r="A4" t="str">
        <f>IF(手动输入表!$F4="","",手动输入表!$F4)</f>
        <v>动力煤</v>
      </c>
      <c r="B4" t="s">
        <v>112</v>
      </c>
      <c r="C4" t="s">
        <v>112</v>
      </c>
      <c r="D4" t="s">
        <v>112</v>
      </c>
      <c r="E4" t="s">
        <v>495</v>
      </c>
      <c r="F4" t="s">
        <v>476</v>
      </c>
      <c r="G4" t="s">
        <v>112</v>
      </c>
      <c r="H4" t="s">
        <v>112</v>
      </c>
      <c r="I4" t="s">
        <v>112</v>
      </c>
      <c r="J4" t="s">
        <v>112</v>
      </c>
      <c r="K4" t="s">
        <v>112</v>
      </c>
      <c r="L4" t="s">
        <v>112</v>
      </c>
      <c r="M4" t="s">
        <v>112</v>
      </c>
      <c r="N4" t="s">
        <v>167</v>
      </c>
      <c r="O4" t="s">
        <v>340</v>
      </c>
      <c r="P4" t="s">
        <v>321</v>
      </c>
      <c r="Q4" t="s">
        <v>112</v>
      </c>
      <c r="R4" t="s">
        <v>284</v>
      </c>
      <c r="S4" t="s">
        <v>266</v>
      </c>
      <c r="T4" t="s">
        <v>247</v>
      </c>
      <c r="U4" t="s">
        <v>112</v>
      </c>
      <c r="V4" t="s">
        <v>112</v>
      </c>
      <c r="W4" t="s">
        <v>112</v>
      </c>
      <c r="X4" t="s">
        <v>112</v>
      </c>
      <c r="Y4" t="s">
        <v>112</v>
      </c>
      <c r="Z4" t="s">
        <v>112</v>
      </c>
      <c r="AA4" t="s">
        <v>112</v>
      </c>
      <c r="AB4" t="s">
        <v>206</v>
      </c>
      <c r="AC4" t="s">
        <v>112</v>
      </c>
      <c r="AD4" t="s">
        <v>112</v>
      </c>
      <c r="AE4" t="s">
        <v>112</v>
      </c>
      <c r="AF4" t="s">
        <v>112</v>
      </c>
      <c r="AG4" t="s">
        <v>112</v>
      </c>
    </row>
    <row r="5" spans="1:33">
      <c r="A5" t="str">
        <f>IF(手动输入表!$F5="","",手动输入表!$F5)</f>
        <v>铁矿石</v>
      </c>
      <c r="B5" t="s">
        <v>129</v>
      </c>
      <c r="C5" t="s">
        <v>129</v>
      </c>
      <c r="D5" t="s">
        <v>129</v>
      </c>
      <c r="E5" t="s">
        <v>496</v>
      </c>
      <c r="F5" t="s">
        <v>477</v>
      </c>
      <c r="G5" t="s">
        <v>129</v>
      </c>
      <c r="H5" t="s">
        <v>129</v>
      </c>
      <c r="I5" t="s">
        <v>129</v>
      </c>
      <c r="J5" t="s">
        <v>129</v>
      </c>
      <c r="K5" t="s">
        <v>129</v>
      </c>
      <c r="L5" t="s">
        <v>129</v>
      </c>
      <c r="M5" t="s">
        <v>129</v>
      </c>
      <c r="N5" t="s">
        <v>149</v>
      </c>
      <c r="O5" t="s">
        <v>341</v>
      </c>
      <c r="P5" t="s">
        <v>322</v>
      </c>
      <c r="Q5" t="s">
        <v>129</v>
      </c>
      <c r="R5" t="s">
        <v>285</v>
      </c>
      <c r="S5" t="s">
        <v>267</v>
      </c>
      <c r="T5" t="s">
        <v>248</v>
      </c>
      <c r="U5" t="s">
        <v>129</v>
      </c>
      <c r="V5" t="s">
        <v>129</v>
      </c>
      <c r="W5" t="s">
        <v>129</v>
      </c>
      <c r="X5" t="s">
        <v>129</v>
      </c>
      <c r="Y5" t="s">
        <v>129</v>
      </c>
      <c r="Z5" t="s">
        <v>129</v>
      </c>
      <c r="AA5" t="s">
        <v>129</v>
      </c>
      <c r="AB5" t="s">
        <v>207</v>
      </c>
      <c r="AC5" t="s">
        <v>129</v>
      </c>
      <c r="AD5" t="s">
        <v>129</v>
      </c>
      <c r="AE5" t="s">
        <v>129</v>
      </c>
      <c r="AF5" t="s">
        <v>129</v>
      </c>
      <c r="AG5" t="s">
        <v>129</v>
      </c>
    </row>
    <row r="6" spans="1:33">
      <c r="A6" t="str">
        <f>IF(手动输入表!$F6="","",手动输入表!$F6)</f>
        <v>螺纹钢</v>
      </c>
      <c r="B6" t="s">
        <v>113</v>
      </c>
      <c r="C6" t="s">
        <v>113</v>
      </c>
      <c r="D6" t="s">
        <v>113</v>
      </c>
      <c r="E6" t="s">
        <v>497</v>
      </c>
      <c r="F6" t="s">
        <v>478</v>
      </c>
      <c r="G6" t="s">
        <v>113</v>
      </c>
      <c r="H6" t="s">
        <v>113</v>
      </c>
      <c r="I6" t="s">
        <v>113</v>
      </c>
      <c r="J6" t="s">
        <v>113</v>
      </c>
      <c r="K6" t="s">
        <v>113</v>
      </c>
      <c r="L6" t="s">
        <v>113</v>
      </c>
      <c r="M6" t="s">
        <v>113</v>
      </c>
      <c r="N6" t="s">
        <v>169</v>
      </c>
      <c r="O6" t="s">
        <v>342</v>
      </c>
      <c r="P6" t="s">
        <v>323</v>
      </c>
      <c r="Q6" t="s">
        <v>113</v>
      </c>
      <c r="R6" t="s">
        <v>286</v>
      </c>
      <c r="S6" t="s">
        <v>268</v>
      </c>
      <c r="T6" t="s">
        <v>249</v>
      </c>
      <c r="U6" t="s">
        <v>113</v>
      </c>
      <c r="V6" t="s">
        <v>113</v>
      </c>
      <c r="W6" t="s">
        <v>113</v>
      </c>
      <c r="X6" t="s">
        <v>113</v>
      </c>
      <c r="Y6" t="s">
        <v>113</v>
      </c>
      <c r="Z6" t="s">
        <v>113</v>
      </c>
      <c r="AA6" t="s">
        <v>113</v>
      </c>
      <c r="AB6" t="s">
        <v>208</v>
      </c>
      <c r="AC6" t="s">
        <v>113</v>
      </c>
      <c r="AD6" t="s">
        <v>113</v>
      </c>
      <c r="AE6" t="s">
        <v>113</v>
      </c>
      <c r="AF6" t="s">
        <v>113</v>
      </c>
      <c r="AG6" t="s">
        <v>113</v>
      </c>
    </row>
    <row r="7" spans="1:33">
      <c r="A7" t="str">
        <f>IF(手动输入表!$F7="","",手动输入表!$F7)</f>
        <v>热卷</v>
      </c>
      <c r="B7" t="s">
        <v>113</v>
      </c>
      <c r="C7" t="s">
        <v>113</v>
      </c>
      <c r="D7" t="s">
        <v>113</v>
      </c>
      <c r="E7" t="s">
        <v>497</v>
      </c>
      <c r="F7" t="s">
        <v>478</v>
      </c>
      <c r="G7" t="s">
        <v>113</v>
      </c>
      <c r="H7" t="s">
        <v>113</v>
      </c>
      <c r="I7" t="s">
        <v>113</v>
      </c>
      <c r="J7" t="s">
        <v>113</v>
      </c>
      <c r="K7" t="s">
        <v>113</v>
      </c>
      <c r="L7" t="s">
        <v>113</v>
      </c>
      <c r="M7" t="s">
        <v>113</v>
      </c>
      <c r="N7" t="s">
        <v>169</v>
      </c>
      <c r="O7" t="s">
        <v>342</v>
      </c>
      <c r="P7" t="s">
        <v>323</v>
      </c>
      <c r="Q7" t="s">
        <v>113</v>
      </c>
      <c r="R7" t="s">
        <v>286</v>
      </c>
      <c r="S7" t="s">
        <v>268</v>
      </c>
      <c r="T7" t="s">
        <v>249</v>
      </c>
      <c r="U7" t="s">
        <v>113</v>
      </c>
      <c r="V7" t="s">
        <v>113</v>
      </c>
      <c r="W7" t="s">
        <v>113</v>
      </c>
      <c r="X7" t="s">
        <v>113</v>
      </c>
      <c r="Y7" t="s">
        <v>113</v>
      </c>
      <c r="Z7" t="s">
        <v>113</v>
      </c>
      <c r="AA7" t="s">
        <v>113</v>
      </c>
      <c r="AB7" t="s">
        <v>208</v>
      </c>
      <c r="AC7" t="s">
        <v>113</v>
      </c>
      <c r="AD7" t="s">
        <v>113</v>
      </c>
      <c r="AE7" t="s">
        <v>113</v>
      </c>
      <c r="AF7" t="s">
        <v>113</v>
      </c>
      <c r="AG7" t="s">
        <v>113</v>
      </c>
    </row>
    <row r="8" spans="1:33">
      <c r="A8" t="str">
        <f>IF(手动输入表!$F8="","",手动输入表!$F8)</f>
        <v>天胶</v>
      </c>
      <c r="B8" t="s">
        <v>113</v>
      </c>
      <c r="C8" t="s">
        <v>113</v>
      </c>
      <c r="D8" t="s">
        <v>113</v>
      </c>
      <c r="E8" t="s">
        <v>497</v>
      </c>
      <c r="F8" t="s">
        <v>478</v>
      </c>
      <c r="G8" t="s">
        <v>113</v>
      </c>
      <c r="H8" t="s">
        <v>113</v>
      </c>
      <c r="I8" t="s">
        <v>113</v>
      </c>
      <c r="J8" t="s">
        <v>113</v>
      </c>
      <c r="K8" t="s">
        <v>113</v>
      </c>
      <c r="L8" t="s">
        <v>113</v>
      </c>
      <c r="M8" t="s">
        <v>113</v>
      </c>
      <c r="N8" t="s">
        <v>169</v>
      </c>
      <c r="O8" t="s">
        <v>342</v>
      </c>
      <c r="P8" t="s">
        <v>323</v>
      </c>
      <c r="Q8" t="s">
        <v>113</v>
      </c>
      <c r="R8" t="s">
        <v>286</v>
      </c>
      <c r="S8" t="s">
        <v>268</v>
      </c>
      <c r="T8" t="s">
        <v>249</v>
      </c>
      <c r="U8" t="s">
        <v>113</v>
      </c>
      <c r="V8" t="s">
        <v>113</v>
      </c>
      <c r="W8" t="s">
        <v>113</v>
      </c>
      <c r="X8" t="s">
        <v>113</v>
      </c>
      <c r="Y8" t="s">
        <v>113</v>
      </c>
      <c r="Z8" t="s">
        <v>113</v>
      </c>
      <c r="AA8" t="s">
        <v>113</v>
      </c>
      <c r="AB8" t="s">
        <v>208</v>
      </c>
      <c r="AC8" t="s">
        <v>113</v>
      </c>
      <c r="AD8" t="s">
        <v>113</v>
      </c>
      <c r="AE8" t="s">
        <v>113</v>
      </c>
      <c r="AF8" t="s">
        <v>113</v>
      </c>
      <c r="AG8" t="s">
        <v>113</v>
      </c>
    </row>
    <row r="9" spans="1:33">
      <c r="A9" t="str">
        <f>IF(手动输入表!$F9="","",手动输入表!$F9)</f>
        <v>玻璃</v>
      </c>
      <c r="B9" t="s">
        <v>117</v>
      </c>
      <c r="C9" t="s">
        <v>117</v>
      </c>
      <c r="D9" t="s">
        <v>117</v>
      </c>
      <c r="E9" t="s">
        <v>498</v>
      </c>
      <c r="F9" t="s">
        <v>479</v>
      </c>
      <c r="G9" t="s">
        <v>117</v>
      </c>
      <c r="H9" t="s">
        <v>117</v>
      </c>
      <c r="I9" t="s">
        <v>117</v>
      </c>
      <c r="J9" t="s">
        <v>117</v>
      </c>
      <c r="K9" t="s">
        <v>117</v>
      </c>
      <c r="L9" t="s">
        <v>117</v>
      </c>
      <c r="M9" t="s">
        <v>117</v>
      </c>
      <c r="N9" t="s">
        <v>151</v>
      </c>
      <c r="O9" t="s">
        <v>343</v>
      </c>
      <c r="P9" t="s">
        <v>324</v>
      </c>
      <c r="Q9" t="s">
        <v>117</v>
      </c>
      <c r="R9" t="s">
        <v>287</v>
      </c>
      <c r="S9" t="s">
        <v>269</v>
      </c>
      <c r="T9" t="s">
        <v>250</v>
      </c>
      <c r="U9" t="s">
        <v>117</v>
      </c>
      <c r="V9" t="s">
        <v>117</v>
      </c>
      <c r="W9" t="s">
        <v>117</v>
      </c>
      <c r="X9" t="s">
        <v>117</v>
      </c>
      <c r="Y9" t="s">
        <v>117</v>
      </c>
      <c r="Z9" t="s">
        <v>117</v>
      </c>
      <c r="AA9" t="s">
        <v>117</v>
      </c>
      <c r="AB9" t="s">
        <v>209</v>
      </c>
      <c r="AC9" t="s">
        <v>117</v>
      </c>
      <c r="AD9" t="s">
        <v>117</v>
      </c>
      <c r="AE9" t="s">
        <v>117</v>
      </c>
      <c r="AF9" t="s">
        <v>117</v>
      </c>
      <c r="AG9" t="s">
        <v>117</v>
      </c>
    </row>
    <row r="10" spans="1:33">
      <c r="A10" t="str">
        <f>IF(手动输入表!$F10="","",手动输入表!$F10)</f>
        <v>PVC</v>
      </c>
      <c r="B10" t="s">
        <v>124</v>
      </c>
      <c r="C10" t="s">
        <v>124</v>
      </c>
      <c r="D10" t="s">
        <v>124</v>
      </c>
      <c r="E10" t="s">
        <v>499</v>
      </c>
      <c r="F10" t="s">
        <v>480</v>
      </c>
      <c r="G10" t="s">
        <v>124</v>
      </c>
      <c r="H10" t="s">
        <v>124</v>
      </c>
      <c r="I10" t="s">
        <v>124</v>
      </c>
      <c r="J10" t="s">
        <v>124</v>
      </c>
      <c r="K10" t="s">
        <v>124</v>
      </c>
      <c r="L10" t="s">
        <v>124</v>
      </c>
      <c r="M10" t="s">
        <v>124</v>
      </c>
      <c r="N10" t="s">
        <v>142</v>
      </c>
      <c r="O10" t="s">
        <v>344</v>
      </c>
      <c r="P10" t="s">
        <v>325</v>
      </c>
      <c r="Q10" t="s">
        <v>124</v>
      </c>
      <c r="R10" t="s">
        <v>288</v>
      </c>
      <c r="S10" t="s">
        <v>270</v>
      </c>
      <c r="T10" t="s">
        <v>251</v>
      </c>
      <c r="U10" t="s">
        <v>124</v>
      </c>
      <c r="V10" t="s">
        <v>124</v>
      </c>
      <c r="W10" t="s">
        <v>124</v>
      </c>
      <c r="X10" t="s">
        <v>124</v>
      </c>
      <c r="Y10" t="s">
        <v>124</v>
      </c>
      <c r="Z10" t="s">
        <v>124</v>
      </c>
      <c r="AA10" t="s">
        <v>124</v>
      </c>
      <c r="AB10" t="s">
        <v>210</v>
      </c>
      <c r="AC10" t="s">
        <v>124</v>
      </c>
      <c r="AD10" t="s">
        <v>124</v>
      </c>
      <c r="AE10" t="s">
        <v>124</v>
      </c>
      <c r="AF10" t="s">
        <v>124</v>
      </c>
      <c r="AG10" t="s">
        <v>124</v>
      </c>
    </row>
    <row r="11" spans="1:33">
      <c r="A11" t="str">
        <f>IF(手动输入表!$F11="","",手动输入表!$F11)</f>
        <v>LLDPE</v>
      </c>
      <c r="B11" t="s">
        <v>118</v>
      </c>
      <c r="C11" t="s">
        <v>118</v>
      </c>
      <c r="D11" t="s">
        <v>118</v>
      </c>
      <c r="E11" t="s">
        <v>500</v>
      </c>
      <c r="F11" t="s">
        <v>481</v>
      </c>
      <c r="G11" t="s">
        <v>118</v>
      </c>
      <c r="H11" t="s">
        <v>118</v>
      </c>
      <c r="I11" t="s">
        <v>118</v>
      </c>
      <c r="J11" t="s">
        <v>118</v>
      </c>
      <c r="K11" t="s">
        <v>118</v>
      </c>
      <c r="L11" t="s">
        <v>118</v>
      </c>
      <c r="M11" t="s">
        <v>118</v>
      </c>
      <c r="N11" t="s">
        <v>153</v>
      </c>
      <c r="O11" t="s">
        <v>345</v>
      </c>
      <c r="P11" t="s">
        <v>326</v>
      </c>
      <c r="Q11" t="s">
        <v>118</v>
      </c>
      <c r="R11" t="s">
        <v>289</v>
      </c>
      <c r="S11" t="s">
        <v>271</v>
      </c>
      <c r="T11" t="s">
        <v>252</v>
      </c>
      <c r="U11" t="s">
        <v>118</v>
      </c>
      <c r="V11" t="s">
        <v>118</v>
      </c>
      <c r="W11" t="s">
        <v>118</v>
      </c>
      <c r="X11" t="s">
        <v>118</v>
      </c>
      <c r="Y11" t="s">
        <v>118</v>
      </c>
      <c r="Z11" t="s">
        <v>118</v>
      </c>
      <c r="AA11" t="s">
        <v>118</v>
      </c>
      <c r="AB11" t="s">
        <v>211</v>
      </c>
      <c r="AC11" t="s">
        <v>118</v>
      </c>
      <c r="AD11" t="s">
        <v>118</v>
      </c>
      <c r="AE11" t="s">
        <v>118</v>
      </c>
      <c r="AF11" t="s">
        <v>118</v>
      </c>
      <c r="AG11" t="s">
        <v>118</v>
      </c>
    </row>
    <row r="12" spans="1:33">
      <c r="A12" t="str">
        <f>IF(手动输入表!$F12="","",手动输入表!$F12)</f>
        <v>PP</v>
      </c>
      <c r="B12" t="s">
        <v>124</v>
      </c>
      <c r="C12" t="s">
        <v>124</v>
      </c>
      <c r="D12" t="s">
        <v>124</v>
      </c>
      <c r="E12" t="s">
        <v>499</v>
      </c>
      <c r="F12" t="s">
        <v>480</v>
      </c>
      <c r="G12" t="s">
        <v>124</v>
      </c>
      <c r="H12" t="s">
        <v>124</v>
      </c>
      <c r="I12" t="s">
        <v>124</v>
      </c>
      <c r="J12" t="s">
        <v>124</v>
      </c>
      <c r="K12" t="s">
        <v>124</v>
      </c>
      <c r="L12" t="s">
        <v>124</v>
      </c>
      <c r="M12" t="s">
        <v>124</v>
      </c>
      <c r="N12" t="s">
        <v>142</v>
      </c>
      <c r="O12" t="s">
        <v>344</v>
      </c>
      <c r="P12" t="s">
        <v>325</v>
      </c>
      <c r="Q12" t="s">
        <v>124</v>
      </c>
      <c r="R12" t="s">
        <v>288</v>
      </c>
      <c r="S12" t="s">
        <v>270</v>
      </c>
      <c r="T12" t="s">
        <v>251</v>
      </c>
      <c r="U12" t="s">
        <v>124</v>
      </c>
      <c r="V12" t="s">
        <v>124</v>
      </c>
      <c r="W12" t="s">
        <v>124</v>
      </c>
      <c r="X12" t="s">
        <v>124</v>
      </c>
      <c r="Y12" t="s">
        <v>124</v>
      </c>
      <c r="Z12" t="s">
        <v>124</v>
      </c>
      <c r="AA12" t="s">
        <v>124</v>
      </c>
      <c r="AB12" t="s">
        <v>210</v>
      </c>
      <c r="AC12" t="s">
        <v>124</v>
      </c>
      <c r="AD12" t="s">
        <v>124</v>
      </c>
      <c r="AE12" t="s">
        <v>124</v>
      </c>
      <c r="AF12" t="s">
        <v>124</v>
      </c>
      <c r="AG12" t="s">
        <v>124</v>
      </c>
    </row>
    <row r="13" spans="1:33">
      <c r="A13" t="str">
        <f>IF(手动输入表!$F13="","",手动输入表!$F13)</f>
        <v>PTA</v>
      </c>
      <c r="B13" t="s">
        <v>124</v>
      </c>
      <c r="C13" t="s">
        <v>124</v>
      </c>
      <c r="D13" t="s">
        <v>124</v>
      </c>
      <c r="E13" t="s">
        <v>499</v>
      </c>
      <c r="F13" t="s">
        <v>480</v>
      </c>
      <c r="G13" t="s">
        <v>124</v>
      </c>
      <c r="H13" t="s">
        <v>124</v>
      </c>
      <c r="I13" t="s">
        <v>124</v>
      </c>
      <c r="J13" t="s">
        <v>124</v>
      </c>
      <c r="K13" t="s">
        <v>124</v>
      </c>
      <c r="L13" t="s">
        <v>124</v>
      </c>
      <c r="M13" t="s">
        <v>124</v>
      </c>
      <c r="N13" t="s">
        <v>142</v>
      </c>
      <c r="O13" t="s">
        <v>344</v>
      </c>
      <c r="P13" t="s">
        <v>325</v>
      </c>
      <c r="Q13" t="s">
        <v>124</v>
      </c>
      <c r="R13" t="s">
        <v>288</v>
      </c>
      <c r="S13" t="s">
        <v>270</v>
      </c>
      <c r="T13" t="s">
        <v>251</v>
      </c>
      <c r="U13" t="s">
        <v>124</v>
      </c>
      <c r="V13" t="s">
        <v>124</v>
      </c>
      <c r="W13" t="s">
        <v>124</v>
      </c>
      <c r="X13" t="s">
        <v>124</v>
      </c>
      <c r="Y13" t="s">
        <v>124</v>
      </c>
      <c r="Z13" t="s">
        <v>124</v>
      </c>
      <c r="AA13" t="s">
        <v>124</v>
      </c>
      <c r="AB13" t="s">
        <v>210</v>
      </c>
      <c r="AC13" t="s">
        <v>124</v>
      </c>
      <c r="AD13" t="s">
        <v>124</v>
      </c>
      <c r="AE13" t="s">
        <v>124</v>
      </c>
      <c r="AF13" t="s">
        <v>124</v>
      </c>
      <c r="AG13" t="s">
        <v>124</v>
      </c>
    </row>
    <row r="14" spans="1:33">
      <c r="A14" t="str">
        <f>IF(手动输入表!$F14="","",手动输入表!$F14)</f>
        <v>沥青</v>
      </c>
      <c r="B14" t="s">
        <v>124</v>
      </c>
      <c r="C14" t="s">
        <v>124</v>
      </c>
      <c r="D14" t="s">
        <v>124</v>
      </c>
      <c r="E14" t="s">
        <v>499</v>
      </c>
      <c r="F14" t="s">
        <v>480</v>
      </c>
      <c r="G14" t="s">
        <v>124</v>
      </c>
      <c r="H14" t="s">
        <v>124</v>
      </c>
      <c r="I14" t="s">
        <v>124</v>
      </c>
      <c r="J14" t="s">
        <v>124</v>
      </c>
      <c r="K14" t="s">
        <v>124</v>
      </c>
      <c r="L14" t="s">
        <v>124</v>
      </c>
      <c r="M14" t="s">
        <v>124</v>
      </c>
      <c r="N14" t="s">
        <v>142</v>
      </c>
      <c r="O14" t="s">
        <v>344</v>
      </c>
      <c r="P14" t="s">
        <v>325</v>
      </c>
      <c r="Q14" t="s">
        <v>124</v>
      </c>
      <c r="R14" t="s">
        <v>288</v>
      </c>
      <c r="S14" t="s">
        <v>270</v>
      </c>
      <c r="T14" t="s">
        <v>251</v>
      </c>
      <c r="U14" t="s">
        <v>124</v>
      </c>
      <c r="V14" t="s">
        <v>124</v>
      </c>
      <c r="W14" t="s">
        <v>124</v>
      </c>
      <c r="X14" t="s">
        <v>124</v>
      </c>
      <c r="Y14" t="s">
        <v>124</v>
      </c>
      <c r="Z14" t="s">
        <v>124</v>
      </c>
      <c r="AA14" t="s">
        <v>124</v>
      </c>
      <c r="AB14" t="s">
        <v>210</v>
      </c>
      <c r="AC14" t="s">
        <v>124</v>
      </c>
      <c r="AD14" t="s">
        <v>124</v>
      </c>
      <c r="AE14" t="s">
        <v>124</v>
      </c>
      <c r="AF14" t="s">
        <v>124</v>
      </c>
      <c r="AG14" t="s">
        <v>124</v>
      </c>
    </row>
    <row r="15" spans="1:33">
      <c r="A15" t="str">
        <f>IF(手动输入表!$F15="","",手动输入表!$F15)</f>
        <v>甲醇</v>
      </c>
      <c r="B15" t="s">
        <v>110</v>
      </c>
      <c r="C15" t="s">
        <v>184</v>
      </c>
      <c r="D15" t="s">
        <v>184</v>
      </c>
      <c r="E15" t="s">
        <v>501</v>
      </c>
      <c r="F15" t="s">
        <v>482</v>
      </c>
      <c r="G15" t="s">
        <v>110</v>
      </c>
      <c r="H15" t="s">
        <v>110</v>
      </c>
      <c r="I15" t="s">
        <v>110</v>
      </c>
      <c r="J15" t="s">
        <v>110</v>
      </c>
      <c r="K15" t="s">
        <v>110</v>
      </c>
      <c r="L15" t="s">
        <v>110</v>
      </c>
      <c r="M15" t="s">
        <v>110</v>
      </c>
      <c r="N15" t="s">
        <v>337</v>
      </c>
      <c r="O15" t="s">
        <v>346</v>
      </c>
      <c r="P15" t="s">
        <v>327</v>
      </c>
      <c r="Q15" t="s">
        <v>110</v>
      </c>
      <c r="R15" t="s">
        <v>290</v>
      </c>
      <c r="S15" t="s">
        <v>272</v>
      </c>
      <c r="T15" t="s">
        <v>253</v>
      </c>
      <c r="U15" t="s">
        <v>110</v>
      </c>
      <c r="V15" t="s">
        <v>110</v>
      </c>
      <c r="W15" t="s">
        <v>110</v>
      </c>
      <c r="X15" t="s">
        <v>110</v>
      </c>
      <c r="Y15" t="s">
        <v>110</v>
      </c>
      <c r="Z15" t="s">
        <v>110</v>
      </c>
      <c r="AA15" t="s">
        <v>110</v>
      </c>
      <c r="AB15" t="s">
        <v>212</v>
      </c>
      <c r="AC15" t="s">
        <v>184</v>
      </c>
      <c r="AD15" t="s">
        <v>184</v>
      </c>
      <c r="AE15" t="s">
        <v>184</v>
      </c>
      <c r="AF15" t="s">
        <v>110</v>
      </c>
      <c r="AG15" t="s">
        <v>110</v>
      </c>
    </row>
    <row r="16" spans="1:33">
      <c r="A16" t="str">
        <f>IF(手动输入表!$F16="","",手动输入表!$F16)</f>
        <v>豆一</v>
      </c>
      <c r="B16" t="s">
        <v>114</v>
      </c>
      <c r="C16" t="s">
        <v>114</v>
      </c>
      <c r="D16" t="s">
        <v>114</v>
      </c>
      <c r="E16" t="s">
        <v>502</v>
      </c>
      <c r="F16" t="s">
        <v>483</v>
      </c>
      <c r="G16" t="s">
        <v>114</v>
      </c>
      <c r="H16" t="s">
        <v>114</v>
      </c>
      <c r="I16" t="s">
        <v>114</v>
      </c>
      <c r="J16" t="s">
        <v>114</v>
      </c>
      <c r="K16" t="s">
        <v>114</v>
      </c>
      <c r="L16" t="s">
        <v>114</v>
      </c>
      <c r="M16" t="s">
        <v>114</v>
      </c>
      <c r="N16" t="s">
        <v>155</v>
      </c>
      <c r="O16" t="s">
        <v>347</v>
      </c>
      <c r="P16" t="s">
        <v>328</v>
      </c>
      <c r="Q16" t="s">
        <v>114</v>
      </c>
      <c r="R16" t="s">
        <v>291</v>
      </c>
      <c r="S16" t="s">
        <v>273</v>
      </c>
      <c r="T16" t="s">
        <v>254</v>
      </c>
      <c r="U16" t="s">
        <v>114</v>
      </c>
      <c r="V16" t="s">
        <v>114</v>
      </c>
      <c r="W16" t="s">
        <v>114</v>
      </c>
      <c r="X16" t="s">
        <v>114</v>
      </c>
      <c r="Y16" t="s">
        <v>114</v>
      </c>
      <c r="Z16" t="s">
        <v>114</v>
      </c>
      <c r="AA16" t="s">
        <v>114</v>
      </c>
      <c r="AB16" t="s">
        <v>213</v>
      </c>
      <c r="AC16" t="s">
        <v>114</v>
      </c>
      <c r="AD16" t="s">
        <v>114</v>
      </c>
      <c r="AE16" t="s">
        <v>114</v>
      </c>
      <c r="AF16" t="s">
        <v>114</v>
      </c>
      <c r="AG16" t="s">
        <v>114</v>
      </c>
    </row>
    <row r="17" spans="1:33">
      <c r="A17" t="str">
        <f>IF(手动输入表!$F17="","",手动输入表!$F17)</f>
        <v>豆粕</v>
      </c>
      <c r="B17" t="s">
        <v>120</v>
      </c>
      <c r="C17" t="s">
        <v>120</v>
      </c>
      <c r="D17" t="s">
        <v>120</v>
      </c>
      <c r="E17" t="s">
        <v>503</v>
      </c>
      <c r="F17" t="s">
        <v>484</v>
      </c>
      <c r="G17" t="s">
        <v>120</v>
      </c>
      <c r="H17" t="s">
        <v>120</v>
      </c>
      <c r="I17" t="s">
        <v>120</v>
      </c>
      <c r="J17" t="s">
        <v>120</v>
      </c>
      <c r="K17" t="s">
        <v>120</v>
      </c>
      <c r="L17" t="s">
        <v>120</v>
      </c>
      <c r="M17" t="s">
        <v>120</v>
      </c>
      <c r="N17" t="s">
        <v>156</v>
      </c>
      <c r="O17" t="s">
        <v>348</v>
      </c>
      <c r="P17" t="s">
        <v>329</v>
      </c>
      <c r="Q17" t="s">
        <v>120</v>
      </c>
      <c r="R17" t="s">
        <v>292</v>
      </c>
      <c r="S17" t="s">
        <v>274</v>
      </c>
      <c r="T17" t="s">
        <v>255</v>
      </c>
      <c r="U17" t="s">
        <v>120</v>
      </c>
      <c r="V17" t="s">
        <v>120</v>
      </c>
      <c r="W17" t="s">
        <v>120</v>
      </c>
      <c r="X17" t="s">
        <v>120</v>
      </c>
      <c r="Y17" t="s">
        <v>120</v>
      </c>
      <c r="Z17" t="s">
        <v>120</v>
      </c>
      <c r="AA17" t="s">
        <v>120</v>
      </c>
      <c r="AB17" t="s">
        <v>214</v>
      </c>
      <c r="AC17" t="s">
        <v>120</v>
      </c>
      <c r="AD17" t="s">
        <v>120</v>
      </c>
      <c r="AE17" t="s">
        <v>120</v>
      </c>
      <c r="AF17" t="s">
        <v>120</v>
      </c>
      <c r="AG17" t="s">
        <v>120</v>
      </c>
    </row>
    <row r="18" spans="1:33">
      <c r="A18" t="str">
        <f>IF(手动输入表!$F18="","",手动输入表!$F18)</f>
        <v>菜粕</v>
      </c>
      <c r="B18" t="s">
        <v>530</v>
      </c>
      <c r="C18" t="s">
        <v>530</v>
      </c>
      <c r="D18" t="s">
        <v>120</v>
      </c>
      <c r="E18" t="s">
        <v>503</v>
      </c>
      <c r="F18" t="s">
        <v>484</v>
      </c>
      <c r="G18" t="s">
        <v>120</v>
      </c>
      <c r="H18" t="s">
        <v>120</v>
      </c>
      <c r="I18" t="s">
        <v>120</v>
      </c>
      <c r="J18" t="s">
        <v>120</v>
      </c>
      <c r="K18" t="s">
        <v>120</v>
      </c>
      <c r="L18" t="s">
        <v>120</v>
      </c>
      <c r="M18" t="s">
        <v>120</v>
      </c>
      <c r="N18" t="s">
        <v>156</v>
      </c>
      <c r="O18" t="s">
        <v>348</v>
      </c>
      <c r="P18" t="s">
        <v>329</v>
      </c>
      <c r="Q18" t="s">
        <v>120</v>
      </c>
      <c r="R18" t="s">
        <v>292</v>
      </c>
      <c r="S18" t="s">
        <v>274</v>
      </c>
      <c r="T18" t="s">
        <v>255</v>
      </c>
      <c r="U18" t="s">
        <v>120</v>
      </c>
      <c r="V18" t="s">
        <v>120</v>
      </c>
      <c r="W18" t="s">
        <v>120</v>
      </c>
      <c r="X18" t="s">
        <v>120</v>
      </c>
      <c r="Y18" t="s">
        <v>120</v>
      </c>
      <c r="Z18" t="s">
        <v>120</v>
      </c>
      <c r="AA18" t="s">
        <v>120</v>
      </c>
      <c r="AB18" t="s">
        <v>214</v>
      </c>
      <c r="AC18" t="s">
        <v>120</v>
      </c>
      <c r="AD18" t="s">
        <v>120</v>
      </c>
      <c r="AE18" t="s">
        <v>120</v>
      </c>
      <c r="AF18" t="s">
        <v>120</v>
      </c>
      <c r="AG18" t="s">
        <v>120</v>
      </c>
    </row>
    <row r="19" spans="1:33">
      <c r="A19" t="str">
        <f>IF(手动输入表!$F19="","",手动输入表!$F19)</f>
        <v>玉米</v>
      </c>
      <c r="B19" t="s">
        <v>121</v>
      </c>
      <c r="C19" t="s">
        <v>121</v>
      </c>
      <c r="D19" t="s">
        <v>121</v>
      </c>
      <c r="E19" t="s">
        <v>504</v>
      </c>
      <c r="F19" t="s">
        <v>485</v>
      </c>
      <c r="G19" t="s">
        <v>121</v>
      </c>
      <c r="H19" t="s">
        <v>121</v>
      </c>
      <c r="I19" t="s">
        <v>121</v>
      </c>
      <c r="J19" t="s">
        <v>121</v>
      </c>
      <c r="K19" t="s">
        <v>121</v>
      </c>
      <c r="L19" t="s">
        <v>121</v>
      </c>
      <c r="M19" t="s">
        <v>121</v>
      </c>
      <c r="N19" t="s">
        <v>157</v>
      </c>
      <c r="O19" t="s">
        <v>349</v>
      </c>
      <c r="P19" t="s">
        <v>330</v>
      </c>
      <c r="Q19" t="s">
        <v>121</v>
      </c>
      <c r="R19" t="s">
        <v>293</v>
      </c>
      <c r="S19" t="s">
        <v>275</v>
      </c>
      <c r="T19" t="s">
        <v>256</v>
      </c>
      <c r="U19" t="s">
        <v>121</v>
      </c>
      <c r="V19" t="s">
        <v>121</v>
      </c>
      <c r="W19" t="s">
        <v>121</v>
      </c>
      <c r="X19" t="s">
        <v>121</v>
      </c>
      <c r="Y19" t="s">
        <v>121</v>
      </c>
      <c r="Z19" t="s">
        <v>121</v>
      </c>
      <c r="AA19" t="s">
        <v>121</v>
      </c>
      <c r="AB19" t="s">
        <v>215</v>
      </c>
      <c r="AC19" t="s">
        <v>121</v>
      </c>
      <c r="AD19" t="s">
        <v>121</v>
      </c>
      <c r="AE19" t="s">
        <v>121</v>
      </c>
      <c r="AF19" t="s">
        <v>121</v>
      </c>
      <c r="AG19" t="s">
        <v>121</v>
      </c>
    </row>
    <row r="20" spans="1:33">
      <c r="A20" t="str">
        <f>IF(手动输入表!$F20="","",手动输入表!$F20)</f>
        <v>淀粉</v>
      </c>
      <c r="B20" t="s">
        <v>111</v>
      </c>
      <c r="C20" t="s">
        <v>111</v>
      </c>
      <c r="D20" t="s">
        <v>111</v>
      </c>
      <c r="E20" t="s">
        <v>505</v>
      </c>
      <c r="F20" t="s">
        <v>486</v>
      </c>
      <c r="G20" t="s">
        <v>111</v>
      </c>
      <c r="H20" t="s">
        <v>111</v>
      </c>
      <c r="I20" t="s">
        <v>111</v>
      </c>
      <c r="J20" t="s">
        <v>111</v>
      </c>
      <c r="K20" t="s">
        <v>111</v>
      </c>
      <c r="L20" t="s">
        <v>111</v>
      </c>
      <c r="M20" t="s">
        <v>111</v>
      </c>
      <c r="N20" t="s">
        <v>177</v>
      </c>
      <c r="O20" t="s">
        <v>350</v>
      </c>
      <c r="P20" t="s">
        <v>331</v>
      </c>
      <c r="Q20" t="s">
        <v>111</v>
      </c>
      <c r="R20" t="s">
        <v>294</v>
      </c>
      <c r="S20" t="s">
        <v>276</v>
      </c>
      <c r="T20" t="s">
        <v>257</v>
      </c>
      <c r="U20" t="s">
        <v>111</v>
      </c>
      <c r="V20" t="s">
        <v>111</v>
      </c>
      <c r="W20" t="s">
        <v>111</v>
      </c>
      <c r="X20" t="s">
        <v>111</v>
      </c>
      <c r="Y20" t="s">
        <v>111</v>
      </c>
      <c r="Z20" t="s">
        <v>111</v>
      </c>
      <c r="AA20" t="s">
        <v>111</v>
      </c>
      <c r="AB20" t="s">
        <v>216</v>
      </c>
      <c r="AC20" t="s">
        <v>111</v>
      </c>
      <c r="AD20" t="s">
        <v>111</v>
      </c>
      <c r="AE20" t="s">
        <v>111</v>
      </c>
      <c r="AF20" t="s">
        <v>111</v>
      </c>
      <c r="AG20" t="s">
        <v>111</v>
      </c>
    </row>
    <row r="21" spans="1:33">
      <c r="A21" t="str">
        <f>IF(手动输入表!$F21="","",手动输入表!$F21)</f>
        <v>豆油</v>
      </c>
      <c r="B21" t="s">
        <v>123</v>
      </c>
      <c r="C21" t="s">
        <v>123</v>
      </c>
      <c r="D21" t="s">
        <v>123</v>
      </c>
      <c r="E21" t="s">
        <v>493</v>
      </c>
      <c r="F21" t="s">
        <v>474</v>
      </c>
      <c r="G21" t="s">
        <v>123</v>
      </c>
      <c r="H21" t="s">
        <v>123</v>
      </c>
      <c r="I21" t="s">
        <v>123</v>
      </c>
      <c r="J21" t="s">
        <v>123</v>
      </c>
      <c r="K21" t="s">
        <v>123</v>
      </c>
      <c r="L21" t="s">
        <v>123</v>
      </c>
      <c r="M21" t="s">
        <v>123</v>
      </c>
      <c r="N21" t="s">
        <v>159</v>
      </c>
      <c r="O21" t="s">
        <v>338</v>
      </c>
      <c r="P21" t="s">
        <v>319</v>
      </c>
      <c r="Q21" t="s">
        <v>123</v>
      </c>
      <c r="R21" t="s">
        <v>295</v>
      </c>
      <c r="S21" t="s">
        <v>277</v>
      </c>
      <c r="T21" t="s">
        <v>258</v>
      </c>
      <c r="U21" t="s">
        <v>123</v>
      </c>
      <c r="V21" t="s">
        <v>123</v>
      </c>
      <c r="W21" t="s">
        <v>123</v>
      </c>
      <c r="X21" t="s">
        <v>123</v>
      </c>
      <c r="Y21" t="s">
        <v>123</v>
      </c>
      <c r="Z21" t="s">
        <v>123</v>
      </c>
      <c r="AA21" t="s">
        <v>123</v>
      </c>
      <c r="AB21" t="s">
        <v>217</v>
      </c>
      <c r="AC21" t="s">
        <v>123</v>
      </c>
      <c r="AD21" t="s">
        <v>123</v>
      </c>
      <c r="AE21" t="s">
        <v>123</v>
      </c>
      <c r="AF21" t="s">
        <v>123</v>
      </c>
      <c r="AG21" t="s">
        <v>123</v>
      </c>
    </row>
    <row r="22" spans="1:33">
      <c r="A22" t="str">
        <f>IF(手动输入表!$F22="","",手动输入表!$F22)</f>
        <v>棕榈油</v>
      </c>
      <c r="B22" t="s">
        <v>119</v>
      </c>
      <c r="C22" t="s">
        <v>119</v>
      </c>
      <c r="D22" t="s">
        <v>119</v>
      </c>
      <c r="E22" t="s">
        <v>506</v>
      </c>
      <c r="F22" t="s">
        <v>487</v>
      </c>
      <c r="G22" t="s">
        <v>119</v>
      </c>
      <c r="H22" t="s">
        <v>119</v>
      </c>
      <c r="I22" t="s">
        <v>119</v>
      </c>
      <c r="J22" t="s">
        <v>119</v>
      </c>
      <c r="K22" t="s">
        <v>119</v>
      </c>
      <c r="L22" t="s">
        <v>119</v>
      </c>
      <c r="M22" t="s">
        <v>119</v>
      </c>
      <c r="N22" t="s">
        <v>146</v>
      </c>
      <c r="O22" t="s">
        <v>351</v>
      </c>
      <c r="P22" t="s">
        <v>332</v>
      </c>
      <c r="Q22" t="s">
        <v>119</v>
      </c>
      <c r="R22" t="s">
        <v>282</v>
      </c>
      <c r="S22" t="s">
        <v>264</v>
      </c>
      <c r="T22" t="s">
        <v>245</v>
      </c>
      <c r="U22" t="s">
        <v>116</v>
      </c>
      <c r="V22" t="s">
        <v>116</v>
      </c>
      <c r="W22" t="s">
        <v>116</v>
      </c>
      <c r="X22" t="s">
        <v>116</v>
      </c>
      <c r="Y22" t="s">
        <v>116</v>
      </c>
      <c r="Z22" t="s">
        <v>116</v>
      </c>
      <c r="AA22" t="s">
        <v>116</v>
      </c>
      <c r="AB22" t="s">
        <v>218</v>
      </c>
      <c r="AC22" t="s">
        <v>116</v>
      </c>
      <c r="AD22" t="s">
        <v>116</v>
      </c>
      <c r="AE22" t="s">
        <v>116</v>
      </c>
      <c r="AF22" t="s">
        <v>116</v>
      </c>
      <c r="AG22" t="s">
        <v>116</v>
      </c>
    </row>
    <row r="23" spans="1:33">
      <c r="A23" t="str">
        <f>IF(手动输入表!$F23="","",手动输入表!$F23)</f>
        <v>菜油</v>
      </c>
      <c r="B23" t="s">
        <v>127</v>
      </c>
      <c r="C23" t="s">
        <v>127</v>
      </c>
      <c r="D23" t="s">
        <v>127</v>
      </c>
      <c r="E23" t="s">
        <v>507</v>
      </c>
      <c r="F23" t="s">
        <v>488</v>
      </c>
      <c r="G23" t="s">
        <v>127</v>
      </c>
      <c r="H23" t="s">
        <v>127</v>
      </c>
      <c r="I23" t="s">
        <v>127</v>
      </c>
      <c r="J23" t="s">
        <v>127</v>
      </c>
      <c r="K23" t="s">
        <v>127</v>
      </c>
      <c r="L23" t="s">
        <v>127</v>
      </c>
      <c r="M23" t="s">
        <v>127</v>
      </c>
      <c r="N23" t="s">
        <v>161</v>
      </c>
      <c r="O23" t="s">
        <v>352</v>
      </c>
      <c r="P23" t="s">
        <v>333</v>
      </c>
      <c r="Q23" t="s">
        <v>127</v>
      </c>
      <c r="R23" t="s">
        <v>296</v>
      </c>
      <c r="S23" t="s">
        <v>278</v>
      </c>
      <c r="T23" t="s">
        <v>259</v>
      </c>
      <c r="U23" t="s">
        <v>127</v>
      </c>
      <c r="V23" t="s">
        <v>127</v>
      </c>
      <c r="W23" t="s">
        <v>127</v>
      </c>
      <c r="X23" t="s">
        <v>127</v>
      </c>
      <c r="Y23" t="s">
        <v>127</v>
      </c>
      <c r="Z23" t="s">
        <v>127</v>
      </c>
      <c r="AA23" t="s">
        <v>127</v>
      </c>
      <c r="AB23" t="s">
        <v>219</v>
      </c>
      <c r="AC23" t="s">
        <v>127</v>
      </c>
      <c r="AD23" t="s">
        <v>127</v>
      </c>
      <c r="AE23" t="s">
        <v>127</v>
      </c>
      <c r="AF23" t="s">
        <v>127</v>
      </c>
      <c r="AG23" t="s">
        <v>127</v>
      </c>
    </row>
    <row r="24" spans="1:33">
      <c r="A24" t="str">
        <f>IF(手动输入表!$F24="","",手动输入表!$F24)</f>
        <v>白糖</v>
      </c>
      <c r="B24" t="s">
        <v>243</v>
      </c>
      <c r="C24" t="s">
        <v>243</v>
      </c>
      <c r="D24" t="s">
        <v>243</v>
      </c>
      <c r="E24" t="s">
        <v>508</v>
      </c>
      <c r="F24" t="s">
        <v>489</v>
      </c>
      <c r="G24" t="s">
        <v>243</v>
      </c>
      <c r="H24" t="s">
        <v>243</v>
      </c>
      <c r="I24" t="s">
        <v>243</v>
      </c>
      <c r="J24" t="s">
        <v>243</v>
      </c>
      <c r="K24" t="s">
        <v>243</v>
      </c>
      <c r="L24" t="s">
        <v>243</v>
      </c>
      <c r="M24" t="s">
        <v>243</v>
      </c>
      <c r="N24" t="s">
        <v>223</v>
      </c>
      <c r="O24" t="s">
        <v>353</v>
      </c>
      <c r="P24" t="s">
        <v>334</v>
      </c>
      <c r="Q24" t="s">
        <v>243</v>
      </c>
      <c r="R24" t="s">
        <v>297</v>
      </c>
      <c r="S24" t="s">
        <v>279</v>
      </c>
      <c r="T24" t="s">
        <v>260</v>
      </c>
      <c r="U24" t="s">
        <v>243</v>
      </c>
      <c r="V24" t="s">
        <v>243</v>
      </c>
      <c r="W24" t="s">
        <v>243</v>
      </c>
      <c r="X24" t="s">
        <v>243</v>
      </c>
      <c r="Y24" t="s">
        <v>243</v>
      </c>
      <c r="Z24" t="s">
        <v>243</v>
      </c>
      <c r="AA24" t="s">
        <v>243</v>
      </c>
      <c r="AB24" t="s">
        <v>220</v>
      </c>
      <c r="AC24" t="s">
        <v>115</v>
      </c>
      <c r="AD24" t="s">
        <v>115</v>
      </c>
      <c r="AE24" t="s">
        <v>115</v>
      </c>
      <c r="AF24" t="s">
        <v>115</v>
      </c>
      <c r="AG24" t="s">
        <v>115</v>
      </c>
    </row>
    <row r="25" spans="1:33">
      <c r="A25" t="str">
        <f>IF(手动输入表!$F25="","",手动输入表!$F25)</f>
        <v>棉花</v>
      </c>
      <c r="B25" t="s">
        <v>125</v>
      </c>
      <c r="C25" t="s">
        <v>125</v>
      </c>
      <c r="D25" t="s">
        <v>125</v>
      </c>
      <c r="E25" t="s">
        <v>509</v>
      </c>
      <c r="F25" t="s">
        <v>490</v>
      </c>
      <c r="G25" t="s">
        <v>125</v>
      </c>
      <c r="H25" t="s">
        <v>125</v>
      </c>
      <c r="I25" t="s">
        <v>125</v>
      </c>
      <c r="J25" t="s">
        <v>125</v>
      </c>
      <c r="K25" t="s">
        <v>125</v>
      </c>
      <c r="L25" t="s">
        <v>125</v>
      </c>
      <c r="M25" t="s">
        <v>125</v>
      </c>
      <c r="N25" t="s">
        <v>163</v>
      </c>
      <c r="O25" t="s">
        <v>354</v>
      </c>
      <c r="P25" t="s">
        <v>335</v>
      </c>
      <c r="Q25" t="s">
        <v>125</v>
      </c>
      <c r="R25" t="s">
        <v>298</v>
      </c>
      <c r="S25" t="s">
        <v>280</v>
      </c>
      <c r="T25" t="s">
        <v>261</v>
      </c>
      <c r="U25" t="s">
        <v>125</v>
      </c>
      <c r="V25" t="s">
        <v>125</v>
      </c>
      <c r="W25" t="s">
        <v>125</v>
      </c>
      <c r="X25" t="s">
        <v>125</v>
      </c>
      <c r="Y25" t="s">
        <v>125</v>
      </c>
      <c r="Z25" t="s">
        <v>125</v>
      </c>
      <c r="AA25" t="s">
        <v>125</v>
      </c>
      <c r="AB25" t="s">
        <v>221</v>
      </c>
      <c r="AC25" t="s">
        <v>125</v>
      </c>
      <c r="AD25" t="s">
        <v>125</v>
      </c>
      <c r="AE25" t="s">
        <v>125</v>
      </c>
      <c r="AF25" t="s">
        <v>125</v>
      </c>
      <c r="AG25" t="s">
        <v>125</v>
      </c>
    </row>
    <row r="26" spans="1:33">
      <c r="A26" t="str">
        <f>IF(手动输入表!$F26="","",手动输入表!$F26)</f>
        <v>棉纱</v>
      </c>
      <c r="B26" t="s">
        <v>126</v>
      </c>
      <c r="C26" t="s">
        <v>126</v>
      </c>
      <c r="D26" t="s">
        <v>126</v>
      </c>
      <c r="E26" t="s">
        <v>510</v>
      </c>
      <c r="F26" t="s">
        <v>491</v>
      </c>
      <c r="G26" t="s">
        <v>126</v>
      </c>
      <c r="H26" t="s">
        <v>126</v>
      </c>
      <c r="I26" t="s">
        <v>126</v>
      </c>
      <c r="J26" t="s">
        <v>126</v>
      </c>
      <c r="K26" t="s">
        <v>126</v>
      </c>
      <c r="L26" t="s">
        <v>126</v>
      </c>
      <c r="M26" t="s">
        <v>126</v>
      </c>
      <c r="N26" t="s">
        <v>183</v>
      </c>
      <c r="O26" t="s">
        <v>355</v>
      </c>
      <c r="P26" t="s">
        <v>336</v>
      </c>
      <c r="Q26" t="s">
        <v>126</v>
      </c>
      <c r="R26" t="s">
        <v>299</v>
      </c>
      <c r="S26" t="s">
        <v>281</v>
      </c>
      <c r="T26" t="s">
        <v>262</v>
      </c>
      <c r="U26" t="s">
        <v>126</v>
      </c>
      <c r="V26" t="s">
        <v>126</v>
      </c>
      <c r="W26" t="s">
        <v>126</v>
      </c>
      <c r="X26" t="s">
        <v>126</v>
      </c>
      <c r="Y26" t="s">
        <v>126</v>
      </c>
      <c r="Z26" t="s">
        <v>126</v>
      </c>
      <c r="AA26" t="s">
        <v>126</v>
      </c>
      <c r="AB26" t="s">
        <v>222</v>
      </c>
      <c r="AC26" t="s">
        <v>126</v>
      </c>
      <c r="AD26" t="s">
        <v>126</v>
      </c>
      <c r="AE26" t="s">
        <v>126</v>
      </c>
      <c r="AF26" t="s">
        <v>126</v>
      </c>
      <c r="AG26" t="s">
        <v>126</v>
      </c>
    </row>
    <row r="27" spans="1:33">
      <c r="A27" t="str">
        <f>IF(手动输入表!$F27="","",手动输入表!$F27)</f>
        <v>铜</v>
      </c>
      <c r="B27" t="s">
        <v>113</v>
      </c>
      <c r="C27" t="s">
        <v>113</v>
      </c>
      <c r="D27" t="s">
        <v>113</v>
      </c>
      <c r="E27" t="s">
        <v>497</v>
      </c>
      <c r="F27" t="s">
        <v>478</v>
      </c>
      <c r="G27" t="s">
        <v>113</v>
      </c>
      <c r="H27" t="s">
        <v>113</v>
      </c>
      <c r="I27" t="s">
        <v>113</v>
      </c>
      <c r="J27" t="s">
        <v>113</v>
      </c>
      <c r="K27" t="s">
        <v>113</v>
      </c>
      <c r="L27" t="s">
        <v>113</v>
      </c>
      <c r="M27" t="s">
        <v>113</v>
      </c>
      <c r="N27" t="s">
        <v>169</v>
      </c>
      <c r="O27" t="s">
        <v>342</v>
      </c>
      <c r="P27" t="s">
        <v>323</v>
      </c>
      <c r="Q27" t="s">
        <v>113</v>
      </c>
      <c r="R27" t="s">
        <v>286</v>
      </c>
      <c r="S27" t="s">
        <v>268</v>
      </c>
      <c r="T27" t="s">
        <v>263</v>
      </c>
      <c r="U27" t="s">
        <v>113</v>
      </c>
      <c r="V27" t="s">
        <v>113</v>
      </c>
      <c r="W27" t="s">
        <v>113</v>
      </c>
      <c r="X27" t="s">
        <v>113</v>
      </c>
      <c r="Y27" t="s">
        <v>113</v>
      </c>
      <c r="Z27" t="s">
        <v>113</v>
      </c>
      <c r="AA27" t="s">
        <v>113</v>
      </c>
      <c r="AB27" t="s">
        <v>208</v>
      </c>
      <c r="AC27" t="s">
        <v>113</v>
      </c>
      <c r="AD27" t="s">
        <v>113</v>
      </c>
      <c r="AE27" t="s">
        <v>113</v>
      </c>
      <c r="AF27" t="s">
        <v>113</v>
      </c>
      <c r="AG27" t="s">
        <v>113</v>
      </c>
    </row>
    <row r="28" spans="1:33">
      <c r="A28" t="str">
        <f>IF(手动输入表!$F28="","",手动输入表!$F28)</f>
        <v>铝</v>
      </c>
      <c r="B28" t="s">
        <v>113</v>
      </c>
      <c r="C28" t="s">
        <v>113</v>
      </c>
      <c r="D28" t="s">
        <v>113</v>
      </c>
      <c r="E28" t="s">
        <v>497</v>
      </c>
      <c r="F28" t="s">
        <v>478</v>
      </c>
      <c r="G28" t="s">
        <v>113</v>
      </c>
      <c r="H28" t="s">
        <v>113</v>
      </c>
      <c r="I28" t="s">
        <v>113</v>
      </c>
      <c r="J28" t="s">
        <v>113</v>
      </c>
      <c r="K28" t="s">
        <v>113</v>
      </c>
      <c r="L28" t="s">
        <v>113</v>
      </c>
      <c r="M28" t="s">
        <v>113</v>
      </c>
      <c r="N28" t="s">
        <v>169</v>
      </c>
      <c r="O28" t="s">
        <v>342</v>
      </c>
      <c r="P28" t="s">
        <v>323</v>
      </c>
      <c r="Q28" t="s">
        <v>113</v>
      </c>
      <c r="R28" t="s">
        <v>286</v>
      </c>
      <c r="S28" t="s">
        <v>268</v>
      </c>
      <c r="T28" t="s">
        <v>263</v>
      </c>
      <c r="U28" t="s">
        <v>113</v>
      </c>
      <c r="V28" t="s">
        <v>113</v>
      </c>
      <c r="W28" t="s">
        <v>113</v>
      </c>
      <c r="X28" t="s">
        <v>113</v>
      </c>
      <c r="Y28" t="s">
        <v>113</v>
      </c>
      <c r="Z28" t="s">
        <v>113</v>
      </c>
      <c r="AA28" t="s">
        <v>113</v>
      </c>
      <c r="AB28" t="s">
        <v>208</v>
      </c>
      <c r="AC28" t="s">
        <v>113</v>
      </c>
      <c r="AD28" t="s">
        <v>113</v>
      </c>
      <c r="AE28" t="s">
        <v>113</v>
      </c>
      <c r="AF28" t="s">
        <v>113</v>
      </c>
      <c r="AG28" t="s">
        <v>113</v>
      </c>
    </row>
    <row r="29" spans="1:33">
      <c r="A29" t="str">
        <f>IF(手动输入表!$F29="","",手动输入表!$F29)</f>
        <v>锌</v>
      </c>
      <c r="B29" t="s">
        <v>113</v>
      </c>
      <c r="C29" t="s">
        <v>113</v>
      </c>
      <c r="D29" t="s">
        <v>113</v>
      </c>
      <c r="E29" t="s">
        <v>497</v>
      </c>
      <c r="F29" t="s">
        <v>478</v>
      </c>
      <c r="G29" t="s">
        <v>113</v>
      </c>
      <c r="H29" t="s">
        <v>113</v>
      </c>
      <c r="I29" t="s">
        <v>113</v>
      </c>
      <c r="J29" t="s">
        <v>113</v>
      </c>
      <c r="K29" t="s">
        <v>113</v>
      </c>
      <c r="L29" t="s">
        <v>113</v>
      </c>
      <c r="M29" t="s">
        <v>113</v>
      </c>
      <c r="N29" t="s">
        <v>169</v>
      </c>
      <c r="O29" t="s">
        <v>342</v>
      </c>
      <c r="P29" t="s">
        <v>323</v>
      </c>
      <c r="Q29" t="s">
        <v>113</v>
      </c>
      <c r="R29" t="s">
        <v>286</v>
      </c>
      <c r="S29" t="s">
        <v>268</v>
      </c>
      <c r="T29" t="s">
        <v>263</v>
      </c>
      <c r="U29" t="s">
        <v>113</v>
      </c>
      <c r="V29" t="s">
        <v>113</v>
      </c>
      <c r="W29" t="s">
        <v>113</v>
      </c>
      <c r="X29" t="s">
        <v>113</v>
      </c>
      <c r="Y29" t="s">
        <v>113</v>
      </c>
      <c r="Z29" t="s">
        <v>113</v>
      </c>
      <c r="AA29" t="s">
        <v>113</v>
      </c>
      <c r="AB29" t="s">
        <v>208</v>
      </c>
      <c r="AC29" t="s">
        <v>113</v>
      </c>
      <c r="AD29" t="s">
        <v>113</v>
      </c>
      <c r="AE29" t="s">
        <v>113</v>
      </c>
      <c r="AF29" t="s">
        <v>113</v>
      </c>
      <c r="AG29" t="s">
        <v>113</v>
      </c>
    </row>
    <row r="30" spans="1:33">
      <c r="A30" t="str">
        <f>IF(手动输入表!$F30="","",手动输入表!$F30)</f>
        <v>镍</v>
      </c>
      <c r="B30" t="s">
        <v>113</v>
      </c>
      <c r="C30" t="s">
        <v>113</v>
      </c>
      <c r="D30" t="s">
        <v>113</v>
      </c>
      <c r="E30" t="s">
        <v>497</v>
      </c>
      <c r="F30" t="s">
        <v>478</v>
      </c>
      <c r="G30" t="s">
        <v>113</v>
      </c>
      <c r="H30" t="s">
        <v>113</v>
      </c>
      <c r="I30" t="s">
        <v>113</v>
      </c>
      <c r="J30" t="s">
        <v>113</v>
      </c>
      <c r="K30" t="s">
        <v>113</v>
      </c>
      <c r="L30" t="s">
        <v>113</v>
      </c>
      <c r="M30" t="s">
        <v>113</v>
      </c>
      <c r="N30" t="s">
        <v>169</v>
      </c>
      <c r="O30" t="s">
        <v>342</v>
      </c>
      <c r="P30" t="s">
        <v>323</v>
      </c>
      <c r="Q30" t="s">
        <v>113</v>
      </c>
      <c r="R30" t="s">
        <v>286</v>
      </c>
      <c r="S30" t="s">
        <v>268</v>
      </c>
      <c r="T30" t="s">
        <v>263</v>
      </c>
      <c r="U30" t="s">
        <v>113</v>
      </c>
      <c r="V30" t="s">
        <v>113</v>
      </c>
      <c r="W30" t="s">
        <v>113</v>
      </c>
      <c r="X30" t="s">
        <v>113</v>
      </c>
      <c r="Y30" t="s">
        <v>113</v>
      </c>
      <c r="Z30" t="s">
        <v>113</v>
      </c>
      <c r="AA30" t="s">
        <v>113</v>
      </c>
      <c r="AB30" t="s">
        <v>208</v>
      </c>
      <c r="AC30" t="s">
        <v>113</v>
      </c>
      <c r="AD30" t="s">
        <v>113</v>
      </c>
      <c r="AE30" t="s">
        <v>113</v>
      </c>
      <c r="AF30" t="s">
        <v>113</v>
      </c>
      <c r="AG30" t="s">
        <v>113</v>
      </c>
    </row>
    <row r="31" spans="1:33">
      <c r="A31" t="str">
        <f>IF(手动输入表!$F31="","",手动输入表!$F31)</f>
        <v/>
      </c>
    </row>
    <row r="32" spans="1:33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G32"/>
  <sheetViews>
    <sheetView workbookViewId="0">
      <selection activeCell="J18" sqref="J18"/>
    </sheetView>
  </sheetViews>
  <sheetFormatPr defaultRowHeight="13.5"/>
  <sheetData>
    <row r="1" spans="1:33">
      <c r="A1" t="s">
        <v>98</v>
      </c>
      <c r="B1" s="11">
        <v>43179</v>
      </c>
      <c r="C1" s="11">
        <v>43178</v>
      </c>
      <c r="D1" s="11">
        <v>43175</v>
      </c>
      <c r="E1" s="11">
        <v>43174</v>
      </c>
      <c r="F1" s="11">
        <v>43173</v>
      </c>
      <c r="G1" s="11">
        <v>43172</v>
      </c>
      <c r="H1" s="11">
        <v>43171</v>
      </c>
      <c r="I1" s="11">
        <v>43168</v>
      </c>
      <c r="J1" s="11">
        <v>43167</v>
      </c>
      <c r="K1" s="11">
        <v>43166</v>
      </c>
      <c r="L1" s="11">
        <v>43165</v>
      </c>
      <c r="M1" s="11">
        <v>43164</v>
      </c>
      <c r="N1" s="11">
        <v>43161</v>
      </c>
      <c r="O1" s="11">
        <v>43160</v>
      </c>
      <c r="P1" s="11">
        <v>43159</v>
      </c>
      <c r="Q1" s="11">
        <v>43158</v>
      </c>
      <c r="R1" s="11">
        <v>43157</v>
      </c>
      <c r="S1" s="11">
        <v>43154</v>
      </c>
      <c r="T1" s="11">
        <v>43153</v>
      </c>
      <c r="U1" s="11">
        <v>43145</v>
      </c>
      <c r="V1" s="11">
        <v>43144</v>
      </c>
      <c r="W1" s="11">
        <v>43143</v>
      </c>
      <c r="X1" s="11">
        <v>43140</v>
      </c>
      <c r="Y1" s="11">
        <v>43139</v>
      </c>
      <c r="Z1" s="11">
        <v>43138</v>
      </c>
      <c r="AA1" s="11">
        <v>43137</v>
      </c>
      <c r="AB1" s="11">
        <v>43136</v>
      </c>
      <c r="AC1" s="11">
        <v>43133</v>
      </c>
      <c r="AD1" s="11">
        <v>43132</v>
      </c>
      <c r="AE1" s="11">
        <v>43131</v>
      </c>
      <c r="AF1" s="11">
        <v>43130</v>
      </c>
      <c r="AG1" s="11">
        <v>43129</v>
      </c>
    </row>
    <row r="2" spans="1:33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</row>
    <row r="3" spans="1:33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</row>
    <row r="4" spans="1:33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</row>
    <row r="5" spans="1:33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</row>
    <row r="6" spans="1:33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</row>
    <row r="7" spans="1:33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</row>
    <row r="8" spans="1:33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</row>
    <row r="9" spans="1:33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</row>
    <row r="10" spans="1:33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</row>
    <row r="11" spans="1:33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</row>
    <row r="12" spans="1:33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</row>
    <row r="13" spans="1:33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</row>
    <row r="14" spans="1:33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</row>
    <row r="15" spans="1:33">
      <c r="A15" t="str">
        <f>IF(手动输入表!$F15="","",手动输入表!$F15)</f>
        <v>甲醇</v>
      </c>
      <c r="B15">
        <v>-200</v>
      </c>
      <c r="C15">
        <v>-260</v>
      </c>
      <c r="D15">
        <v>-260</v>
      </c>
      <c r="E15">
        <v>-260</v>
      </c>
      <c r="F15">
        <v>-260</v>
      </c>
      <c r="G15">
        <v>-200</v>
      </c>
      <c r="H15">
        <v>-200</v>
      </c>
      <c r="I15">
        <v>-200</v>
      </c>
      <c r="J15">
        <v>-200</v>
      </c>
      <c r="K15">
        <v>-200</v>
      </c>
      <c r="L15">
        <v>-200</v>
      </c>
      <c r="M15">
        <v>-200</v>
      </c>
      <c r="N15">
        <v>-200</v>
      </c>
      <c r="O15">
        <v>-200</v>
      </c>
      <c r="P15">
        <v>-200</v>
      </c>
      <c r="Q15">
        <v>-200</v>
      </c>
      <c r="R15">
        <v>-200</v>
      </c>
      <c r="S15">
        <v>-200</v>
      </c>
      <c r="T15">
        <v>-200</v>
      </c>
      <c r="U15">
        <v>-200</v>
      </c>
      <c r="V15">
        <v>-200</v>
      </c>
      <c r="W15">
        <v>-200</v>
      </c>
      <c r="X15">
        <v>-200</v>
      </c>
      <c r="Y15">
        <v>-200</v>
      </c>
      <c r="Z15">
        <v>-200</v>
      </c>
      <c r="AA15">
        <v>-200</v>
      </c>
      <c r="AB15">
        <v>-200</v>
      </c>
      <c r="AC15">
        <v>-260</v>
      </c>
      <c r="AD15">
        <v>-260</v>
      </c>
      <c r="AE15">
        <v>-260</v>
      </c>
      <c r="AF15">
        <v>-200</v>
      </c>
      <c r="AG15">
        <v>-200</v>
      </c>
    </row>
    <row r="16" spans="1:33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  <c r="Z16">
        <v>-150</v>
      </c>
      <c r="AA16">
        <v>-150</v>
      </c>
      <c r="AB16">
        <v>-150</v>
      </c>
      <c r="AC16">
        <v>-150</v>
      </c>
      <c r="AD16">
        <v>-150</v>
      </c>
      <c r="AE16">
        <v>-150</v>
      </c>
      <c r="AF16">
        <v>-150</v>
      </c>
      <c r="AG16">
        <v>-150</v>
      </c>
    </row>
    <row r="17" spans="1:33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</row>
    <row r="18" spans="1:33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</row>
    <row r="19" spans="1:33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</row>
    <row r="20" spans="1:33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</row>
    <row r="21" spans="1:33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  <c r="Z21">
        <v>-50</v>
      </c>
      <c r="AA21">
        <v>-50</v>
      </c>
      <c r="AB21">
        <v>-50</v>
      </c>
      <c r="AC21">
        <v>-50</v>
      </c>
      <c r="AD21">
        <v>-50</v>
      </c>
      <c r="AE21">
        <v>-50</v>
      </c>
      <c r="AF21">
        <v>-50</v>
      </c>
      <c r="AG21">
        <v>-50</v>
      </c>
    </row>
    <row r="22" spans="1:33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100</v>
      </c>
      <c r="P22">
        <v>100</v>
      </c>
      <c r="Q22">
        <v>100</v>
      </c>
      <c r="R22">
        <v>100</v>
      </c>
      <c r="S22">
        <v>100</v>
      </c>
      <c r="T22">
        <v>100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</row>
    <row r="23" spans="1:33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  <c r="Z23">
        <v>-240</v>
      </c>
      <c r="AA23">
        <v>-240</v>
      </c>
      <c r="AB23">
        <v>-240</v>
      </c>
      <c r="AC23">
        <v>-240</v>
      </c>
      <c r="AD23">
        <v>-240</v>
      </c>
      <c r="AE23">
        <v>-240</v>
      </c>
      <c r="AF23">
        <v>-240</v>
      </c>
      <c r="AG23">
        <v>-240</v>
      </c>
    </row>
    <row r="24" spans="1:33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</row>
    <row r="25" spans="1:33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</row>
    <row r="26" spans="1:33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</row>
    <row r="27" spans="1:33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</row>
    <row r="28" spans="1:33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</row>
    <row r="29" spans="1:33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</row>
    <row r="30" spans="1:33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</row>
    <row r="31" spans="1:33">
      <c r="A31" t="str">
        <f>IF(手动输入表!$F31="","",手动输入表!$F31)</f>
        <v/>
      </c>
    </row>
    <row r="32" spans="1:33">
      <c r="A32" t="str">
        <f>IF(手动输入表!$F32="","",手动输入表!$F32)</f>
        <v/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G37"/>
  <sheetViews>
    <sheetView workbookViewId="0">
      <selection activeCell="D9" sqref="D9"/>
    </sheetView>
  </sheetViews>
  <sheetFormatPr defaultRowHeight="13.5"/>
  <sheetData>
    <row r="1" spans="1:33">
      <c r="A1" t="s">
        <v>98</v>
      </c>
      <c r="B1" s="11">
        <v>43179</v>
      </c>
      <c r="C1" s="11">
        <v>43178</v>
      </c>
      <c r="D1" s="11">
        <v>43175</v>
      </c>
      <c r="E1" s="11">
        <v>43174</v>
      </c>
      <c r="F1" s="11">
        <v>43173</v>
      </c>
      <c r="G1" s="11">
        <v>43172</v>
      </c>
      <c r="H1" s="11">
        <v>43171</v>
      </c>
      <c r="I1" s="11">
        <v>43168</v>
      </c>
      <c r="J1" s="11">
        <v>43167</v>
      </c>
      <c r="K1" s="11">
        <v>43166</v>
      </c>
      <c r="L1" s="11">
        <v>43165</v>
      </c>
      <c r="M1" s="11">
        <v>43164</v>
      </c>
      <c r="N1" s="11">
        <v>43161</v>
      </c>
      <c r="O1" s="11">
        <v>43160</v>
      </c>
      <c r="P1" s="11">
        <v>43159</v>
      </c>
      <c r="Q1" s="11">
        <v>43158</v>
      </c>
      <c r="R1" s="11">
        <v>43157</v>
      </c>
      <c r="S1" s="11">
        <v>43154</v>
      </c>
      <c r="T1" s="11">
        <v>43153</v>
      </c>
      <c r="U1" s="11">
        <v>43145</v>
      </c>
      <c r="V1" s="11">
        <v>43144</v>
      </c>
      <c r="W1" s="11">
        <v>43143</v>
      </c>
      <c r="X1" s="11">
        <v>43140</v>
      </c>
      <c r="Y1" s="11">
        <v>43139</v>
      </c>
      <c r="Z1" s="11">
        <v>43138</v>
      </c>
      <c r="AA1" s="11">
        <v>43137</v>
      </c>
      <c r="AB1" s="11">
        <v>43136</v>
      </c>
      <c r="AC1" s="11">
        <v>43133</v>
      </c>
      <c r="AD1" s="11">
        <v>43132</v>
      </c>
      <c r="AE1" s="11">
        <v>43131</v>
      </c>
      <c r="AF1" s="11">
        <v>43130</v>
      </c>
      <c r="AG1" s="11">
        <v>43129</v>
      </c>
    </row>
    <row r="2" spans="1:33">
      <c r="A2" t="str">
        <f>IF(手动输入表!$F2="","",手动输入表!$F2)</f>
        <v>焦炭</v>
      </c>
      <c r="B2" t="s">
        <v>123</v>
      </c>
      <c r="C2" t="s">
        <v>123</v>
      </c>
      <c r="D2" t="s">
        <v>123</v>
      </c>
      <c r="E2" t="s">
        <v>511</v>
      </c>
      <c r="F2" t="s">
        <v>123</v>
      </c>
      <c r="G2" t="s">
        <v>123</v>
      </c>
      <c r="H2" t="s">
        <v>456</v>
      </c>
      <c r="I2" t="s">
        <v>438</v>
      </c>
      <c r="J2" t="s">
        <v>420</v>
      </c>
      <c r="K2" t="s">
        <v>402</v>
      </c>
      <c r="L2" t="s">
        <v>123</v>
      </c>
      <c r="M2" t="s">
        <v>384</v>
      </c>
      <c r="N2" t="s">
        <v>123</v>
      </c>
      <c r="O2" t="s">
        <v>356</v>
      </c>
      <c r="P2" t="s">
        <v>123</v>
      </c>
      <c r="Q2" t="s">
        <v>123</v>
      </c>
      <c r="R2" t="s">
        <v>300</v>
      </c>
      <c r="S2" t="s">
        <v>119</v>
      </c>
      <c r="T2" t="s">
        <v>119</v>
      </c>
      <c r="U2" t="s">
        <v>119</v>
      </c>
      <c r="V2" t="s">
        <v>119</v>
      </c>
      <c r="W2" t="s">
        <v>119</v>
      </c>
      <c r="X2" t="s">
        <v>119</v>
      </c>
      <c r="Y2" t="s">
        <v>119</v>
      </c>
      <c r="Z2" t="s">
        <v>119</v>
      </c>
      <c r="AA2" t="s">
        <v>119</v>
      </c>
      <c r="AB2" t="s">
        <v>224</v>
      </c>
      <c r="AC2" t="s">
        <v>185</v>
      </c>
      <c r="AD2" t="s">
        <v>119</v>
      </c>
      <c r="AE2" t="s">
        <v>119</v>
      </c>
      <c r="AF2" t="s">
        <v>165</v>
      </c>
      <c r="AG2" t="s">
        <v>146</v>
      </c>
    </row>
    <row r="3" spans="1:33">
      <c r="A3" t="str">
        <f>IF(手动输入表!$F3="","",手动输入表!$F3)</f>
        <v>焦煤</v>
      </c>
      <c r="B3" t="s">
        <v>122</v>
      </c>
      <c r="C3" t="s">
        <v>122</v>
      </c>
      <c r="D3" t="s">
        <v>122</v>
      </c>
      <c r="E3" t="s">
        <v>512</v>
      </c>
      <c r="F3" t="s">
        <v>122</v>
      </c>
      <c r="G3" t="s">
        <v>122</v>
      </c>
      <c r="H3" t="s">
        <v>457</v>
      </c>
      <c r="I3" t="s">
        <v>439</v>
      </c>
      <c r="J3" t="s">
        <v>421</v>
      </c>
      <c r="K3" t="s">
        <v>403</v>
      </c>
      <c r="L3" t="s">
        <v>122</v>
      </c>
      <c r="M3" t="s">
        <v>385</v>
      </c>
      <c r="N3" t="s">
        <v>122</v>
      </c>
      <c r="O3" t="s">
        <v>357</v>
      </c>
      <c r="P3" t="s">
        <v>122</v>
      </c>
      <c r="Q3" t="s">
        <v>122</v>
      </c>
      <c r="R3" t="s">
        <v>301</v>
      </c>
      <c r="S3" t="s">
        <v>122</v>
      </c>
      <c r="T3" t="s">
        <v>122</v>
      </c>
      <c r="U3" t="s">
        <v>122</v>
      </c>
      <c r="V3" t="s">
        <v>122</v>
      </c>
      <c r="W3" t="s">
        <v>122</v>
      </c>
      <c r="X3" t="s">
        <v>122</v>
      </c>
      <c r="Y3" t="s">
        <v>122</v>
      </c>
      <c r="Z3" t="s">
        <v>122</v>
      </c>
      <c r="AA3" t="s">
        <v>122</v>
      </c>
      <c r="AB3" t="s">
        <v>225</v>
      </c>
      <c r="AC3" t="s">
        <v>186</v>
      </c>
      <c r="AD3" t="s">
        <v>122</v>
      </c>
      <c r="AE3" t="s">
        <v>122</v>
      </c>
      <c r="AF3" t="s">
        <v>166</v>
      </c>
      <c r="AG3" t="s">
        <v>147</v>
      </c>
    </row>
    <row r="4" spans="1:33">
      <c r="A4" t="str">
        <f>IF(手动输入表!$F4="","",手动输入表!$F4)</f>
        <v>动力煤</v>
      </c>
      <c r="B4" t="s">
        <v>112</v>
      </c>
      <c r="C4" t="s">
        <v>112</v>
      </c>
      <c r="D4" t="s">
        <v>112</v>
      </c>
      <c r="E4" t="s">
        <v>513</v>
      </c>
      <c r="F4" t="s">
        <v>112</v>
      </c>
      <c r="G4" t="s">
        <v>112</v>
      </c>
      <c r="H4" t="s">
        <v>458</v>
      </c>
      <c r="I4" t="s">
        <v>440</v>
      </c>
      <c r="J4" t="s">
        <v>422</v>
      </c>
      <c r="K4" t="s">
        <v>404</v>
      </c>
      <c r="L4" t="s">
        <v>112</v>
      </c>
      <c r="M4" t="s">
        <v>386</v>
      </c>
      <c r="N4" t="s">
        <v>112</v>
      </c>
      <c r="O4" t="s">
        <v>358</v>
      </c>
      <c r="P4" t="s">
        <v>112</v>
      </c>
      <c r="Q4" t="s">
        <v>112</v>
      </c>
      <c r="R4" t="s">
        <v>302</v>
      </c>
      <c r="S4" t="s">
        <v>112</v>
      </c>
      <c r="T4" t="s">
        <v>112</v>
      </c>
      <c r="U4" t="s">
        <v>112</v>
      </c>
      <c r="V4" t="s">
        <v>112</v>
      </c>
      <c r="W4" t="s">
        <v>112</v>
      </c>
      <c r="X4" t="s">
        <v>112</v>
      </c>
      <c r="Y4" t="s">
        <v>112</v>
      </c>
      <c r="Z4" t="s">
        <v>112</v>
      </c>
      <c r="AA4" t="s">
        <v>112</v>
      </c>
      <c r="AB4" t="s">
        <v>226</v>
      </c>
      <c r="AC4" t="s">
        <v>187</v>
      </c>
      <c r="AD4" t="s">
        <v>112</v>
      </c>
      <c r="AE4" t="s">
        <v>112</v>
      </c>
      <c r="AF4" t="s">
        <v>167</v>
      </c>
      <c r="AG4" t="s">
        <v>148</v>
      </c>
    </row>
    <row r="5" spans="1:33">
      <c r="A5" t="str">
        <f>IF(手动输入表!$F5="","",手动输入表!$F5)</f>
        <v>铁矿石</v>
      </c>
      <c r="B5" t="s">
        <v>129</v>
      </c>
      <c r="C5" t="s">
        <v>129</v>
      </c>
      <c r="D5" t="s">
        <v>129</v>
      </c>
      <c r="E5" t="s">
        <v>514</v>
      </c>
      <c r="F5" t="s">
        <v>129</v>
      </c>
      <c r="G5" t="s">
        <v>129</v>
      </c>
      <c r="H5" t="s">
        <v>459</v>
      </c>
      <c r="I5" t="s">
        <v>441</v>
      </c>
      <c r="J5" t="s">
        <v>423</v>
      </c>
      <c r="K5" t="s">
        <v>405</v>
      </c>
      <c r="L5" t="s">
        <v>129</v>
      </c>
      <c r="M5" t="s">
        <v>387</v>
      </c>
      <c r="N5" t="s">
        <v>129</v>
      </c>
      <c r="O5" t="s">
        <v>359</v>
      </c>
      <c r="P5" t="s">
        <v>129</v>
      </c>
      <c r="Q5" t="s">
        <v>129</v>
      </c>
      <c r="R5" t="s">
        <v>303</v>
      </c>
      <c r="S5" t="s">
        <v>129</v>
      </c>
      <c r="T5" t="s">
        <v>129</v>
      </c>
      <c r="U5" t="s">
        <v>129</v>
      </c>
      <c r="V5" t="s">
        <v>129</v>
      </c>
      <c r="W5" t="s">
        <v>129</v>
      </c>
      <c r="X5" t="s">
        <v>129</v>
      </c>
      <c r="Y5" t="s">
        <v>129</v>
      </c>
      <c r="Z5" t="s">
        <v>129</v>
      </c>
      <c r="AA5" t="s">
        <v>129</v>
      </c>
      <c r="AB5" t="s">
        <v>227</v>
      </c>
      <c r="AC5" t="s">
        <v>188</v>
      </c>
      <c r="AD5" t="s">
        <v>129</v>
      </c>
      <c r="AE5" t="s">
        <v>129</v>
      </c>
      <c r="AF5" t="s">
        <v>168</v>
      </c>
      <c r="AG5" t="s">
        <v>149</v>
      </c>
    </row>
    <row r="6" spans="1:33">
      <c r="A6" t="str">
        <f>IF(手动输入表!$F6="","",手动输入表!$F6)</f>
        <v>螺纹钢</v>
      </c>
      <c r="B6" t="s">
        <v>113</v>
      </c>
      <c r="C6" t="s">
        <v>113</v>
      </c>
      <c r="D6" t="s">
        <v>113</v>
      </c>
      <c r="E6" t="s">
        <v>515</v>
      </c>
      <c r="F6" t="s">
        <v>113</v>
      </c>
      <c r="G6" t="s">
        <v>113</v>
      </c>
      <c r="H6" t="s">
        <v>460</v>
      </c>
      <c r="I6" t="s">
        <v>442</v>
      </c>
      <c r="J6" t="s">
        <v>424</v>
      </c>
      <c r="K6" t="s">
        <v>406</v>
      </c>
      <c r="L6" t="s">
        <v>113</v>
      </c>
      <c r="M6" t="s">
        <v>388</v>
      </c>
      <c r="N6" t="s">
        <v>113</v>
      </c>
      <c r="O6" t="s">
        <v>360</v>
      </c>
      <c r="P6" t="s">
        <v>113</v>
      </c>
      <c r="Q6" t="s">
        <v>113</v>
      </c>
      <c r="R6" t="s">
        <v>304</v>
      </c>
      <c r="S6" t="s">
        <v>113</v>
      </c>
      <c r="T6" t="s">
        <v>113</v>
      </c>
      <c r="U6" t="s">
        <v>113</v>
      </c>
      <c r="V6" t="s">
        <v>113</v>
      </c>
      <c r="W6" t="s">
        <v>113</v>
      </c>
      <c r="X6" t="s">
        <v>113</v>
      </c>
      <c r="Y6" t="s">
        <v>113</v>
      </c>
      <c r="Z6" t="s">
        <v>113</v>
      </c>
      <c r="AA6" t="s">
        <v>113</v>
      </c>
      <c r="AB6" t="s">
        <v>228</v>
      </c>
      <c r="AC6" t="s">
        <v>189</v>
      </c>
      <c r="AD6" t="s">
        <v>113</v>
      </c>
      <c r="AE6" t="s">
        <v>113</v>
      </c>
      <c r="AF6" t="s">
        <v>169</v>
      </c>
      <c r="AG6" t="s">
        <v>150</v>
      </c>
    </row>
    <row r="7" spans="1:33">
      <c r="A7" t="str">
        <f>IF(手动输入表!$F7="","",手动输入表!$F7)</f>
        <v>热卷</v>
      </c>
      <c r="B7" t="s">
        <v>113</v>
      </c>
      <c r="C7" t="s">
        <v>113</v>
      </c>
      <c r="D7" t="s">
        <v>113</v>
      </c>
      <c r="E7" t="s">
        <v>515</v>
      </c>
      <c r="F7" t="s">
        <v>113</v>
      </c>
      <c r="G7" t="s">
        <v>113</v>
      </c>
      <c r="H7" t="s">
        <v>460</v>
      </c>
      <c r="I7" t="s">
        <v>442</v>
      </c>
      <c r="J7" t="s">
        <v>424</v>
      </c>
      <c r="K7" t="s">
        <v>406</v>
      </c>
      <c r="L7" t="s">
        <v>113</v>
      </c>
      <c r="M7" t="s">
        <v>388</v>
      </c>
      <c r="N7" t="s">
        <v>113</v>
      </c>
      <c r="O7" t="s">
        <v>360</v>
      </c>
      <c r="P7" t="s">
        <v>113</v>
      </c>
      <c r="Q7" t="s">
        <v>113</v>
      </c>
      <c r="R7" t="s">
        <v>304</v>
      </c>
      <c r="S7" t="s">
        <v>113</v>
      </c>
      <c r="T7" t="s">
        <v>113</v>
      </c>
      <c r="U7" t="s">
        <v>113</v>
      </c>
      <c r="V7" t="s">
        <v>113</v>
      </c>
      <c r="W7" t="s">
        <v>113</v>
      </c>
      <c r="X7" t="s">
        <v>113</v>
      </c>
      <c r="Y7" t="s">
        <v>113</v>
      </c>
      <c r="Z7" t="s">
        <v>113</v>
      </c>
      <c r="AA7" t="s">
        <v>113</v>
      </c>
      <c r="AB7" t="s">
        <v>228</v>
      </c>
      <c r="AC7" t="s">
        <v>189</v>
      </c>
      <c r="AD7" t="s">
        <v>113</v>
      </c>
      <c r="AE7" t="s">
        <v>113</v>
      </c>
      <c r="AF7" t="s">
        <v>169</v>
      </c>
      <c r="AG7" t="s">
        <v>150</v>
      </c>
    </row>
    <row r="8" spans="1:33">
      <c r="A8" t="str">
        <f>IF(手动输入表!$F8="","",手动输入表!$F8)</f>
        <v>天胶</v>
      </c>
      <c r="B8" t="s">
        <v>113</v>
      </c>
      <c r="C8" t="s">
        <v>113</v>
      </c>
      <c r="D8" t="s">
        <v>113</v>
      </c>
      <c r="E8" t="s">
        <v>515</v>
      </c>
      <c r="F8" t="s">
        <v>113</v>
      </c>
      <c r="G8" t="s">
        <v>113</v>
      </c>
      <c r="H8" t="s">
        <v>460</v>
      </c>
      <c r="I8" t="s">
        <v>442</v>
      </c>
      <c r="J8" t="s">
        <v>424</v>
      </c>
      <c r="K8" t="s">
        <v>406</v>
      </c>
      <c r="L8" t="s">
        <v>113</v>
      </c>
      <c r="M8" t="s">
        <v>388</v>
      </c>
      <c r="N8" t="s">
        <v>113</v>
      </c>
      <c r="O8" t="s">
        <v>360</v>
      </c>
      <c r="P8" t="s">
        <v>113</v>
      </c>
      <c r="Q8" t="s">
        <v>113</v>
      </c>
      <c r="R8" t="s">
        <v>304</v>
      </c>
      <c r="S8" t="s">
        <v>113</v>
      </c>
      <c r="T8" t="s">
        <v>113</v>
      </c>
      <c r="U8" t="s">
        <v>113</v>
      </c>
      <c r="V8" t="s">
        <v>113</v>
      </c>
      <c r="W8" t="s">
        <v>113</v>
      </c>
      <c r="X8" t="s">
        <v>113</v>
      </c>
      <c r="Y8" t="s">
        <v>113</v>
      </c>
      <c r="Z8" t="s">
        <v>113</v>
      </c>
      <c r="AA8" t="s">
        <v>113</v>
      </c>
      <c r="AB8" t="s">
        <v>228</v>
      </c>
      <c r="AC8" t="s">
        <v>189</v>
      </c>
      <c r="AD8" t="s">
        <v>113</v>
      </c>
      <c r="AE8" t="s">
        <v>113</v>
      </c>
      <c r="AF8" t="s">
        <v>169</v>
      </c>
      <c r="AG8" t="s">
        <v>150</v>
      </c>
    </row>
    <row r="9" spans="1:33">
      <c r="A9" t="str">
        <f>IF(手动输入表!$F9="","",手动输入表!$F9)</f>
        <v>玻璃</v>
      </c>
      <c r="B9" t="s">
        <v>117</v>
      </c>
      <c r="C9" t="s">
        <v>117</v>
      </c>
      <c r="D9" t="s">
        <v>117</v>
      </c>
      <c r="E9" t="s">
        <v>516</v>
      </c>
      <c r="F9" t="s">
        <v>117</v>
      </c>
      <c r="G9" t="s">
        <v>117</v>
      </c>
      <c r="H9" t="s">
        <v>461</v>
      </c>
      <c r="I9" t="s">
        <v>443</v>
      </c>
      <c r="J9" t="s">
        <v>425</v>
      </c>
      <c r="K9" t="s">
        <v>407</v>
      </c>
      <c r="L9" t="s">
        <v>117</v>
      </c>
      <c r="M9" t="s">
        <v>389</v>
      </c>
      <c r="N9" t="s">
        <v>117</v>
      </c>
      <c r="O9" t="s">
        <v>361</v>
      </c>
      <c r="P9" t="s">
        <v>117</v>
      </c>
      <c r="Q9" t="s">
        <v>117</v>
      </c>
      <c r="R9" t="s">
        <v>305</v>
      </c>
      <c r="S9" t="s">
        <v>117</v>
      </c>
      <c r="T9" t="s">
        <v>117</v>
      </c>
      <c r="U9" t="s">
        <v>117</v>
      </c>
      <c r="V9" t="s">
        <v>117</v>
      </c>
      <c r="W9" t="s">
        <v>117</v>
      </c>
      <c r="X9" t="s">
        <v>117</v>
      </c>
      <c r="Y9" t="s">
        <v>117</v>
      </c>
      <c r="Z9" t="s">
        <v>117</v>
      </c>
      <c r="AA9" t="s">
        <v>117</v>
      </c>
      <c r="AB9" t="s">
        <v>229</v>
      </c>
      <c r="AC9" t="s">
        <v>190</v>
      </c>
      <c r="AD9" t="s">
        <v>117</v>
      </c>
      <c r="AE9" t="s">
        <v>117</v>
      </c>
      <c r="AF9" t="s">
        <v>170</v>
      </c>
      <c r="AG9" t="s">
        <v>151</v>
      </c>
    </row>
    <row r="10" spans="1:33">
      <c r="A10" t="str">
        <f>IF(手动输入表!$F10="","",手动输入表!$F10)</f>
        <v>PVC</v>
      </c>
      <c r="B10" t="s">
        <v>124</v>
      </c>
      <c r="C10" t="s">
        <v>124</v>
      </c>
      <c r="D10" t="s">
        <v>124</v>
      </c>
      <c r="E10" t="s">
        <v>517</v>
      </c>
      <c r="F10" t="s">
        <v>124</v>
      </c>
      <c r="G10" t="s">
        <v>124</v>
      </c>
      <c r="H10" t="s">
        <v>462</v>
      </c>
      <c r="I10" t="s">
        <v>444</v>
      </c>
      <c r="J10" t="s">
        <v>426</v>
      </c>
      <c r="K10" t="s">
        <v>408</v>
      </c>
      <c r="L10" t="s">
        <v>124</v>
      </c>
      <c r="M10" t="s">
        <v>390</v>
      </c>
      <c r="N10" t="s">
        <v>124</v>
      </c>
      <c r="O10" t="s">
        <v>362</v>
      </c>
      <c r="P10" t="s">
        <v>124</v>
      </c>
      <c r="Q10" t="s">
        <v>124</v>
      </c>
      <c r="R10" t="s">
        <v>306</v>
      </c>
      <c r="S10" t="s">
        <v>124</v>
      </c>
      <c r="T10" t="s">
        <v>124</v>
      </c>
      <c r="U10" t="s">
        <v>124</v>
      </c>
      <c r="V10" t="s">
        <v>124</v>
      </c>
      <c r="W10" t="s">
        <v>124</v>
      </c>
      <c r="X10" t="s">
        <v>124</v>
      </c>
      <c r="Y10" t="s">
        <v>124</v>
      </c>
      <c r="Z10" t="s">
        <v>124</v>
      </c>
      <c r="AA10" t="s">
        <v>124</v>
      </c>
      <c r="AB10" t="s">
        <v>230</v>
      </c>
      <c r="AC10" t="s">
        <v>191</v>
      </c>
      <c r="AD10" t="s">
        <v>124</v>
      </c>
      <c r="AE10" t="s">
        <v>124</v>
      </c>
      <c r="AF10" t="s">
        <v>171</v>
      </c>
      <c r="AG10" t="s">
        <v>152</v>
      </c>
    </row>
    <row r="11" spans="1:33">
      <c r="A11" t="str">
        <f>IF(手动输入表!$F11="","",手动输入表!$F11)</f>
        <v>LLDPE</v>
      </c>
      <c r="B11" t="s">
        <v>118</v>
      </c>
      <c r="C11" t="s">
        <v>118</v>
      </c>
      <c r="D11" t="s">
        <v>118</v>
      </c>
      <c r="E11" t="s">
        <v>518</v>
      </c>
      <c r="F11" t="s">
        <v>118</v>
      </c>
      <c r="G11" t="s">
        <v>118</v>
      </c>
      <c r="H11" t="s">
        <v>463</v>
      </c>
      <c r="I11" t="s">
        <v>445</v>
      </c>
      <c r="J11" t="s">
        <v>427</v>
      </c>
      <c r="K11" t="s">
        <v>409</v>
      </c>
      <c r="L11" t="s">
        <v>118</v>
      </c>
      <c r="M11" t="s">
        <v>391</v>
      </c>
      <c r="N11" t="s">
        <v>118</v>
      </c>
      <c r="O11" t="s">
        <v>363</v>
      </c>
      <c r="P11" t="s">
        <v>118</v>
      </c>
      <c r="Q11" t="s">
        <v>118</v>
      </c>
      <c r="R11" t="s">
        <v>307</v>
      </c>
      <c r="S11" t="s">
        <v>118</v>
      </c>
      <c r="T11" t="s">
        <v>118</v>
      </c>
      <c r="U11" t="s">
        <v>118</v>
      </c>
      <c r="V11" t="s">
        <v>118</v>
      </c>
      <c r="W11" t="s">
        <v>118</v>
      </c>
      <c r="X11" t="s">
        <v>118</v>
      </c>
      <c r="Y11" t="s">
        <v>118</v>
      </c>
      <c r="Z11" t="s">
        <v>118</v>
      </c>
      <c r="AA11" t="s">
        <v>118</v>
      </c>
      <c r="AB11" t="s">
        <v>231</v>
      </c>
      <c r="AC11" t="s">
        <v>192</v>
      </c>
      <c r="AD11" t="s">
        <v>118</v>
      </c>
      <c r="AE11" t="s">
        <v>118</v>
      </c>
      <c r="AF11" t="s">
        <v>172</v>
      </c>
      <c r="AG11" t="s">
        <v>153</v>
      </c>
    </row>
    <row r="12" spans="1:33">
      <c r="A12" t="str">
        <f>IF(手动输入表!$F12="","",手动输入表!$F12)</f>
        <v>PP</v>
      </c>
      <c r="B12" t="s">
        <v>124</v>
      </c>
      <c r="C12" t="s">
        <v>124</v>
      </c>
      <c r="D12" t="s">
        <v>124</v>
      </c>
      <c r="E12" t="s">
        <v>517</v>
      </c>
      <c r="F12" t="s">
        <v>124</v>
      </c>
      <c r="G12" t="s">
        <v>124</v>
      </c>
      <c r="H12" t="s">
        <v>462</v>
      </c>
      <c r="I12" t="s">
        <v>444</v>
      </c>
      <c r="J12" t="s">
        <v>426</v>
      </c>
      <c r="K12" t="s">
        <v>408</v>
      </c>
      <c r="L12" t="s">
        <v>124</v>
      </c>
      <c r="M12" t="s">
        <v>390</v>
      </c>
      <c r="N12" t="s">
        <v>124</v>
      </c>
      <c r="O12" t="s">
        <v>362</v>
      </c>
      <c r="P12" t="s">
        <v>124</v>
      </c>
      <c r="Q12" t="s">
        <v>124</v>
      </c>
      <c r="R12" t="s">
        <v>306</v>
      </c>
      <c r="S12" t="s">
        <v>124</v>
      </c>
      <c r="T12" t="s">
        <v>124</v>
      </c>
      <c r="U12" t="s">
        <v>124</v>
      </c>
      <c r="V12" t="s">
        <v>124</v>
      </c>
      <c r="W12" t="s">
        <v>124</v>
      </c>
      <c r="X12" t="s">
        <v>124</v>
      </c>
      <c r="Y12" t="s">
        <v>124</v>
      </c>
      <c r="Z12" t="s">
        <v>124</v>
      </c>
      <c r="AA12" t="s">
        <v>124</v>
      </c>
      <c r="AB12" t="s">
        <v>230</v>
      </c>
      <c r="AC12" t="s">
        <v>191</v>
      </c>
      <c r="AD12" t="s">
        <v>124</v>
      </c>
      <c r="AE12" t="s">
        <v>124</v>
      </c>
      <c r="AF12" t="s">
        <v>171</v>
      </c>
      <c r="AG12" t="s">
        <v>152</v>
      </c>
    </row>
    <row r="13" spans="1:33">
      <c r="A13" t="str">
        <f>IF(手动输入表!$F13="","",手动输入表!$F13)</f>
        <v>PTA</v>
      </c>
      <c r="B13" t="s">
        <v>124</v>
      </c>
      <c r="C13" t="s">
        <v>124</v>
      </c>
      <c r="D13" t="s">
        <v>124</v>
      </c>
      <c r="E13" t="s">
        <v>517</v>
      </c>
      <c r="F13" t="s">
        <v>124</v>
      </c>
      <c r="G13" t="s">
        <v>124</v>
      </c>
      <c r="H13" t="s">
        <v>462</v>
      </c>
      <c r="I13" t="s">
        <v>444</v>
      </c>
      <c r="J13" t="s">
        <v>426</v>
      </c>
      <c r="K13" t="s">
        <v>408</v>
      </c>
      <c r="L13" t="s">
        <v>124</v>
      </c>
      <c r="M13" t="s">
        <v>390</v>
      </c>
      <c r="N13" t="s">
        <v>124</v>
      </c>
      <c r="O13" t="s">
        <v>362</v>
      </c>
      <c r="P13" t="s">
        <v>124</v>
      </c>
      <c r="Q13" t="s">
        <v>124</v>
      </c>
      <c r="R13" t="s">
        <v>306</v>
      </c>
      <c r="S13" t="s">
        <v>124</v>
      </c>
      <c r="T13" t="s">
        <v>124</v>
      </c>
      <c r="U13" t="s">
        <v>124</v>
      </c>
      <c r="V13" t="s">
        <v>124</v>
      </c>
      <c r="W13" t="s">
        <v>124</v>
      </c>
      <c r="X13" t="s">
        <v>124</v>
      </c>
      <c r="Y13" t="s">
        <v>124</v>
      </c>
      <c r="Z13" t="s">
        <v>124</v>
      </c>
      <c r="AA13" t="s">
        <v>124</v>
      </c>
      <c r="AB13" t="s">
        <v>230</v>
      </c>
      <c r="AC13" t="s">
        <v>191</v>
      </c>
      <c r="AD13" t="s">
        <v>124</v>
      </c>
      <c r="AE13" t="s">
        <v>124</v>
      </c>
      <c r="AF13" t="s">
        <v>171</v>
      </c>
      <c r="AG13" t="s">
        <v>152</v>
      </c>
    </row>
    <row r="14" spans="1:33">
      <c r="A14" t="str">
        <f>IF(手动输入表!$F14="","",手动输入表!$F14)</f>
        <v>沥青</v>
      </c>
      <c r="B14" t="s">
        <v>124</v>
      </c>
      <c r="C14" t="s">
        <v>124</v>
      </c>
      <c r="D14" t="s">
        <v>124</v>
      </c>
      <c r="E14" t="s">
        <v>517</v>
      </c>
      <c r="F14" t="s">
        <v>124</v>
      </c>
      <c r="G14" t="s">
        <v>124</v>
      </c>
      <c r="H14" t="s">
        <v>462</v>
      </c>
      <c r="I14" t="s">
        <v>444</v>
      </c>
      <c r="J14" t="s">
        <v>426</v>
      </c>
      <c r="K14" t="s">
        <v>408</v>
      </c>
      <c r="L14" t="s">
        <v>124</v>
      </c>
      <c r="M14" t="s">
        <v>390</v>
      </c>
      <c r="N14" t="s">
        <v>124</v>
      </c>
      <c r="O14" t="s">
        <v>362</v>
      </c>
      <c r="P14" t="s">
        <v>124</v>
      </c>
      <c r="Q14" t="s">
        <v>124</v>
      </c>
      <c r="R14" t="s">
        <v>306</v>
      </c>
      <c r="S14" t="s">
        <v>124</v>
      </c>
      <c r="T14" t="s">
        <v>124</v>
      </c>
      <c r="U14" t="s">
        <v>124</v>
      </c>
      <c r="V14" t="s">
        <v>124</v>
      </c>
      <c r="W14" t="s">
        <v>124</v>
      </c>
      <c r="X14" t="s">
        <v>124</v>
      </c>
      <c r="Y14" t="s">
        <v>124</v>
      </c>
      <c r="Z14" t="s">
        <v>124</v>
      </c>
      <c r="AA14" t="s">
        <v>124</v>
      </c>
      <c r="AB14" t="s">
        <v>230</v>
      </c>
      <c r="AC14" t="s">
        <v>191</v>
      </c>
      <c r="AD14" t="s">
        <v>124</v>
      </c>
      <c r="AE14" t="s">
        <v>124</v>
      </c>
      <c r="AF14" t="s">
        <v>171</v>
      </c>
      <c r="AG14" t="s">
        <v>152</v>
      </c>
    </row>
    <row r="15" spans="1:33">
      <c r="A15" t="str">
        <f>IF(手动输入表!$F15="","",手动输入表!$F15)</f>
        <v>甲醇</v>
      </c>
      <c r="B15" t="s">
        <v>110</v>
      </c>
      <c r="C15" t="s">
        <v>184</v>
      </c>
      <c r="D15" t="s">
        <v>184</v>
      </c>
      <c r="E15" t="s">
        <v>519</v>
      </c>
      <c r="F15" t="s">
        <v>184</v>
      </c>
      <c r="G15" t="s">
        <v>184</v>
      </c>
      <c r="H15" t="s">
        <v>464</v>
      </c>
      <c r="I15" t="s">
        <v>446</v>
      </c>
      <c r="J15" t="s">
        <v>428</v>
      </c>
      <c r="K15" t="s">
        <v>410</v>
      </c>
      <c r="L15" t="s">
        <v>110</v>
      </c>
      <c r="M15" t="s">
        <v>392</v>
      </c>
      <c r="N15" t="s">
        <v>383</v>
      </c>
      <c r="O15" t="s">
        <v>364</v>
      </c>
      <c r="P15" t="s">
        <v>110</v>
      </c>
      <c r="Q15" t="s">
        <v>110</v>
      </c>
      <c r="R15" t="s">
        <v>308</v>
      </c>
      <c r="S15" t="s">
        <v>110</v>
      </c>
      <c r="T15" t="s">
        <v>110</v>
      </c>
      <c r="U15" t="s">
        <v>110</v>
      </c>
      <c r="V15" t="s">
        <v>110</v>
      </c>
      <c r="W15" t="s">
        <v>110</v>
      </c>
      <c r="X15" t="s">
        <v>110</v>
      </c>
      <c r="Y15" t="s">
        <v>110</v>
      </c>
      <c r="Z15" t="s">
        <v>110</v>
      </c>
      <c r="AA15" t="s">
        <v>110</v>
      </c>
      <c r="AB15" t="s">
        <v>232</v>
      </c>
      <c r="AC15" t="s">
        <v>193</v>
      </c>
      <c r="AD15" t="s">
        <v>184</v>
      </c>
      <c r="AE15" t="s">
        <v>184</v>
      </c>
      <c r="AF15" t="s">
        <v>173</v>
      </c>
      <c r="AG15" t="s">
        <v>154</v>
      </c>
    </row>
    <row r="16" spans="1:33">
      <c r="A16" t="str">
        <f>IF(手动输入表!$F16="","",手动输入表!$F16)</f>
        <v>豆一</v>
      </c>
      <c r="B16" t="s">
        <v>114</v>
      </c>
      <c r="C16" t="s">
        <v>114</v>
      </c>
      <c r="D16" t="s">
        <v>114</v>
      </c>
      <c r="E16" t="s">
        <v>520</v>
      </c>
      <c r="F16" t="s">
        <v>114</v>
      </c>
      <c r="G16" t="s">
        <v>114</v>
      </c>
      <c r="H16" t="s">
        <v>465</v>
      </c>
      <c r="I16" t="s">
        <v>447</v>
      </c>
      <c r="J16" t="s">
        <v>429</v>
      </c>
      <c r="K16" t="s">
        <v>411</v>
      </c>
      <c r="L16" t="s">
        <v>114</v>
      </c>
      <c r="M16" t="s">
        <v>393</v>
      </c>
      <c r="N16" t="s">
        <v>114</v>
      </c>
      <c r="O16" t="s">
        <v>365</v>
      </c>
      <c r="P16" t="s">
        <v>114</v>
      </c>
      <c r="Q16" t="s">
        <v>114</v>
      </c>
      <c r="R16" t="s">
        <v>309</v>
      </c>
      <c r="S16" t="s">
        <v>114</v>
      </c>
      <c r="T16" t="s">
        <v>114</v>
      </c>
      <c r="U16" t="s">
        <v>114</v>
      </c>
      <c r="V16" t="s">
        <v>114</v>
      </c>
      <c r="W16" t="s">
        <v>114</v>
      </c>
      <c r="X16" t="s">
        <v>114</v>
      </c>
      <c r="Y16" t="s">
        <v>114</v>
      </c>
      <c r="Z16" t="s">
        <v>114</v>
      </c>
      <c r="AA16" t="s">
        <v>114</v>
      </c>
      <c r="AB16" t="s">
        <v>233</v>
      </c>
      <c r="AC16" t="s">
        <v>194</v>
      </c>
      <c r="AD16" t="s">
        <v>114</v>
      </c>
      <c r="AE16" t="s">
        <v>114</v>
      </c>
      <c r="AF16" t="s">
        <v>174</v>
      </c>
      <c r="AG16" t="s">
        <v>155</v>
      </c>
    </row>
    <row r="17" spans="1:33">
      <c r="A17" t="str">
        <f>IF(手动输入表!$F17="","",手动输入表!$F17)</f>
        <v>豆粕</v>
      </c>
      <c r="B17" t="s">
        <v>120</v>
      </c>
      <c r="C17" t="s">
        <v>120</v>
      </c>
      <c r="D17" t="s">
        <v>120</v>
      </c>
      <c r="E17" t="s">
        <v>521</v>
      </c>
      <c r="F17" t="s">
        <v>120</v>
      </c>
      <c r="G17" t="s">
        <v>120</v>
      </c>
      <c r="H17" t="s">
        <v>466</v>
      </c>
      <c r="I17" t="s">
        <v>448</v>
      </c>
      <c r="J17" t="s">
        <v>430</v>
      </c>
      <c r="K17" t="s">
        <v>412</v>
      </c>
      <c r="L17" t="s">
        <v>120</v>
      </c>
      <c r="M17" t="s">
        <v>394</v>
      </c>
      <c r="N17" t="s">
        <v>120</v>
      </c>
      <c r="O17" t="s">
        <v>366</v>
      </c>
      <c r="P17" t="s">
        <v>120</v>
      </c>
      <c r="Q17" t="s">
        <v>120</v>
      </c>
      <c r="R17" t="s">
        <v>310</v>
      </c>
      <c r="S17" t="s">
        <v>120</v>
      </c>
      <c r="T17" t="s">
        <v>120</v>
      </c>
      <c r="U17" t="s">
        <v>120</v>
      </c>
      <c r="V17" t="s">
        <v>120</v>
      </c>
      <c r="W17" t="s">
        <v>120</v>
      </c>
      <c r="X17" t="s">
        <v>120</v>
      </c>
      <c r="Y17" t="s">
        <v>120</v>
      </c>
      <c r="Z17" t="s">
        <v>120</v>
      </c>
      <c r="AA17" t="s">
        <v>120</v>
      </c>
      <c r="AB17" t="s">
        <v>234</v>
      </c>
      <c r="AC17" t="s">
        <v>195</v>
      </c>
      <c r="AD17" t="s">
        <v>120</v>
      </c>
      <c r="AE17" t="s">
        <v>120</v>
      </c>
      <c r="AF17" t="s">
        <v>175</v>
      </c>
      <c r="AG17" t="s">
        <v>156</v>
      </c>
    </row>
    <row r="18" spans="1:33">
      <c r="A18" t="str">
        <f>IF(手动输入表!$F18="","",手动输入表!$F18)</f>
        <v>菜粕</v>
      </c>
      <c r="B18" t="s">
        <v>530</v>
      </c>
      <c r="C18" t="s">
        <v>530</v>
      </c>
      <c r="D18" t="s">
        <v>120</v>
      </c>
      <c r="E18" t="s">
        <v>521</v>
      </c>
      <c r="F18" t="s">
        <v>120</v>
      </c>
      <c r="G18" t="s">
        <v>120</v>
      </c>
      <c r="H18" t="s">
        <v>466</v>
      </c>
      <c r="I18" t="s">
        <v>448</v>
      </c>
      <c r="J18" t="s">
        <v>430</v>
      </c>
      <c r="K18" t="s">
        <v>412</v>
      </c>
      <c r="L18" t="s">
        <v>120</v>
      </c>
      <c r="M18" t="s">
        <v>394</v>
      </c>
      <c r="N18" t="s">
        <v>120</v>
      </c>
      <c r="O18" t="s">
        <v>366</v>
      </c>
      <c r="P18" t="s">
        <v>120</v>
      </c>
      <c r="Q18" t="s">
        <v>120</v>
      </c>
      <c r="R18" t="s">
        <v>310</v>
      </c>
      <c r="S18" t="s">
        <v>120</v>
      </c>
      <c r="T18" t="s">
        <v>120</v>
      </c>
      <c r="U18" t="s">
        <v>120</v>
      </c>
      <c r="V18" t="s">
        <v>120</v>
      </c>
      <c r="W18" t="s">
        <v>120</v>
      </c>
      <c r="X18" t="s">
        <v>120</v>
      </c>
      <c r="Y18" t="s">
        <v>120</v>
      </c>
      <c r="Z18" t="s">
        <v>120</v>
      </c>
      <c r="AA18" t="s">
        <v>120</v>
      </c>
      <c r="AB18" t="s">
        <v>234</v>
      </c>
      <c r="AC18" t="s">
        <v>195</v>
      </c>
      <c r="AD18" t="s">
        <v>120</v>
      </c>
      <c r="AE18" t="s">
        <v>120</v>
      </c>
      <c r="AF18" t="s">
        <v>175</v>
      </c>
      <c r="AG18" t="s">
        <v>156</v>
      </c>
    </row>
    <row r="19" spans="1:33">
      <c r="A19" t="str">
        <f>IF(手动输入表!$F19="","",手动输入表!$F19)</f>
        <v>玉米</v>
      </c>
      <c r="B19" t="s">
        <v>121</v>
      </c>
      <c r="C19" t="s">
        <v>121</v>
      </c>
      <c r="D19" t="s">
        <v>121</v>
      </c>
      <c r="E19" t="s">
        <v>522</v>
      </c>
      <c r="F19" t="s">
        <v>121</v>
      </c>
      <c r="G19" t="s">
        <v>121</v>
      </c>
      <c r="H19" t="s">
        <v>467</v>
      </c>
      <c r="I19" t="s">
        <v>449</v>
      </c>
      <c r="J19" t="s">
        <v>431</v>
      </c>
      <c r="K19" t="s">
        <v>413</v>
      </c>
      <c r="L19" t="s">
        <v>121</v>
      </c>
      <c r="M19" t="s">
        <v>395</v>
      </c>
      <c r="N19" t="s">
        <v>121</v>
      </c>
      <c r="O19" t="s">
        <v>367</v>
      </c>
      <c r="P19" t="s">
        <v>121</v>
      </c>
      <c r="Q19" t="s">
        <v>121</v>
      </c>
      <c r="R19" t="s">
        <v>311</v>
      </c>
      <c r="S19" t="s">
        <v>121</v>
      </c>
      <c r="T19" t="s">
        <v>121</v>
      </c>
      <c r="U19" t="s">
        <v>121</v>
      </c>
      <c r="V19" t="s">
        <v>121</v>
      </c>
      <c r="W19" t="s">
        <v>121</v>
      </c>
      <c r="X19" t="s">
        <v>121</v>
      </c>
      <c r="Y19" t="s">
        <v>121</v>
      </c>
      <c r="Z19" t="s">
        <v>121</v>
      </c>
      <c r="AA19" t="s">
        <v>121</v>
      </c>
      <c r="AB19" t="s">
        <v>235</v>
      </c>
      <c r="AC19" t="s">
        <v>196</v>
      </c>
      <c r="AD19" t="s">
        <v>121</v>
      </c>
      <c r="AE19" t="s">
        <v>121</v>
      </c>
      <c r="AF19" t="s">
        <v>176</v>
      </c>
      <c r="AG19" t="s">
        <v>157</v>
      </c>
    </row>
    <row r="20" spans="1:33">
      <c r="A20" t="str">
        <f>IF(手动输入表!$F20="","",手动输入表!$F20)</f>
        <v>淀粉</v>
      </c>
      <c r="B20" t="s">
        <v>111</v>
      </c>
      <c r="C20" t="s">
        <v>111</v>
      </c>
      <c r="D20" t="s">
        <v>111</v>
      </c>
      <c r="E20" t="s">
        <v>523</v>
      </c>
      <c r="F20" t="s">
        <v>111</v>
      </c>
      <c r="G20" t="s">
        <v>111</v>
      </c>
      <c r="H20" t="s">
        <v>468</v>
      </c>
      <c r="I20" t="s">
        <v>450</v>
      </c>
      <c r="J20" t="s">
        <v>432</v>
      </c>
      <c r="K20" t="s">
        <v>414</v>
      </c>
      <c r="L20" t="s">
        <v>111</v>
      </c>
      <c r="M20" t="s">
        <v>396</v>
      </c>
      <c r="N20" t="s">
        <v>111</v>
      </c>
      <c r="O20" t="s">
        <v>368</v>
      </c>
      <c r="P20" t="s">
        <v>111</v>
      </c>
      <c r="Q20" t="s">
        <v>111</v>
      </c>
      <c r="R20" t="s">
        <v>312</v>
      </c>
      <c r="S20" t="s">
        <v>111</v>
      </c>
      <c r="T20" t="s">
        <v>111</v>
      </c>
      <c r="U20" t="s">
        <v>111</v>
      </c>
      <c r="V20" t="s">
        <v>111</v>
      </c>
      <c r="W20" t="s">
        <v>111</v>
      </c>
      <c r="X20" t="s">
        <v>111</v>
      </c>
      <c r="Y20" t="s">
        <v>111</v>
      </c>
      <c r="Z20" t="s">
        <v>111</v>
      </c>
      <c r="AA20" t="s">
        <v>111</v>
      </c>
      <c r="AB20" t="s">
        <v>236</v>
      </c>
      <c r="AC20" t="s">
        <v>197</v>
      </c>
      <c r="AD20" t="s">
        <v>111</v>
      </c>
      <c r="AE20" t="s">
        <v>111</v>
      </c>
      <c r="AF20" t="s">
        <v>177</v>
      </c>
      <c r="AG20" t="s">
        <v>158</v>
      </c>
    </row>
    <row r="21" spans="1:33">
      <c r="A21" t="str">
        <f>IF(手动输入表!$F21="","",手动输入表!$F21)</f>
        <v>豆油</v>
      </c>
      <c r="B21" t="s">
        <v>123</v>
      </c>
      <c r="C21" t="s">
        <v>123</v>
      </c>
      <c r="D21" t="s">
        <v>123</v>
      </c>
      <c r="E21" t="s">
        <v>511</v>
      </c>
      <c r="F21" t="s">
        <v>123</v>
      </c>
      <c r="G21" t="s">
        <v>123</v>
      </c>
      <c r="H21" t="s">
        <v>456</v>
      </c>
      <c r="I21" t="s">
        <v>438</v>
      </c>
      <c r="J21" t="s">
        <v>420</v>
      </c>
      <c r="K21" t="s">
        <v>402</v>
      </c>
      <c r="L21" t="s">
        <v>123</v>
      </c>
      <c r="M21" t="s">
        <v>384</v>
      </c>
      <c r="N21" t="s">
        <v>123</v>
      </c>
      <c r="O21" t="s">
        <v>356</v>
      </c>
      <c r="P21" t="s">
        <v>123</v>
      </c>
      <c r="Q21" t="s">
        <v>123</v>
      </c>
      <c r="R21" t="s">
        <v>313</v>
      </c>
      <c r="S21" t="s">
        <v>123</v>
      </c>
      <c r="T21" t="s">
        <v>123</v>
      </c>
      <c r="U21" t="s">
        <v>123</v>
      </c>
      <c r="V21" t="s">
        <v>123</v>
      </c>
      <c r="W21" t="s">
        <v>123</v>
      </c>
      <c r="X21" t="s">
        <v>123</v>
      </c>
      <c r="Y21" t="s">
        <v>123</v>
      </c>
      <c r="Z21" t="s">
        <v>123</v>
      </c>
      <c r="AA21" t="s">
        <v>123</v>
      </c>
      <c r="AB21" t="s">
        <v>237</v>
      </c>
      <c r="AC21" t="s">
        <v>198</v>
      </c>
      <c r="AD21" t="s">
        <v>123</v>
      </c>
      <c r="AE21" t="s">
        <v>123</v>
      </c>
      <c r="AF21" t="s">
        <v>178</v>
      </c>
      <c r="AG21" t="s">
        <v>159</v>
      </c>
    </row>
    <row r="22" spans="1:33">
      <c r="A22" t="str">
        <f>IF(手动输入表!$F22="","",手动输入表!$F22)</f>
        <v>棕榈油</v>
      </c>
      <c r="B22" t="s">
        <v>119</v>
      </c>
      <c r="C22" t="s">
        <v>119</v>
      </c>
      <c r="D22" t="s">
        <v>119</v>
      </c>
      <c r="E22" t="s">
        <v>524</v>
      </c>
      <c r="F22" t="s">
        <v>119</v>
      </c>
      <c r="G22" t="s">
        <v>119</v>
      </c>
      <c r="H22" t="s">
        <v>469</v>
      </c>
      <c r="I22" t="s">
        <v>451</v>
      </c>
      <c r="J22" t="s">
        <v>433</v>
      </c>
      <c r="K22" t="s">
        <v>415</v>
      </c>
      <c r="L22" t="s">
        <v>119</v>
      </c>
      <c r="M22" t="s">
        <v>397</v>
      </c>
      <c r="N22" t="s">
        <v>119</v>
      </c>
      <c r="O22" t="s">
        <v>369</v>
      </c>
      <c r="P22" t="s">
        <v>119</v>
      </c>
      <c r="Q22" t="s">
        <v>119</v>
      </c>
      <c r="R22" t="s">
        <v>300</v>
      </c>
      <c r="S22" t="s">
        <v>119</v>
      </c>
      <c r="T22" t="s">
        <v>119</v>
      </c>
      <c r="U22" t="s">
        <v>116</v>
      </c>
      <c r="V22" t="s">
        <v>116</v>
      </c>
      <c r="W22" t="s">
        <v>116</v>
      </c>
      <c r="X22" t="s">
        <v>116</v>
      </c>
      <c r="Y22" t="s">
        <v>116</v>
      </c>
      <c r="Z22" t="s">
        <v>116</v>
      </c>
      <c r="AA22" t="s">
        <v>116</v>
      </c>
      <c r="AB22" t="s">
        <v>238</v>
      </c>
      <c r="AC22" t="s">
        <v>199</v>
      </c>
      <c r="AD22" t="s">
        <v>116</v>
      </c>
      <c r="AE22" t="s">
        <v>116</v>
      </c>
      <c r="AF22" t="s">
        <v>179</v>
      </c>
      <c r="AG22" t="s">
        <v>160</v>
      </c>
    </row>
    <row r="23" spans="1:33">
      <c r="A23" t="str">
        <f>IF(手动输入表!$F23="","",手动输入表!$F23)</f>
        <v>菜油</v>
      </c>
      <c r="B23" t="s">
        <v>127</v>
      </c>
      <c r="C23" t="s">
        <v>127</v>
      </c>
      <c r="D23" t="s">
        <v>127</v>
      </c>
      <c r="E23" t="s">
        <v>525</v>
      </c>
      <c r="F23" t="s">
        <v>127</v>
      </c>
      <c r="G23" t="s">
        <v>127</v>
      </c>
      <c r="H23" t="s">
        <v>470</v>
      </c>
      <c r="I23" t="s">
        <v>452</v>
      </c>
      <c r="J23" t="s">
        <v>434</v>
      </c>
      <c r="K23" t="s">
        <v>416</v>
      </c>
      <c r="L23" t="s">
        <v>127</v>
      </c>
      <c r="M23" t="s">
        <v>398</v>
      </c>
      <c r="N23" t="s">
        <v>127</v>
      </c>
      <c r="O23" t="s">
        <v>370</v>
      </c>
      <c r="P23" t="s">
        <v>127</v>
      </c>
      <c r="Q23" t="s">
        <v>127</v>
      </c>
      <c r="R23" t="s">
        <v>314</v>
      </c>
      <c r="S23" t="s">
        <v>127</v>
      </c>
      <c r="T23" t="s">
        <v>127</v>
      </c>
      <c r="U23" t="s">
        <v>127</v>
      </c>
      <c r="V23" t="s">
        <v>127</v>
      </c>
      <c r="W23" t="s">
        <v>127</v>
      </c>
      <c r="X23" t="s">
        <v>127</v>
      </c>
      <c r="Y23" t="s">
        <v>127</v>
      </c>
      <c r="Z23" t="s">
        <v>127</v>
      </c>
      <c r="AA23" t="s">
        <v>127</v>
      </c>
      <c r="AB23" t="s">
        <v>239</v>
      </c>
      <c r="AC23" t="s">
        <v>200</v>
      </c>
      <c r="AD23" t="s">
        <v>127</v>
      </c>
      <c r="AE23" t="s">
        <v>127</v>
      </c>
      <c r="AF23" t="s">
        <v>180</v>
      </c>
      <c r="AG23" t="s">
        <v>161</v>
      </c>
    </row>
    <row r="24" spans="1:33">
      <c r="A24" t="str">
        <f>IF(手动输入表!$F24="","",手动输入表!$F24)</f>
        <v>白糖</v>
      </c>
      <c r="B24" t="s">
        <v>243</v>
      </c>
      <c r="C24" t="s">
        <v>243</v>
      </c>
      <c r="D24" t="s">
        <v>243</v>
      </c>
      <c r="E24" t="s">
        <v>526</v>
      </c>
      <c r="F24" t="s">
        <v>243</v>
      </c>
      <c r="G24" t="s">
        <v>243</v>
      </c>
      <c r="H24" t="s">
        <v>471</v>
      </c>
      <c r="I24" t="s">
        <v>453</v>
      </c>
      <c r="J24" t="s">
        <v>435</v>
      </c>
      <c r="K24" t="s">
        <v>417</v>
      </c>
      <c r="L24" t="s">
        <v>243</v>
      </c>
      <c r="M24" t="s">
        <v>399</v>
      </c>
      <c r="N24" t="s">
        <v>243</v>
      </c>
      <c r="O24" t="s">
        <v>371</v>
      </c>
      <c r="P24" t="s">
        <v>243</v>
      </c>
      <c r="Q24" t="s">
        <v>243</v>
      </c>
      <c r="R24" t="s">
        <v>315</v>
      </c>
      <c r="S24" t="s">
        <v>243</v>
      </c>
      <c r="T24" t="s">
        <v>243</v>
      </c>
      <c r="U24" t="s">
        <v>243</v>
      </c>
      <c r="V24" t="s">
        <v>243</v>
      </c>
      <c r="W24" t="s">
        <v>243</v>
      </c>
      <c r="X24" t="s">
        <v>243</v>
      </c>
      <c r="Y24" t="s">
        <v>243</v>
      </c>
      <c r="Z24" t="s">
        <v>243</v>
      </c>
      <c r="AA24" t="s">
        <v>243</v>
      </c>
      <c r="AB24" t="s">
        <v>240</v>
      </c>
      <c r="AC24" t="s">
        <v>201</v>
      </c>
      <c r="AD24" t="s">
        <v>115</v>
      </c>
      <c r="AE24" t="s">
        <v>115</v>
      </c>
      <c r="AF24" t="s">
        <v>181</v>
      </c>
      <c r="AG24" t="s">
        <v>162</v>
      </c>
    </row>
    <row r="25" spans="1:33">
      <c r="A25" t="str">
        <f>IF(手动输入表!$F25="","",手动输入表!$F25)</f>
        <v>棉花</v>
      </c>
      <c r="B25" t="s">
        <v>125</v>
      </c>
      <c r="C25" t="s">
        <v>125</v>
      </c>
      <c r="D25" t="s">
        <v>125</v>
      </c>
      <c r="E25" t="s">
        <v>527</v>
      </c>
      <c r="F25" t="s">
        <v>125</v>
      </c>
      <c r="G25" t="s">
        <v>125</v>
      </c>
      <c r="H25" t="s">
        <v>472</v>
      </c>
      <c r="I25" t="s">
        <v>454</v>
      </c>
      <c r="J25" t="s">
        <v>436</v>
      </c>
      <c r="K25" t="s">
        <v>418</v>
      </c>
      <c r="L25" t="s">
        <v>125</v>
      </c>
      <c r="M25" t="s">
        <v>400</v>
      </c>
      <c r="N25" t="s">
        <v>125</v>
      </c>
      <c r="O25" t="s">
        <v>372</v>
      </c>
      <c r="P25" t="s">
        <v>125</v>
      </c>
      <c r="Q25" t="s">
        <v>125</v>
      </c>
      <c r="R25" t="s">
        <v>316</v>
      </c>
      <c r="S25" t="s">
        <v>125</v>
      </c>
      <c r="T25" t="s">
        <v>125</v>
      </c>
      <c r="U25" t="s">
        <v>125</v>
      </c>
      <c r="V25" t="s">
        <v>125</v>
      </c>
      <c r="W25" t="s">
        <v>125</v>
      </c>
      <c r="X25" t="s">
        <v>125</v>
      </c>
      <c r="Y25" t="s">
        <v>125</v>
      </c>
      <c r="Z25" t="s">
        <v>125</v>
      </c>
      <c r="AA25" t="s">
        <v>125</v>
      </c>
      <c r="AB25" t="s">
        <v>241</v>
      </c>
      <c r="AC25" t="s">
        <v>202</v>
      </c>
      <c r="AD25" t="s">
        <v>125</v>
      </c>
      <c r="AE25" t="s">
        <v>125</v>
      </c>
      <c r="AF25" t="s">
        <v>182</v>
      </c>
      <c r="AG25" t="s">
        <v>163</v>
      </c>
    </row>
    <row r="26" spans="1:33">
      <c r="A26" t="str">
        <f>IF(手动输入表!$F26="","",手动输入表!$F26)</f>
        <v>棉纱</v>
      </c>
      <c r="B26" t="s">
        <v>126</v>
      </c>
      <c r="C26" t="s">
        <v>126</v>
      </c>
      <c r="D26" t="s">
        <v>126</v>
      </c>
      <c r="E26" t="s">
        <v>528</v>
      </c>
      <c r="F26" t="s">
        <v>126</v>
      </c>
      <c r="G26" t="s">
        <v>126</v>
      </c>
      <c r="H26" t="s">
        <v>473</v>
      </c>
      <c r="I26" t="s">
        <v>455</v>
      </c>
      <c r="J26" t="s">
        <v>437</v>
      </c>
      <c r="K26" t="s">
        <v>419</v>
      </c>
      <c r="L26" t="s">
        <v>126</v>
      </c>
      <c r="M26" t="s">
        <v>401</v>
      </c>
      <c r="N26" t="s">
        <v>126</v>
      </c>
      <c r="O26" t="s">
        <v>373</v>
      </c>
      <c r="P26" t="s">
        <v>126</v>
      </c>
      <c r="Q26" t="s">
        <v>126</v>
      </c>
      <c r="R26" t="s">
        <v>317</v>
      </c>
      <c r="S26" t="s">
        <v>126</v>
      </c>
      <c r="T26" t="s">
        <v>126</v>
      </c>
      <c r="U26" t="s">
        <v>126</v>
      </c>
      <c r="V26" t="s">
        <v>126</v>
      </c>
      <c r="W26" t="s">
        <v>126</v>
      </c>
      <c r="X26" t="s">
        <v>126</v>
      </c>
      <c r="Y26" t="s">
        <v>126</v>
      </c>
      <c r="Z26" t="s">
        <v>126</v>
      </c>
      <c r="AA26" t="s">
        <v>126</v>
      </c>
      <c r="AB26" t="s">
        <v>242</v>
      </c>
      <c r="AC26" t="s">
        <v>203</v>
      </c>
      <c r="AD26" t="s">
        <v>126</v>
      </c>
      <c r="AE26" t="s">
        <v>126</v>
      </c>
      <c r="AF26" t="s">
        <v>183</v>
      </c>
      <c r="AG26" t="s">
        <v>164</v>
      </c>
    </row>
    <row r="27" spans="1:33">
      <c r="A27" t="str">
        <f>IF(手动输入表!$F27="","",手动输入表!$F27)</f>
        <v>铜</v>
      </c>
      <c r="B27" t="s">
        <v>113</v>
      </c>
      <c r="C27" t="s">
        <v>113</v>
      </c>
      <c r="D27" t="s">
        <v>113</v>
      </c>
      <c r="E27" t="s">
        <v>515</v>
      </c>
      <c r="F27" t="s">
        <v>113</v>
      </c>
      <c r="G27" t="s">
        <v>113</v>
      </c>
      <c r="H27" t="s">
        <v>460</v>
      </c>
      <c r="I27" t="s">
        <v>442</v>
      </c>
      <c r="J27" t="s">
        <v>424</v>
      </c>
      <c r="K27" t="s">
        <v>406</v>
      </c>
      <c r="L27" t="s">
        <v>113</v>
      </c>
      <c r="M27" t="s">
        <v>388</v>
      </c>
      <c r="N27" t="s">
        <v>113</v>
      </c>
      <c r="O27" t="s">
        <v>360</v>
      </c>
      <c r="P27" t="s">
        <v>113</v>
      </c>
      <c r="Q27" t="s">
        <v>113</v>
      </c>
      <c r="R27" t="s">
        <v>304</v>
      </c>
      <c r="S27" t="s">
        <v>113</v>
      </c>
      <c r="T27" t="s">
        <v>113</v>
      </c>
      <c r="U27" t="s">
        <v>113</v>
      </c>
      <c r="V27" t="s">
        <v>113</v>
      </c>
      <c r="W27" t="s">
        <v>113</v>
      </c>
      <c r="X27" t="s">
        <v>113</v>
      </c>
      <c r="Y27" t="s">
        <v>113</v>
      </c>
      <c r="Z27" t="s">
        <v>113</v>
      </c>
      <c r="AA27" t="s">
        <v>113</v>
      </c>
      <c r="AB27" t="s">
        <v>228</v>
      </c>
      <c r="AC27" t="s">
        <v>189</v>
      </c>
      <c r="AD27" t="s">
        <v>113</v>
      </c>
      <c r="AE27" t="s">
        <v>113</v>
      </c>
      <c r="AF27" t="s">
        <v>169</v>
      </c>
      <c r="AG27" t="s">
        <v>150</v>
      </c>
    </row>
    <row r="28" spans="1:33">
      <c r="A28" t="str">
        <f>IF(手动输入表!$F28="","",手动输入表!$F28)</f>
        <v>铝</v>
      </c>
      <c r="B28" t="s">
        <v>113</v>
      </c>
      <c r="C28" t="s">
        <v>113</v>
      </c>
      <c r="D28" t="s">
        <v>113</v>
      </c>
      <c r="E28" t="s">
        <v>515</v>
      </c>
      <c r="F28" t="s">
        <v>113</v>
      </c>
      <c r="G28" t="s">
        <v>113</v>
      </c>
      <c r="H28" t="s">
        <v>460</v>
      </c>
      <c r="I28" t="s">
        <v>442</v>
      </c>
      <c r="J28" t="s">
        <v>424</v>
      </c>
      <c r="K28" t="s">
        <v>406</v>
      </c>
      <c r="L28" t="s">
        <v>113</v>
      </c>
      <c r="M28" t="s">
        <v>388</v>
      </c>
      <c r="N28" t="s">
        <v>113</v>
      </c>
      <c r="O28" t="s">
        <v>360</v>
      </c>
      <c r="P28" t="s">
        <v>113</v>
      </c>
      <c r="Q28" t="s">
        <v>113</v>
      </c>
      <c r="R28" t="s">
        <v>304</v>
      </c>
      <c r="S28" t="s">
        <v>113</v>
      </c>
      <c r="T28" t="s">
        <v>113</v>
      </c>
      <c r="U28" t="s">
        <v>113</v>
      </c>
      <c r="V28" t="s">
        <v>113</v>
      </c>
      <c r="W28" t="s">
        <v>113</v>
      </c>
      <c r="X28" t="s">
        <v>113</v>
      </c>
      <c r="Y28" t="s">
        <v>113</v>
      </c>
      <c r="Z28" t="s">
        <v>113</v>
      </c>
      <c r="AA28" t="s">
        <v>113</v>
      </c>
      <c r="AB28" t="s">
        <v>228</v>
      </c>
      <c r="AC28" t="s">
        <v>189</v>
      </c>
      <c r="AD28" t="s">
        <v>113</v>
      </c>
      <c r="AE28" t="s">
        <v>113</v>
      </c>
      <c r="AF28" t="s">
        <v>169</v>
      </c>
      <c r="AG28" t="s">
        <v>150</v>
      </c>
    </row>
    <row r="29" spans="1:33">
      <c r="A29" t="str">
        <f>IF(手动输入表!$F29="","",手动输入表!$F29)</f>
        <v>锌</v>
      </c>
      <c r="B29" t="s">
        <v>113</v>
      </c>
      <c r="C29" t="s">
        <v>113</v>
      </c>
      <c r="D29" t="s">
        <v>113</v>
      </c>
      <c r="E29" t="s">
        <v>515</v>
      </c>
      <c r="F29" t="s">
        <v>113</v>
      </c>
      <c r="G29" t="s">
        <v>113</v>
      </c>
      <c r="H29" t="s">
        <v>460</v>
      </c>
      <c r="I29" t="s">
        <v>442</v>
      </c>
      <c r="J29" t="s">
        <v>424</v>
      </c>
      <c r="K29" t="s">
        <v>406</v>
      </c>
      <c r="L29" t="s">
        <v>113</v>
      </c>
      <c r="M29" t="s">
        <v>388</v>
      </c>
      <c r="N29" t="s">
        <v>113</v>
      </c>
      <c r="O29" t="s">
        <v>360</v>
      </c>
      <c r="P29" t="s">
        <v>113</v>
      </c>
      <c r="Q29" t="s">
        <v>113</v>
      </c>
      <c r="R29" t="s">
        <v>304</v>
      </c>
      <c r="S29" t="s">
        <v>113</v>
      </c>
      <c r="T29" t="s">
        <v>113</v>
      </c>
      <c r="U29" t="s">
        <v>113</v>
      </c>
      <c r="V29" t="s">
        <v>113</v>
      </c>
      <c r="W29" t="s">
        <v>113</v>
      </c>
      <c r="X29" t="s">
        <v>113</v>
      </c>
      <c r="Y29" t="s">
        <v>113</v>
      </c>
      <c r="Z29" t="s">
        <v>113</v>
      </c>
      <c r="AA29" t="s">
        <v>113</v>
      </c>
      <c r="AB29" t="s">
        <v>228</v>
      </c>
      <c r="AC29" t="s">
        <v>189</v>
      </c>
      <c r="AD29" t="s">
        <v>113</v>
      </c>
      <c r="AE29" t="s">
        <v>113</v>
      </c>
      <c r="AF29" t="s">
        <v>169</v>
      </c>
      <c r="AG29" t="s">
        <v>150</v>
      </c>
    </row>
    <row r="30" spans="1:33">
      <c r="A30" t="str">
        <f>IF(手动输入表!$F30="","",手动输入表!$F30)</f>
        <v>镍</v>
      </c>
      <c r="B30" t="s">
        <v>113</v>
      </c>
      <c r="C30" t="s">
        <v>113</v>
      </c>
      <c r="D30" t="s">
        <v>113</v>
      </c>
      <c r="E30" t="s">
        <v>515</v>
      </c>
      <c r="F30" t="s">
        <v>113</v>
      </c>
      <c r="G30" t="s">
        <v>113</v>
      </c>
      <c r="H30" t="s">
        <v>460</v>
      </c>
      <c r="I30" t="s">
        <v>442</v>
      </c>
      <c r="J30" t="s">
        <v>424</v>
      </c>
      <c r="K30" t="s">
        <v>406</v>
      </c>
      <c r="L30" t="s">
        <v>113</v>
      </c>
      <c r="M30" t="s">
        <v>388</v>
      </c>
      <c r="N30" t="s">
        <v>113</v>
      </c>
      <c r="O30" t="s">
        <v>360</v>
      </c>
      <c r="P30" t="s">
        <v>113</v>
      </c>
      <c r="Q30" t="s">
        <v>113</v>
      </c>
      <c r="R30" t="s">
        <v>304</v>
      </c>
      <c r="S30" t="s">
        <v>113</v>
      </c>
      <c r="T30" t="s">
        <v>113</v>
      </c>
      <c r="U30" t="s">
        <v>113</v>
      </c>
      <c r="V30" t="s">
        <v>113</v>
      </c>
      <c r="W30" t="s">
        <v>113</v>
      </c>
      <c r="X30" t="s">
        <v>113</v>
      </c>
      <c r="Y30" t="s">
        <v>113</v>
      </c>
      <c r="Z30" t="s">
        <v>113</v>
      </c>
      <c r="AA30" t="s">
        <v>113</v>
      </c>
      <c r="AB30" t="s">
        <v>228</v>
      </c>
      <c r="AC30" t="s">
        <v>189</v>
      </c>
      <c r="AD30" t="s">
        <v>113</v>
      </c>
      <c r="AE30" t="s">
        <v>113</v>
      </c>
      <c r="AF30" t="s">
        <v>169</v>
      </c>
      <c r="AG30" t="s">
        <v>150</v>
      </c>
    </row>
    <row r="31" spans="1:33">
      <c r="A31" t="str">
        <f>IF(手动输入表!$F31="","",手动输入表!$F31)</f>
        <v/>
      </c>
    </row>
    <row r="32" spans="1:33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  <row r="35" spans="1:1">
      <c r="A35" t="str">
        <f>IF(手动输入表!$F35="","",手动输入表!$F35)</f>
        <v/>
      </c>
    </row>
    <row r="36" spans="1:1">
      <c r="A36" t="str">
        <f>IF(手动输入表!$F36="","",手动输入表!$F36)</f>
        <v/>
      </c>
    </row>
    <row r="37" spans="1:1">
      <c r="A37" t="str">
        <f>IF(手动输入表!$F37="","",手动输入表!$F37)</f>
        <v/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G33"/>
  <sheetViews>
    <sheetView workbookViewId="0">
      <selection activeCell="J22" sqref="J22"/>
    </sheetView>
  </sheetViews>
  <sheetFormatPr defaultRowHeight="13.5"/>
  <sheetData>
    <row r="1" spans="1:33">
      <c r="A1" t="s">
        <v>140</v>
      </c>
      <c r="B1" s="11">
        <v>43179</v>
      </c>
      <c r="C1" s="11">
        <v>43178</v>
      </c>
      <c r="D1" s="11">
        <v>43175</v>
      </c>
      <c r="E1" s="11">
        <v>43174</v>
      </c>
      <c r="F1" s="11">
        <v>43173</v>
      </c>
      <c r="G1" s="11">
        <v>43172</v>
      </c>
      <c r="H1" s="11">
        <v>43171</v>
      </c>
      <c r="I1" s="11">
        <v>43168</v>
      </c>
      <c r="J1" s="11">
        <v>43167</v>
      </c>
      <c r="K1" s="11">
        <v>43166</v>
      </c>
      <c r="L1" s="11">
        <v>43165</v>
      </c>
      <c r="M1" s="11">
        <v>43164</v>
      </c>
      <c r="N1" s="11">
        <v>43161</v>
      </c>
      <c r="O1" s="11">
        <v>43160</v>
      </c>
      <c r="P1" s="11">
        <v>43159</v>
      </c>
      <c r="Q1" s="11">
        <v>43158</v>
      </c>
      <c r="R1" s="11">
        <v>43157</v>
      </c>
      <c r="S1" s="11">
        <v>43154</v>
      </c>
      <c r="T1" s="11">
        <v>43153</v>
      </c>
      <c r="U1" s="11">
        <v>43145</v>
      </c>
      <c r="V1" s="11">
        <v>43144</v>
      </c>
      <c r="W1" s="11">
        <v>43143</v>
      </c>
      <c r="X1" s="11">
        <v>43140</v>
      </c>
      <c r="Y1" s="11">
        <v>43139</v>
      </c>
      <c r="Z1" s="11">
        <v>43138</v>
      </c>
      <c r="AA1" s="11">
        <v>43137</v>
      </c>
      <c r="AB1" s="11">
        <v>43136</v>
      </c>
      <c r="AC1" s="11">
        <v>43133</v>
      </c>
      <c r="AD1" s="11">
        <v>43132</v>
      </c>
      <c r="AE1" s="11">
        <v>43131</v>
      </c>
      <c r="AF1" s="11">
        <v>43130</v>
      </c>
      <c r="AG1" s="11">
        <v>43129</v>
      </c>
    </row>
    <row r="2" spans="1:33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</row>
    <row r="3" spans="1:33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</row>
    <row r="4" spans="1:33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</row>
    <row r="5" spans="1:33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</row>
    <row r="6" spans="1:33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</row>
    <row r="7" spans="1:33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</row>
    <row r="8" spans="1:33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</row>
    <row r="9" spans="1:33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</row>
    <row r="10" spans="1:33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</row>
    <row r="11" spans="1:33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</row>
    <row r="12" spans="1:33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</row>
    <row r="13" spans="1:33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</row>
    <row r="14" spans="1:33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</row>
    <row r="15" spans="1:33">
      <c r="A15" t="str">
        <f>IF(手动输入表!$F15="","",手动输入表!$F15)</f>
        <v>甲醇</v>
      </c>
      <c r="B15">
        <v>-200</v>
      </c>
      <c r="C15">
        <v>-260</v>
      </c>
      <c r="D15">
        <v>-260</v>
      </c>
      <c r="E15">
        <v>-260</v>
      </c>
      <c r="F15">
        <v>-260</v>
      </c>
      <c r="G15">
        <v>-260</v>
      </c>
      <c r="H15">
        <v>-200</v>
      </c>
      <c r="I15">
        <v>-200</v>
      </c>
      <c r="J15">
        <v>-200</v>
      </c>
      <c r="K15">
        <v>-200</v>
      </c>
      <c r="L15">
        <v>-200</v>
      </c>
      <c r="M15">
        <v>-200</v>
      </c>
      <c r="N15">
        <v>-200</v>
      </c>
      <c r="O15">
        <v>-200</v>
      </c>
      <c r="P15">
        <v>-200</v>
      </c>
      <c r="Q15">
        <v>-200</v>
      </c>
      <c r="R15">
        <v>-200</v>
      </c>
      <c r="S15">
        <v>-200</v>
      </c>
      <c r="T15">
        <v>-200</v>
      </c>
      <c r="U15">
        <v>-200</v>
      </c>
      <c r="V15">
        <v>-200</v>
      </c>
      <c r="W15">
        <v>-200</v>
      </c>
      <c r="X15">
        <v>-200</v>
      </c>
      <c r="Y15">
        <v>-200</v>
      </c>
      <c r="Z15">
        <v>-200</v>
      </c>
      <c r="AA15">
        <v>-200</v>
      </c>
      <c r="AB15">
        <v>-200</v>
      </c>
      <c r="AC15">
        <v>-200</v>
      </c>
      <c r="AD15">
        <v>-260</v>
      </c>
      <c r="AE15">
        <v>-260</v>
      </c>
      <c r="AF15">
        <v>-260</v>
      </c>
      <c r="AG15">
        <v>-200</v>
      </c>
    </row>
    <row r="16" spans="1:33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  <c r="Z16">
        <v>-150</v>
      </c>
      <c r="AA16">
        <v>-150</v>
      </c>
      <c r="AB16">
        <v>-150</v>
      </c>
      <c r="AC16">
        <v>-150</v>
      </c>
      <c r="AD16">
        <v>-150</v>
      </c>
      <c r="AE16">
        <v>-150</v>
      </c>
      <c r="AF16">
        <v>-150</v>
      </c>
      <c r="AG16">
        <v>-150</v>
      </c>
    </row>
    <row r="17" spans="1:33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</row>
    <row r="18" spans="1:33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</row>
    <row r="19" spans="1:33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</row>
    <row r="20" spans="1:33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</row>
    <row r="21" spans="1:33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  <c r="Z21">
        <v>-50</v>
      </c>
      <c r="AA21">
        <v>-50</v>
      </c>
      <c r="AB21">
        <v>-50</v>
      </c>
      <c r="AC21">
        <v>-50</v>
      </c>
      <c r="AD21">
        <v>-50</v>
      </c>
      <c r="AE21">
        <v>-50</v>
      </c>
      <c r="AF21">
        <v>-50</v>
      </c>
      <c r="AG21">
        <v>-50</v>
      </c>
    </row>
    <row r="22" spans="1:33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100</v>
      </c>
      <c r="P22">
        <v>100</v>
      </c>
      <c r="Q22">
        <v>100</v>
      </c>
      <c r="R22">
        <v>100</v>
      </c>
      <c r="S22">
        <v>100</v>
      </c>
      <c r="T22">
        <v>100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</row>
    <row r="23" spans="1:33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  <c r="Z23">
        <v>-240</v>
      </c>
      <c r="AA23">
        <v>-240</v>
      </c>
      <c r="AB23">
        <v>-240</v>
      </c>
      <c r="AC23">
        <v>-240</v>
      </c>
      <c r="AD23">
        <v>-240</v>
      </c>
      <c r="AE23">
        <v>-240</v>
      </c>
      <c r="AF23">
        <v>-240</v>
      </c>
      <c r="AG23">
        <v>-240</v>
      </c>
    </row>
    <row r="24" spans="1:33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</row>
    <row r="25" spans="1:33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</row>
    <row r="26" spans="1:33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</row>
    <row r="27" spans="1:33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</row>
    <row r="28" spans="1:33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</row>
    <row r="29" spans="1:33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</row>
    <row r="30" spans="1:33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</row>
    <row r="31" spans="1:33">
      <c r="A31" t="str">
        <f>IF(手动输入表!$F31="","",手动输入表!$F31)</f>
        <v/>
      </c>
    </row>
    <row r="32" spans="1:33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输出表格</vt:lpstr>
      <vt:lpstr>手动输入表</vt:lpstr>
      <vt:lpstr>期货数据</vt:lpstr>
      <vt:lpstr>午间现货价格</vt:lpstr>
      <vt:lpstr>收盘现货价格</vt:lpstr>
      <vt:lpstr>排序表</vt:lpstr>
      <vt:lpstr>收盘主力基差</vt:lpstr>
      <vt:lpstr>收盘次主力基差</vt:lpstr>
      <vt:lpstr>午间主力基差</vt:lpstr>
      <vt:lpstr>午间次主力基差</vt:lpstr>
      <vt:lpstr>午间基地</vt:lpstr>
      <vt:lpstr>午间基地升贴水</vt:lpstr>
      <vt:lpstr>收盘基地</vt:lpstr>
      <vt:lpstr>收盘基地升贴水</vt:lpstr>
    </vt:vector>
  </TitlesOfParts>
  <Company>微软中国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WangWenke</dc:creator>
  <cp:lastModifiedBy>Administrator</cp:lastModifiedBy>
  <dcterms:created xsi:type="dcterms:W3CDTF">2018-01-20T06:25:51Z</dcterms:created>
  <dcterms:modified xsi:type="dcterms:W3CDTF">2018-03-20T07:55:42Z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7a4bf92c-2355-4f59-ac2d-0821111229cc</vt:lpwstr>
  </property>
</Properties>
</file>