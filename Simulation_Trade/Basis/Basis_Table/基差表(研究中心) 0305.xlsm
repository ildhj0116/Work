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I18" i="1" s="1"/>
  <c r="F16" i="9"/>
  <c r="C16" i="9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C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C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C18" i="1"/>
  <c r="G18" i="1"/>
  <c r="F18" i="1"/>
  <c r="D18" i="1"/>
  <c r="D29" i="1"/>
  <c r="E29" i="1"/>
  <c r="B29" i="1"/>
  <c r="F29" i="1"/>
  <c r="C29" i="1"/>
  <c r="G29" i="1"/>
  <c r="F21" i="1"/>
  <c r="C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<sst xmlns="http://schemas.openxmlformats.org/spreadsheetml/2006/main" count="1681" uniqueCount="407">
  <si>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</si>
  <si>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</si>
  <si>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</si>
  <si>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</si>
  <si>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</si>
  <si>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</si>
  <si>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</si>
  <si>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</si>
  <si>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</si>
  <si>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</si>
  <si>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</si>
  <si>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</si>
  <si>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</si>
  <si>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</si>
  <si>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</si>
  <si>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</si>
  <si>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</si>
  <si>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</si>
  <si>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</si>
  <si>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</si>
  <si>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</si>
  <si>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</si>
  <si>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</si>
  <si>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</si>
  <si>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</si>
  <si>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</si>
  <si>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</si>
  <si>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</si>
  <si>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</si>
  <si>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</si>
  <si>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</si>
  <si>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</si>
  <si>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</si>
  <si>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</si>
  <si>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</si>
  <si>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</si>
  <si>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</si>
  <si>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</si>
  <si>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</si>
  <si>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</si>
  <si>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</si>
  <si>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</si>
  <si>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</si>
  <si>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</si>
  <si>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</si>
  <si>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</si>
  <si>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</si>
  <si>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</si>
  <si>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</si>
  <si>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</si>
  <si>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</si>
  <si>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</si>
  <si>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</si>
  <si>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</si>
  <si>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</si>
  <si>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</si>
  <si>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</si>
  <si>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</si>
  <si>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</si>
  <si>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</si>
  <si>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</si>
  <si>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</si>
  <si>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</si>
  <si>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</si>
  <si>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</si>
  <si>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</si>
  <si>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</si>
  <si>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</si>
  <si>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</si>
  <si>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</si>
  <si>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</si>
  <si>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</si>
  <si>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</si>
  <si>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</si>
  <si>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</si>
  <si>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</si>
  <si>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</si>
  <si>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</si>
  <si>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</si>
  <si>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</si>
  <si>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</si>
  <si>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</si>
  <si>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</si>
  <si>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</si>
  <si>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</si>
  <si>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</si>
  <si>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</si>
  <si>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</si>
  <si>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</si>
  <si>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</si>
  <si>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</si>
  <si>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</si>
  <si>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</si>
  <si>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</si>
  <si>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</si>
  <si>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</si>
  <si>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</si>
  <si>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</si>
  <si>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</si>
  <si>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</si>
  <si>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</si>
  <si>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</si>
  <si>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</si>
  <si>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</si>
  <si>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</si>
  <si>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</si>
  <si>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</si>
  <si>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</si>
  <si>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</si>
  <si>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</si>
  <si>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</si>
  <si>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</si>
  <si>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</si>
  <si>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</si>
  <si>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</si>
  <si>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</si>
  <si>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</si>
  <si>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</si>
  <si>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</si>
  <si>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</si>
  <si>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</si>
  <si>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</si>
  <si>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</si>
  <si>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</si>
  <si>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</si>
  <si>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</si>
  <si>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</si>
  <si>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</si>
  <si>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</si>
  <si>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</si>
  <si>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</si>
  <si>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</si>
  <si>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</si>
  <si>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</si>
  <si>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</si>
  <si>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</si>
  <si>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</si>
  <si>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</si>
  <si>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</si>
  <si>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</si>
  <si>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</si>
  <si>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</si>
  <si>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</si>
  <si>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</si>
  <si>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</si>
  <si>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</si>
  <si>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</si>
  <si>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</si>
  <si>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</si>
  <si>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</si>
  <si>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</si>
  <si>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</si>
  <si>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</si>
  <si>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</si>
  <si>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</si>
  <si>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</si>
  <si>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</si>
  <si>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</si>
  <si>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</si>
  <si>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</si>
  <si>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</si>
  <si>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</si>
  <si>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</si>
  <si>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</si>
  <si>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</si>
  <si>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</si>
  <si>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</si>
  <si>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</si>
  <si>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</si>
  <si>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</si>
  <si>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</si>
  <si>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</si>
  <si>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</si>
  <si>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</si>
  <si>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</si>
  <si>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</si>
  <si>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</si>
  <si>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</si>
  <si>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</si>
  <si>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</si>
  <si>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</si>
  <si>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</si>
  <si>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</si>
  <si>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</si>
  <si>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</si>
  <si>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</si>
  <si>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</si>
  <si>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</si>
  <si>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</si>
  <si>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</si>
  <si>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</si>
  <si>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</si>
  <si>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</si>
  <si>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</si>
  <si>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</si>
  <si>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</si>
  <si>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</si>
  <si>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</si>
  <si>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</si>
  <si>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</si>
  <si>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</si>
  <si>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</si>
  <si>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</si>
  <si>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</si>
  <si>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</si>
  <si>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</si>
  <si>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</si>
  <si>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</si>
  <si>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</si>
  <si>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</si>
  <si>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</si>
  <si>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</si>
  <si>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</si>
  <si>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</si>
  <si>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</si>
  <si>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</si>
  <si>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</si>
  <si>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</si>
  <si>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</si>
  <si>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</si>
  <si>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</si>
  <si>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</si>
  <si>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</si>
  <si>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</si>
  <si>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</si>
  <si>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</si>
  <si>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</si>
  <si>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</si>
  <si>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</si>
  <si>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</si>
  <si>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</si>
  <si>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</si>
  <si>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</si>
  <si>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</si>
  <si>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</si>
  <si>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</si>
  <si>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</si>
  <si>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</si>
  <si>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</si>
  <si>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</si>
  <si>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</si>
  <si>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</si>
  <si>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</si>
  <si>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</si>
  <si>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</si>
  <si>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</si>
  <si>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</si>
  <si>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</si>
  <si>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</si>
  <si>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</si>
  <si>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</si>
  <si>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</si>
  <si>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</si>
  <si>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</si>
  <si>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</si>
  <si>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</si>
  <si>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</si>
  <si>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</si>
  <si>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</si>
  <si>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</si>
  <si>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</si>
  <si>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</si>
  <si>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</si>
  <si>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</si>
  <si>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</si>
  <si>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</si>
  <si>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</si>
  <si>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</si>
  <si>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</si>
  <si>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</si>
  <si>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</si>
  <si>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</si>
  <si>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</si>
  <si>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</si>
  <si>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</si>
  <si>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</si>
  <si>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</si>
  <si>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</si>
  <si>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</si>
  <si>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</si>
  <si>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</si>
  <si>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</si>
  <si>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</si>
  <si>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</si>
  <si>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</si>
  <si>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</si>
  <si>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</si>
  <si>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</si>
  <si>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</si>
  <si>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</si>
  <si>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</si>
  <si>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</si>
  <si>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</si>
  <si>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</si>
  <si>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</si>
  <si>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</si>
  <si>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</si>
  <si>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</si>
  <si>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</si>
  <si>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</si>
  <si>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</si>
  <si>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</si>
  <si>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</si>
  <si>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</si>
  <si>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</si>
  <si>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</si>
  <si>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</si>
  <si>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</si>
  <si>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</si>
  <si>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</si>
  <si>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</si>
  <si>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</si>
  <si>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</si>
  <si>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</si>
  <si>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</si>
  <si>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</si>
  <si>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</si>
  <si>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</si>
  <si>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</si>
  <si>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</si>
  <si>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</si>
  <si>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</si>
  <si>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</si>
  <si>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</si>
  <si>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</si>
  <si>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</si>
  <si>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</si>
  <si>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</si>
  <si>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</si>
  <si>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</si>
  <si>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</si>
  <si>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</si>
  <si>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</si>
  <si>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</si>
  <si>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</si>
  <si>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</si>
  <si>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</si>
  <si>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</si>
  <si>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</si>
  <si>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</si>
  <si>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</si>
  <si>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</si>
  <si>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</si>
  <si>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</si>
  <si>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</si>
  <si>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</si>
  <si>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</si>
  <si>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</si>
  <si>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</si>
  <si>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</si>
  <si>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</si>
  <si>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</si>
  <si>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</si>
  <si>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</si>
  <si>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</si>
  <si>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</si>
  <si>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</si>
  <si>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</si>
  <si>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</si>
  <si>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</si>
  <si>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</si>
  <si>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</si>
  <si>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</si>
  <si>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</si>
  <si>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</si>
  <si>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</si>
  <si>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</si>
  <si>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</si>
  <si>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</si>
  <si>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</si>
  <si>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</si>
  <si>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</si>
  <si>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</si>
  <si>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</si>
  <si>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</si>
  <si>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</si>
  <si>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</si>
  <si>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</si>
  <si>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</si>
  <si>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</si>
  <si>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</si>
  <si>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</si>
  <si>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</si>
  <si>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</si>
  <si>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</si>
  <si>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</si>
  <si>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2018年3月5日收盘基差表</t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</si>
  <si>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</si>
  <si>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更新现货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</si>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</sst>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120930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87801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N12" sqref="N12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386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上证50</v>
      </c>
      <c r="C4" s="54">
        <f>排序表!C2</f>
        <v>3180.33</v>
      </c>
      <c r="D4" s="55">
        <f>排序表!D2</f>
        <v>0</v>
      </c>
      <c r="E4" s="56">
        <f>排序表!G2</f>
        <v>324.12999999999965</v>
      </c>
      <c r="F4" s="55">
        <f>排序表!H2</f>
        <v>5</v>
      </c>
      <c r="G4" s="49">
        <f>排序表!I2</f>
        <v>0.11348294937329305</v>
      </c>
      <c r="H4" s="49"/>
      <c r="I4" s="57" t="str">
        <f>排序表!E2</f>
        <v>无</v>
      </c>
      <c r="J4" s="48"/>
      <c r="K4" s="53"/>
      <c r="L4" s="53"/>
    </row>
    <row r="5" spans="2:14" ht="18" customHeight="1">
      <c r="B5" s="60" t="str">
        <f>排序表!A3</f>
        <v>沪深300</v>
      </c>
      <c r="C5" s="60">
        <f>排序表!C3</f>
        <v>4389.8900000000003</v>
      </c>
      <c r="D5" s="61">
        <f>排序表!D3</f>
        <v>0</v>
      </c>
      <c r="E5" s="60">
        <f>排序表!G3</f>
        <v>397.89000000000033</v>
      </c>
      <c r="F5" s="61">
        <f>排序表!H3</f>
        <v>18</v>
      </c>
      <c r="G5" s="62">
        <f>排序表!I3</f>
        <v>9.9671843687374834E-2</v>
      </c>
      <c r="H5" s="60"/>
      <c r="I5" s="63" t="str">
        <f>排序表!E3</f>
        <v>无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686</v>
      </c>
      <c r="D6" s="55">
        <f>排序表!D4</f>
        <v>-3</v>
      </c>
      <c r="E6" s="56">
        <f>排序表!G4</f>
        <v>61.799999999999955</v>
      </c>
      <c r="F6" s="55">
        <f>排序表!H4</f>
        <v>5.1999999999999318</v>
      </c>
      <c r="G6" s="49">
        <f>排序表!I4</f>
        <v>9.9006728612624079E-2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铁矿石</v>
      </c>
      <c r="C7" s="60">
        <f>排序表!C5</f>
        <v>560.5</v>
      </c>
      <c r="D7" s="61">
        <f>排序表!D5</f>
        <v>-7.5</v>
      </c>
      <c r="E7" s="60">
        <f>排序表!G5</f>
        <v>40.5</v>
      </c>
      <c r="F7" s="61">
        <f>排序表!H5</f>
        <v>11.5</v>
      </c>
      <c r="G7" s="62">
        <f>排序表!I5</f>
        <v>7.7884615384615385E-2</v>
      </c>
      <c r="H7" s="60"/>
      <c r="I7" s="63" t="str">
        <f>排序表!E5</f>
        <v>青岛港</v>
      </c>
      <c r="J7" s="48"/>
      <c r="K7" s="60"/>
      <c r="L7" s="60"/>
    </row>
    <row r="8" spans="2:14" ht="18" customHeight="1">
      <c r="B8" s="53" t="str">
        <f>排序表!A6</f>
        <v>螺纹钢</v>
      </c>
      <c r="C8" s="54">
        <f>排序表!C6</f>
        <v>4206</v>
      </c>
      <c r="D8" s="55">
        <f>排序表!D6</f>
        <v>-20</v>
      </c>
      <c r="E8" s="56">
        <f>排序表!G6</f>
        <v>249</v>
      </c>
      <c r="F8" s="55">
        <f>排序表!H6</f>
        <v>47</v>
      </c>
      <c r="G8" s="49">
        <f>排序表!I6</f>
        <v>6.2926459438968921E-2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中证500</v>
      </c>
      <c r="C9" s="60">
        <f>排序表!C7</f>
        <v>6394.3</v>
      </c>
      <c r="D9" s="61">
        <f>排序表!D7</f>
        <v>0</v>
      </c>
      <c r="E9" s="60">
        <f>排序表!G7</f>
        <v>375.10000000000036</v>
      </c>
      <c r="F9" s="61">
        <f>排序表!H7</f>
        <v>16</v>
      </c>
      <c r="G9" s="62">
        <f>排序表!I7</f>
        <v>6.2317251461988368E-2</v>
      </c>
      <c r="H9" s="60"/>
      <c r="I9" s="63" t="str">
        <f>排序表!E7</f>
        <v>无</v>
      </c>
      <c r="J9" s="48"/>
      <c r="K9" s="60"/>
      <c r="L9" s="60"/>
    </row>
    <row r="10" spans="2:14" ht="18" customHeight="1">
      <c r="B10" s="53" t="str">
        <f>排序表!A8</f>
        <v>豆粕</v>
      </c>
      <c r="C10" s="54">
        <f>排序表!C8</f>
        <v>3260</v>
      </c>
      <c r="D10" s="55">
        <f>排序表!D8</f>
        <v>30</v>
      </c>
      <c r="E10" s="56">
        <f>排序表!G8</f>
        <v>140</v>
      </c>
      <c r="F10" s="55">
        <f>排序表!H8</f>
        <v>39</v>
      </c>
      <c r="G10" s="49">
        <f>排序表!I8</f>
        <v>4.4871794871794872E-2</v>
      </c>
      <c r="H10" s="49"/>
      <c r="I10" s="57" t="str">
        <f>排序表!E8</f>
        <v>东莞</v>
      </c>
      <c r="J10" s="48"/>
      <c r="K10" s="53"/>
      <c r="L10" s="53"/>
    </row>
    <row r="11" spans="2:14" ht="18" customHeight="1">
      <c r="B11" s="60" t="str">
        <f>排序表!A9</f>
        <v>淀粉</v>
      </c>
      <c r="C11" s="60">
        <f>排序表!C9</f>
        <v>2300</v>
      </c>
      <c r="D11" s="61">
        <f>排序表!D9</f>
        <v>0</v>
      </c>
      <c r="E11" s="60">
        <f>排序表!G9</f>
        <v>98</v>
      </c>
      <c r="F11" s="61">
        <f>排序表!H9</f>
        <v>-41</v>
      </c>
      <c r="G11" s="62">
        <f>排序表!I9</f>
        <v>4.4504995458673931E-2</v>
      </c>
      <c r="H11" s="60"/>
      <c r="I11" s="63" t="str">
        <f>排序表!E9</f>
        <v>东北</v>
      </c>
      <c r="J11" s="48"/>
      <c r="K11" s="60"/>
      <c r="L11" s="60"/>
    </row>
    <row r="12" spans="2:14" ht="18" customHeight="1">
      <c r="B12" s="53" t="str">
        <f>排序表!A10</f>
        <v>玉米</v>
      </c>
      <c r="C12" s="54">
        <f>排序表!C10</f>
        <v>1940</v>
      </c>
      <c r="D12" s="55">
        <f>排序表!D10</f>
        <v>40</v>
      </c>
      <c r="E12" s="56">
        <f>排序表!G10</f>
        <v>71</v>
      </c>
      <c r="F12" s="55">
        <f>排序表!H10</f>
        <v>11</v>
      </c>
      <c r="G12" s="49">
        <f>排序表!I10</f>
        <v>3.7988228999464954E-2</v>
      </c>
      <c r="H12" s="49"/>
      <c r="I12" s="57" t="str">
        <f>排序表!E10</f>
        <v>鲅鱼圈平舱价</v>
      </c>
      <c r="J12" s="48"/>
      <c r="K12" s="53"/>
      <c r="L12" s="53"/>
    </row>
    <row r="13" spans="2:14" ht="18" customHeight="1">
      <c r="B13" s="60" t="str">
        <f>排序表!A11</f>
        <v>菜油</v>
      </c>
      <c r="C13" s="60">
        <f>排序表!C11</f>
        <v>6580</v>
      </c>
      <c r="D13" s="61">
        <f>排序表!D11</f>
        <v>0</v>
      </c>
      <c r="E13" s="60">
        <f>排序表!G11</f>
        <v>202</v>
      </c>
      <c r="F13" s="61">
        <f>排序表!H11</f>
        <v>62</v>
      </c>
      <c r="G13" s="62">
        <f>排序表!I11</f>
        <v>3.167137033552838E-2</v>
      </c>
      <c r="H13" s="60"/>
      <c r="I13" s="63" t="str">
        <f>排序表!E11</f>
        <v>广东东莞</v>
      </c>
      <c r="J13" s="48"/>
      <c r="K13" s="60"/>
      <c r="L13" s="60"/>
    </row>
    <row r="14" spans="2:14" ht="18" customHeight="1">
      <c r="B14" s="53" t="str">
        <f>排序表!A12</f>
        <v>PTA</v>
      </c>
      <c r="C14" s="54">
        <f>排序表!C12</f>
        <v>5936</v>
      </c>
      <c r="D14" s="55">
        <f>排序表!D12</f>
        <v>-64</v>
      </c>
      <c r="E14" s="56">
        <f>排序表!G12</f>
        <v>150</v>
      </c>
      <c r="F14" s="55">
        <f>排序表!H12</f>
        <v>-22</v>
      </c>
      <c r="G14" s="49">
        <f>排序表!I12</f>
        <v>2.5924645696508816E-2</v>
      </c>
      <c r="H14" s="49"/>
      <c r="I14" s="57" t="str">
        <f>排序表!E12</f>
        <v>华东</v>
      </c>
      <c r="J14" s="48"/>
      <c r="K14" s="53"/>
      <c r="L14" s="53"/>
    </row>
    <row r="15" spans="2:14" ht="18" customHeight="1">
      <c r="B15" s="60" t="str">
        <f>排序表!A13</f>
        <v>白糖</v>
      </c>
      <c r="C15" s="60">
        <f>排序表!C13</f>
        <v>5850</v>
      </c>
      <c r="D15" s="61">
        <f>排序表!D13</f>
        <v>-160</v>
      </c>
      <c r="E15" s="60">
        <f>排序表!G13</f>
        <v>128</v>
      </c>
      <c r="F15" s="61">
        <f>排序表!H13</f>
        <v>-123</v>
      </c>
      <c r="G15" s="62">
        <f>排序表!I13</f>
        <v>2.23698007689619E-2</v>
      </c>
      <c r="H15" s="60"/>
      <c r="I15" s="63" t="str">
        <f>排序表!E13</f>
        <v>南宁</v>
      </c>
      <c r="J15" s="48"/>
      <c r="K15" s="60"/>
      <c r="L15" s="60"/>
    </row>
    <row r="16" spans="2:14" ht="18" customHeight="1">
      <c r="B16" s="53" t="str">
        <f>排序表!A14</f>
        <v>热卷</v>
      </c>
      <c r="C16" s="54">
        <f>排序表!C14</f>
        <v>4120</v>
      </c>
      <c r="D16" s="55">
        <f>排序表!D14</f>
        <v>-20</v>
      </c>
      <c r="E16" s="56">
        <f>排序表!G14</f>
        <v>73</v>
      </c>
      <c r="F16" s="55">
        <f>排序表!H14</f>
        <v>53</v>
      </c>
      <c r="G16" s="49">
        <f>排序表!I14</f>
        <v>1.8038052878675562E-2</v>
      </c>
      <c r="H16" s="49"/>
      <c r="I16" s="57" t="str">
        <f>排序表!E14</f>
        <v>上海</v>
      </c>
      <c r="J16" s="48"/>
      <c r="K16" s="53"/>
      <c r="L16" s="53"/>
    </row>
    <row r="17" spans="2:18" ht="18" customHeight="1">
      <c r="B17" s="60" t="str">
        <f>排序表!A15</f>
        <v>棉花</v>
      </c>
      <c r="C17" s="60">
        <f>排序表!C15</f>
        <v>15475</v>
      </c>
      <c r="D17" s="61">
        <f>排序表!D15</f>
        <v>0</v>
      </c>
      <c r="E17" s="60">
        <f>排序表!G15</f>
        <v>115</v>
      </c>
      <c r="F17" s="61">
        <f>排序表!H15</f>
        <v>-185</v>
      </c>
      <c r="G17" s="62">
        <f>排序表!I15</f>
        <v>7.486979166666667E-3</v>
      </c>
      <c r="H17" s="60"/>
      <c r="I17" s="63" t="str">
        <f>排序表!E15</f>
        <v>新疆</v>
      </c>
      <c r="J17" s="48"/>
      <c r="K17" s="60"/>
      <c r="L17" s="60"/>
    </row>
    <row r="18" spans="2:18" ht="18" customHeight="1">
      <c r="B18" s="53" t="str">
        <f>排序表!A16</f>
        <v>焦煤</v>
      </c>
      <c r="C18" s="54">
        <f>排序表!C16</f>
        <v>1380</v>
      </c>
      <c r="D18" s="55">
        <f>排序表!D16</f>
        <v>0</v>
      </c>
      <c r="E18" s="56">
        <f>排序表!G16</f>
        <v>5.5</v>
      </c>
      <c r="F18" s="55">
        <f>排序表!H16</f>
        <v>19.5</v>
      </c>
      <c r="G18" s="49">
        <f>排序表!I16</f>
        <v>4.0014550745725722E-3</v>
      </c>
      <c r="H18" s="49"/>
      <c r="I18" s="57" t="str">
        <f>排序表!E16</f>
        <v>日照港</v>
      </c>
      <c r="J18" s="48"/>
      <c r="K18" s="53"/>
      <c r="L18" s="53"/>
    </row>
    <row r="19" spans="2:18" ht="18" customHeight="1">
      <c r="B19" s="60" t="str">
        <f>排序表!A17</f>
        <v>锌</v>
      </c>
      <c r="C19" s="60">
        <f>排序表!C17</f>
        <v>25660</v>
      </c>
      <c r="D19" s="61">
        <f>排序表!D17</f>
        <v>-370</v>
      </c>
      <c r="E19" s="60">
        <f>排序表!G17</f>
        <v>40</v>
      </c>
      <c r="F19" s="61">
        <f>排序表!H17</f>
        <v>240</v>
      </c>
      <c r="G19" s="62">
        <f>排序表!I17</f>
        <v>1.56128024980484E-3</v>
      </c>
      <c r="H19" s="60"/>
      <c r="I19" s="63" t="str">
        <f>排序表!E17</f>
        <v>上海</v>
      </c>
      <c r="J19" s="48"/>
      <c r="K19" s="60"/>
      <c r="L19" s="60"/>
    </row>
    <row r="20" spans="2:18" ht="18" customHeight="1">
      <c r="B20" s="53" t="str">
        <f>排序表!A18</f>
        <v>PVC</v>
      </c>
      <c r="C20" s="54">
        <f>排序表!C18</f>
        <v>6665</v>
      </c>
      <c r="D20" s="55">
        <f>排序表!D18</f>
        <v>-25</v>
      </c>
      <c r="E20" s="56">
        <f>排序表!G18</f>
        <v>10</v>
      </c>
      <c r="F20" s="55">
        <f>排序表!H18</f>
        <v>115</v>
      </c>
      <c r="G20" s="49">
        <f>排序表!I18</f>
        <v>1.5026296018031556E-3</v>
      </c>
      <c r="H20" s="49"/>
      <c r="I20" s="57" t="str">
        <f>排序表!E18</f>
        <v>华东</v>
      </c>
      <c r="J20" s="48"/>
      <c r="K20" s="53"/>
      <c r="L20" s="53"/>
      <c r="R20" s="33"/>
    </row>
    <row r="21" spans="2:18" ht="18" customHeight="1">
      <c r="B21" s="60" t="str">
        <f>排序表!A19</f>
        <v>菜粕</v>
      </c>
      <c r="C21" s="60">
        <f>排序表!C19</f>
        <v>2570</v>
      </c>
      <c r="D21" s="61">
        <f>排序表!D19</f>
        <v>-8</v>
      </c>
      <c r="E21" s="60">
        <f>排序表!G19</f>
        <v>0</v>
      </c>
      <c r="F21" s="61">
        <f>排序表!H19</f>
        <v>0</v>
      </c>
      <c r="G21" s="62">
        <f>排序表!I19</f>
        <v>0</v>
      </c>
      <c r="H21" s="60"/>
      <c r="I21" s="63" t="str">
        <f>排序表!E19</f>
        <v>东莞</v>
      </c>
      <c r="J21" s="48"/>
      <c r="K21" s="60"/>
      <c r="L21" s="60"/>
    </row>
    <row r="22" spans="2:18" ht="18" customHeight="1">
      <c r="B22" s="53" t="str">
        <f>排序表!A20</f>
        <v>玻璃</v>
      </c>
      <c r="C22" s="54">
        <f>排序表!C20</f>
        <v>1480</v>
      </c>
      <c r="D22" s="55">
        <f>排序表!D20</f>
        <v>0</v>
      </c>
      <c r="E22" s="56">
        <f>排序表!G20</f>
        <v>-4</v>
      </c>
      <c r="F22" s="55">
        <f>排序表!H20</f>
        <v>14</v>
      </c>
      <c r="G22" s="49">
        <f>排序表!I20</f>
        <v>-2.6954177897574125E-3</v>
      </c>
      <c r="H22" s="49"/>
      <c r="I22" s="57" t="str">
        <f>排序表!E20</f>
        <v>沙河</v>
      </c>
      <c r="J22" s="48"/>
      <c r="K22" s="53"/>
      <c r="L22" s="53"/>
    </row>
    <row r="23" spans="2:18" ht="18" customHeight="1">
      <c r="B23" s="60" t="str">
        <f>排序表!A21</f>
        <v>铜</v>
      </c>
      <c r="C23" s="60">
        <f>排序表!C21</f>
        <v>51490</v>
      </c>
      <c r="D23" s="61">
        <f>排序表!D21</f>
        <v>-390</v>
      </c>
      <c r="E23" s="60">
        <f>排序表!G21</f>
        <v>-250</v>
      </c>
      <c r="F23" s="61">
        <f>排序表!H21</f>
        <v>0</v>
      </c>
      <c r="G23" s="62">
        <f>排序表!I21</f>
        <v>-4.8318515655199068E-3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棉纱</v>
      </c>
      <c r="C24" s="54">
        <f>排序表!C22</f>
        <v>22950</v>
      </c>
      <c r="D24" s="55">
        <f>排序表!D22</f>
        <v>50</v>
      </c>
      <c r="E24" s="56">
        <f>排序表!G22</f>
        <v>-120</v>
      </c>
      <c r="F24" s="55">
        <f>排序表!H22</f>
        <v>330</v>
      </c>
      <c r="G24" s="49">
        <f>排序表!I22</f>
        <v>-5.2015604681404422E-3</v>
      </c>
      <c r="H24" s="49"/>
      <c r="I24" s="57" t="str">
        <f>排序表!E22</f>
        <v>江苏</v>
      </c>
      <c r="J24" s="48"/>
      <c r="K24" s="53"/>
      <c r="L24" s="53"/>
    </row>
    <row r="25" spans="2:18" ht="18" customHeight="1">
      <c r="B25" s="60" t="str">
        <f>排序表!A23</f>
        <v>豆油</v>
      </c>
      <c r="C25" s="60">
        <f>排序表!C23</f>
        <v>5820</v>
      </c>
      <c r="D25" s="61">
        <f>排序表!D23</f>
        <v>20</v>
      </c>
      <c r="E25" s="60">
        <f>排序表!G23</f>
        <v>-34</v>
      </c>
      <c r="F25" s="61">
        <f>排序表!H23</f>
        <v>20</v>
      </c>
      <c r="G25" s="62">
        <f>排序表!I23</f>
        <v>-5.8079945336522035E-3</v>
      </c>
      <c r="H25" s="60"/>
      <c r="I25" s="63" t="str">
        <f>排序表!E23</f>
        <v>日照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100850</v>
      </c>
      <c r="D26" s="55">
        <f>排序表!D24</f>
        <v>50</v>
      </c>
      <c r="E26" s="56">
        <f>排序表!G24</f>
        <v>-590</v>
      </c>
      <c r="F26" s="55">
        <f>排序表!H24</f>
        <v>790</v>
      </c>
      <c r="G26" s="49">
        <f>排序表!I24</f>
        <v>-5.8162460567823347E-3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沥青</v>
      </c>
      <c r="C27" s="60">
        <f>排序表!C25</f>
        <v>2700</v>
      </c>
      <c r="D27" s="61">
        <f>排序表!D25</f>
        <v>0</v>
      </c>
      <c r="E27" s="60">
        <f>排序表!G25</f>
        <v>-18</v>
      </c>
      <c r="F27" s="61">
        <f>排序表!H25</f>
        <v>52</v>
      </c>
      <c r="G27" s="62">
        <f>排序表!I25</f>
        <v>-6.6225165562913907E-3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豆一</v>
      </c>
      <c r="C28" s="54">
        <f>排序表!C26</f>
        <v>3650</v>
      </c>
      <c r="D28" s="55">
        <f>排序表!D26</f>
        <v>0</v>
      </c>
      <c r="E28" s="56">
        <f>排序表!G26</f>
        <v>-50</v>
      </c>
      <c r="F28" s="55">
        <f>排序表!H26</f>
        <v>11</v>
      </c>
      <c r="G28" s="49">
        <f>排序表!I26</f>
        <v>-1.3513513513513514E-2</v>
      </c>
      <c r="H28" s="49"/>
      <c r="I28" s="57" t="str">
        <f>排序表!E26</f>
        <v>哈尔滨</v>
      </c>
      <c r="J28" s="48"/>
      <c r="K28" s="53"/>
      <c r="L28" s="53"/>
    </row>
    <row r="29" spans="2:18" ht="18" customHeight="1">
      <c r="B29" s="60" t="str">
        <f>排序表!A27</f>
        <v>铝</v>
      </c>
      <c r="C29" s="60">
        <f>排序表!C27</f>
        <v>13930</v>
      </c>
      <c r="D29" s="61">
        <f>排序表!D27</f>
        <v>-150</v>
      </c>
      <c r="E29" s="60">
        <f>排序表!G27</f>
        <v>-200</v>
      </c>
      <c r="F29" s="61">
        <f>排序表!H27</f>
        <v>-30</v>
      </c>
      <c r="G29" s="62">
        <f>排序表!I27</f>
        <v>-1.4154281670205236E-2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9042</v>
      </c>
      <c r="D30" s="55">
        <f>排序表!D28</f>
        <v>-75</v>
      </c>
      <c r="E30" s="56">
        <f>排序表!G28</f>
        <v>-130</v>
      </c>
      <c r="F30" s="55">
        <f>排序表!H28</f>
        <v>15</v>
      </c>
      <c r="G30" s="49">
        <f>排序表!I28</f>
        <v>-1.41735717400785E-2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LLDPE</v>
      </c>
      <c r="C31" s="60">
        <f>排序表!C29</f>
        <v>9390</v>
      </c>
      <c r="D31" s="61">
        <f>排序表!D29</f>
        <v>-65</v>
      </c>
      <c r="E31" s="60">
        <f>排序表!G29</f>
        <v>-150</v>
      </c>
      <c r="F31" s="61">
        <f>排序表!H29</f>
        <v>20</v>
      </c>
      <c r="G31" s="62">
        <f>排序表!I29</f>
        <v>-1.5723270440251572E-2</v>
      </c>
      <c r="H31" s="60"/>
      <c r="I31" s="63" t="str">
        <f>排序表!E29</f>
        <v>华北</v>
      </c>
      <c r="J31" s="48"/>
      <c r="K31" s="60"/>
      <c r="L31" s="60"/>
    </row>
    <row r="32" spans="2:18" ht="18" customHeight="1">
      <c r="B32" s="53" t="str">
        <f>排序表!A30</f>
        <v>棕榈油</v>
      </c>
      <c r="C32" s="54">
        <f>排序表!C30</f>
        <v>5160</v>
      </c>
      <c r="D32" s="55">
        <f>排序表!D30</f>
        <v>-60</v>
      </c>
      <c r="E32" s="56">
        <f>排序表!G30</f>
        <v>-94</v>
      </c>
      <c r="F32" s="55">
        <f>排序表!H30</f>
        <v>-48</v>
      </c>
      <c r="G32" s="49">
        <f>排序表!I30</f>
        <v>-1.7891130567186907E-2</v>
      </c>
      <c r="H32" s="49"/>
      <c r="I32" s="57" t="str">
        <f>排序表!E30</f>
        <v>天津港</v>
      </c>
      <c r="J32" s="48"/>
      <c r="K32" s="53"/>
      <c r="L32" s="53"/>
    </row>
    <row r="33" spans="2:12" ht="18" customHeight="1">
      <c r="B33" s="60" t="str">
        <f>排序表!A31</f>
        <v>甲醇</v>
      </c>
      <c r="C33" s="60">
        <f>排序表!C31</f>
        <v>2600</v>
      </c>
      <c r="D33" s="61">
        <f>排序表!D31</f>
        <v>-50</v>
      </c>
      <c r="E33" s="60">
        <f>排序表!G31</f>
        <v>-78</v>
      </c>
      <c r="F33" s="61">
        <f>排序表!H31</f>
        <v>-51</v>
      </c>
      <c r="G33" s="62">
        <f>排序表!I31</f>
        <v>-2.9126213592233011E-2</v>
      </c>
      <c r="H33" s="60"/>
      <c r="I33" s="63" t="str">
        <f>排序表!E31</f>
        <v>河南</v>
      </c>
      <c r="J33" s="48"/>
      <c r="K33" s="60"/>
      <c r="L33" s="60"/>
    </row>
    <row r="34" spans="2:12" ht="18" customHeight="1">
      <c r="B34" s="53" t="str">
        <f>排序表!A32</f>
        <v>焦炭</v>
      </c>
      <c r="C34" s="54">
        <f>排序表!C32</f>
        <v>2050</v>
      </c>
      <c r="D34" s="55">
        <f>排序表!D32</f>
        <v>0</v>
      </c>
      <c r="E34" s="56">
        <f>排序表!G32</f>
        <v>-127</v>
      </c>
      <c r="F34" s="55">
        <f>排序表!H32</f>
        <v>65</v>
      </c>
      <c r="G34" s="49">
        <f>排序表!I32</f>
        <v>-5.8337161231051905E-2</v>
      </c>
      <c r="H34" s="49"/>
      <c r="I34" s="57" t="str">
        <f>排序表!E32</f>
        <v>日照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12255</v>
      </c>
      <c r="D35" s="61">
        <f>排序表!D33</f>
        <v>95</v>
      </c>
      <c r="E35" s="60">
        <f>排序表!G33</f>
        <v>-800</v>
      </c>
      <c r="F35" s="61">
        <f>排序表!H33</f>
        <v>-10</v>
      </c>
      <c r="G35" s="62">
        <f>排序表!I33</f>
        <v>-6.1279203370356188E-2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387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385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9" sqref="A9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43164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686</v>
      </c>
      <c r="D4" s="22">
        <f t="shared" si="1"/>
        <v>686</v>
      </c>
      <c r="E4" s="69"/>
      <c r="F4" s="16" t="s">
        <v>4</v>
      </c>
      <c r="G4" s="35">
        <v>686</v>
      </c>
      <c r="H4" s="35">
        <v>686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560.5</v>
      </c>
      <c r="D5" s="22">
        <f t="shared" si="1"/>
        <v>560.5</v>
      </c>
      <c r="E5" s="69"/>
      <c r="F5" s="16" t="s">
        <v>20</v>
      </c>
      <c r="G5" s="35">
        <v>560.5</v>
      </c>
      <c r="H5" s="35">
        <v>560.5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4206</v>
      </c>
      <c r="D6" s="22">
        <f t="shared" si="1"/>
        <v>4206</v>
      </c>
      <c r="E6" s="69"/>
      <c r="F6" s="16" t="s">
        <v>12</v>
      </c>
      <c r="G6" s="35">
        <v>4206</v>
      </c>
      <c r="H6" s="35">
        <v>4206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4120</v>
      </c>
      <c r="D7" s="22">
        <f t="shared" si="1"/>
        <v>4120</v>
      </c>
      <c r="E7" s="69"/>
      <c r="F7" s="16" t="s">
        <v>9</v>
      </c>
      <c r="G7" s="35">
        <v>4120</v>
      </c>
      <c r="H7" s="35">
        <v>4120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12285</v>
      </c>
      <c r="D8" s="22">
        <f t="shared" si="1"/>
        <v>12255</v>
      </c>
      <c r="E8" s="69"/>
      <c r="F8" s="16" t="s">
        <v>31</v>
      </c>
      <c r="G8" s="35">
        <v>12285</v>
      </c>
      <c r="H8" s="35">
        <v>12255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388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6665</v>
      </c>
      <c r="D10" s="22">
        <f t="shared" si="1"/>
        <v>6665</v>
      </c>
      <c r="E10" s="69"/>
      <c r="F10" s="16" t="s">
        <v>32</v>
      </c>
      <c r="G10" s="35">
        <v>6665</v>
      </c>
      <c r="H10" s="35">
        <v>6665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9425</v>
      </c>
      <c r="D11" s="22">
        <f t="shared" si="1"/>
        <v>9390</v>
      </c>
      <c r="E11" s="69"/>
      <c r="F11" s="16" t="s">
        <v>21</v>
      </c>
      <c r="G11" s="35">
        <v>9425</v>
      </c>
      <c r="H11" s="35">
        <v>9390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9060</v>
      </c>
      <c r="D12" s="22">
        <f t="shared" si="1"/>
        <v>9042</v>
      </c>
      <c r="E12" s="69"/>
      <c r="F12" s="16" t="s">
        <v>33</v>
      </c>
      <c r="G12" s="35">
        <v>9060</v>
      </c>
      <c r="H12" s="35">
        <v>9042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5936</v>
      </c>
      <c r="D13" s="22">
        <f t="shared" si="1"/>
        <v>5936</v>
      </c>
      <c r="E13" s="69"/>
      <c r="F13" s="16" t="s">
        <v>13</v>
      </c>
      <c r="G13" s="35">
        <v>5936</v>
      </c>
      <c r="H13" s="35">
        <v>5936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2600</v>
      </c>
      <c r="D15" s="22">
        <f t="shared" si="1"/>
        <v>2600</v>
      </c>
      <c r="E15" s="69"/>
      <c r="F15" s="16" t="s">
        <v>6</v>
      </c>
      <c r="G15" s="35">
        <v>2400</v>
      </c>
      <c r="H15" s="35">
        <v>2400</v>
      </c>
      <c r="I15" s="36" t="s">
        <v>384</v>
      </c>
      <c r="J15" s="36">
        <v>-200</v>
      </c>
      <c r="K15" s="43">
        <v>2450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3270</v>
      </c>
      <c r="D17" s="22">
        <f t="shared" si="1"/>
        <v>3260</v>
      </c>
      <c r="E17" s="69"/>
      <c r="F17" s="16" t="s">
        <v>11</v>
      </c>
      <c r="G17" s="35">
        <v>3270</v>
      </c>
      <c r="H17" s="35">
        <v>3260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2564</v>
      </c>
      <c r="D18" s="22">
        <f t="shared" si="1"/>
        <v>2570</v>
      </c>
      <c r="E18" s="69"/>
      <c r="F18" s="16" t="s">
        <v>23</v>
      </c>
      <c r="G18" s="35">
        <v>2564</v>
      </c>
      <c r="H18" s="35">
        <v>2570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5820</v>
      </c>
      <c r="D21" s="22">
        <f t="shared" si="1"/>
        <v>5820</v>
      </c>
      <c r="E21" s="69"/>
      <c r="F21" s="16" t="s">
        <v>34</v>
      </c>
      <c r="G21" s="35">
        <v>5770</v>
      </c>
      <c r="H21" s="35">
        <v>5770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5160</v>
      </c>
      <c r="D22" s="22">
        <f t="shared" si="1"/>
        <v>5160</v>
      </c>
      <c r="E22" s="69"/>
      <c r="F22" s="16" t="s">
        <v>25</v>
      </c>
      <c r="G22" s="35">
        <v>5260</v>
      </c>
      <c r="H22" s="35">
        <v>5260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6580</v>
      </c>
      <c r="D23" s="22">
        <f t="shared" si="1"/>
        <v>6580</v>
      </c>
      <c r="E23" s="69"/>
      <c r="F23" s="16" t="s">
        <v>16</v>
      </c>
      <c r="G23" s="35">
        <v>6340</v>
      </c>
      <c r="H23" s="35">
        <v>6340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5850</v>
      </c>
      <c r="D24" s="22">
        <f t="shared" si="1"/>
        <v>5850</v>
      </c>
      <c r="E24" s="69"/>
      <c r="F24" s="16" t="s">
        <v>10</v>
      </c>
      <c r="G24" s="35">
        <v>5850</v>
      </c>
      <c r="H24" s="35">
        <v>5850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15475</v>
      </c>
      <c r="D25" s="22">
        <f t="shared" si="1"/>
        <v>15475</v>
      </c>
      <c r="E25" s="69"/>
      <c r="F25" s="16" t="s">
        <v>35</v>
      </c>
      <c r="G25" s="35">
        <v>15475</v>
      </c>
      <c r="H25" s="35">
        <v>15475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22950</v>
      </c>
      <c r="D26" s="22">
        <f t="shared" si="1"/>
        <v>22950</v>
      </c>
      <c r="E26" s="69"/>
      <c r="F26" s="16" t="s">
        <v>24</v>
      </c>
      <c r="G26" s="35">
        <v>22950</v>
      </c>
      <c r="H26" s="35">
        <v>22950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51760</v>
      </c>
      <c r="D27" s="22">
        <f t="shared" si="1"/>
        <v>51490</v>
      </c>
      <c r="E27" s="69"/>
      <c r="F27" s="16" t="s">
        <v>36</v>
      </c>
      <c r="G27" s="35">
        <v>51760</v>
      </c>
      <c r="H27" s="35">
        <v>51490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13930</v>
      </c>
      <c r="D28" s="22">
        <f t="shared" si="1"/>
        <v>13930</v>
      </c>
      <c r="E28" s="69"/>
      <c r="F28" s="16" t="s">
        <v>22</v>
      </c>
      <c r="G28" s="35">
        <v>13930</v>
      </c>
      <c r="H28" s="35">
        <v>13930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25930</v>
      </c>
      <c r="D29" s="22">
        <f t="shared" si="1"/>
        <v>25660</v>
      </c>
      <c r="E29" s="69"/>
      <c r="F29" s="16" t="s">
        <v>37</v>
      </c>
      <c r="G29" s="35">
        <v>25930</v>
      </c>
      <c r="H29" s="35">
        <v>25660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101650</v>
      </c>
      <c r="D30" s="22">
        <f t="shared" si="1"/>
        <v>100850</v>
      </c>
      <c r="E30" s="69"/>
      <c r="F30" s="16" t="s">
        <v>38</v>
      </c>
      <c r="G30" s="38">
        <v>101650</v>
      </c>
      <c r="H30" s="38">
        <v>100850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6064.1</v>
      </c>
      <c r="D31" s="23">
        <v>6394.3</v>
      </c>
      <c r="E31" s="45"/>
      <c r="L31" s="40"/>
    </row>
    <row r="32" spans="1:12">
      <c r="A32" s="68"/>
      <c r="B32" s="25" t="s">
        <v>19</v>
      </c>
      <c r="C32" s="22">
        <v>2863.9900000000002</v>
      </c>
      <c r="D32" s="23">
        <v>3180.33</v>
      </c>
      <c r="E32" s="45"/>
      <c r="L32" s="40"/>
    </row>
    <row r="33" spans="1:12">
      <c r="A33" s="68"/>
      <c r="B33" s="25" t="s">
        <v>39</v>
      </c>
      <c r="C33" s="22">
        <v>4018.1</v>
      </c>
      <c r="D33" s="23">
        <v>4389.8900000000003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0" workbookViewId="0">
      <selection activeCell="G48" sqref="G4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2177</v>
      </c>
      <c r="K8" s="1">
        <v>2052</v>
      </c>
      <c r="L8" s="1">
        <v>2001</v>
      </c>
      <c r="N8" s="28">
        <v>2050</v>
      </c>
      <c r="O8">
        <v>-127</v>
      </c>
      <c r="P8">
        <v>-2</v>
      </c>
      <c r="Q8">
        <v>49</v>
      </c>
      <c r="T8" s="31">
        <v>-5.8337161231051905E-2</v>
      </c>
      <c r="U8" s="31">
        <v>-9.7465886939571145E-4</v>
      </c>
      <c r="V8" s="31">
        <v>2.4487756121939031E-2</v>
      </c>
      <c r="W8">
        <f>IF(A8="","",RANK(T8,$T$8:$T$99))</f>
        <v>31</v>
      </c>
      <c r="Z8">
        <v>0</v>
      </c>
      <c r="AA8">
        <v>65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1374.5</v>
      </c>
      <c r="K9" s="1">
        <v>1296.5</v>
      </c>
      <c r="L9" s="1">
        <v>1269.5</v>
      </c>
      <c r="N9" s="28">
        <v>1380</v>
      </c>
      <c r="O9">
        <v>5.5</v>
      </c>
      <c r="P9">
        <v>83.5</v>
      </c>
      <c r="Q9">
        <v>110.5</v>
      </c>
      <c r="T9" s="31">
        <v>4.0014550745725722E-3</v>
      </c>
      <c r="U9" s="31">
        <v>6.4404165059776322E-2</v>
      </c>
      <c r="V9" s="31">
        <v>8.7042142575817244E-2</v>
      </c>
      <c r="W9">
        <f t="shared" ref="W9:W56" si="1">IF(A9="","",RANK(T9,$T$8:$T$99))</f>
        <v>15</v>
      </c>
      <c r="Z9">
        <v>0</v>
      </c>
      <c r="AA9">
        <v>19.5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624.20000000000005</v>
      </c>
      <c r="K10" s="1">
        <v>620.4</v>
      </c>
      <c r="L10" s="1">
        <v>625.80000000000007</v>
      </c>
      <c r="N10" s="28">
        <v>686</v>
      </c>
      <c r="O10">
        <v>61.799999999999955</v>
      </c>
      <c r="P10">
        <v>65.600000000000023</v>
      </c>
      <c r="Q10">
        <v>60.199999999999932</v>
      </c>
      <c r="T10" s="31">
        <v>9.9006728612624079E-2</v>
      </c>
      <c r="U10" s="31">
        <v>0.10573823339780791</v>
      </c>
      <c r="V10" s="31">
        <v>9.619686800894843E-2</v>
      </c>
      <c r="W10">
        <f t="shared" si="1"/>
        <v>3</v>
      </c>
      <c r="Z10">
        <v>-3</v>
      </c>
      <c r="AA10">
        <v>5.1999999999999318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520</v>
      </c>
      <c r="K11" s="1">
        <v>538</v>
      </c>
      <c r="L11" s="1">
        <v>520.5</v>
      </c>
      <c r="N11" s="28">
        <v>560.5</v>
      </c>
      <c r="O11">
        <v>40.5</v>
      </c>
      <c r="P11">
        <v>22.5</v>
      </c>
      <c r="Q11">
        <v>40</v>
      </c>
      <c r="T11" s="31">
        <v>7.7884615384615385E-2</v>
      </c>
      <c r="U11" s="31">
        <v>4.1821561338289966E-2</v>
      </c>
      <c r="V11" s="31">
        <v>7.6849183477425559E-2</v>
      </c>
      <c r="W11">
        <f t="shared" si="1"/>
        <v>4</v>
      </c>
      <c r="Z11">
        <v>-7.5</v>
      </c>
      <c r="AA11">
        <v>11.5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3957</v>
      </c>
      <c r="K12" s="1">
        <v>3826</v>
      </c>
      <c r="L12" s="1">
        <v>3754</v>
      </c>
      <c r="N12" s="28">
        <v>4206</v>
      </c>
      <c r="O12">
        <v>249</v>
      </c>
      <c r="P12">
        <v>380</v>
      </c>
      <c r="Q12">
        <v>452</v>
      </c>
      <c r="T12" s="31">
        <v>6.2926459438968921E-2</v>
      </c>
      <c r="U12" s="31">
        <v>9.9320439100888655E-2</v>
      </c>
      <c r="V12" s="31">
        <v>0.12040490143846563</v>
      </c>
      <c r="W12">
        <f t="shared" si="1"/>
        <v>5</v>
      </c>
      <c r="Z12">
        <v>-20</v>
      </c>
      <c r="AA12">
        <v>47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4047</v>
      </c>
      <c r="K13" s="1">
        <v>3975</v>
      </c>
      <c r="L13" s="1">
        <v>3824</v>
      </c>
      <c r="N13" s="28">
        <v>4120</v>
      </c>
      <c r="O13">
        <v>73</v>
      </c>
      <c r="P13">
        <v>145</v>
      </c>
      <c r="Q13">
        <v>296</v>
      </c>
      <c r="T13" s="31">
        <v>1.8038052878675562E-2</v>
      </c>
      <c r="U13" s="31">
        <v>3.6477987421383647E-2</v>
      </c>
      <c r="V13" s="31">
        <v>7.7405857740585768E-2</v>
      </c>
      <c r="W13">
        <f t="shared" si="1"/>
        <v>13</v>
      </c>
      <c r="Z13">
        <v>-20</v>
      </c>
      <c r="AA13">
        <v>53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13055</v>
      </c>
      <c r="K14" s="1">
        <v>13415</v>
      </c>
      <c r="L14" s="1">
        <v>15450</v>
      </c>
      <c r="N14" s="28">
        <v>12255</v>
      </c>
      <c r="O14">
        <v>-800</v>
      </c>
      <c r="P14">
        <v>-1160</v>
      </c>
      <c r="Q14">
        <v>-3195</v>
      </c>
      <c r="T14" s="31">
        <v>-6.1279203370356188E-2</v>
      </c>
      <c r="U14" s="31">
        <v>-8.6470368989936638E-2</v>
      </c>
      <c r="V14" s="31">
        <v>-0.20679611650485438</v>
      </c>
      <c r="W14">
        <f t="shared" si="1"/>
        <v>32</v>
      </c>
      <c r="Z14">
        <v>95</v>
      </c>
      <c r="AA14">
        <v>-10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1484</v>
      </c>
      <c r="K15" s="1">
        <v>1509</v>
      </c>
      <c r="L15" s="1">
        <v>1438</v>
      </c>
      <c r="N15" s="28">
        <v>1480</v>
      </c>
      <c r="O15">
        <v>-4</v>
      </c>
      <c r="P15">
        <v>-29</v>
      </c>
      <c r="Q15">
        <v>42</v>
      </c>
      <c r="T15" s="31">
        <v>-2.6954177897574125E-3</v>
      </c>
      <c r="U15" s="31">
        <v>-1.9218025182239893E-2</v>
      </c>
      <c r="V15" s="31">
        <v>2.9207232267037551E-2</v>
      </c>
      <c r="W15">
        <f t="shared" si="1"/>
        <v>19</v>
      </c>
      <c r="Z15">
        <v>0</v>
      </c>
      <c r="AA15">
        <v>14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6655</v>
      </c>
      <c r="K16" s="1">
        <v>6700</v>
      </c>
      <c r="L16" s="1">
        <v>6625</v>
      </c>
      <c r="N16" s="28">
        <v>6665</v>
      </c>
      <c r="O16">
        <v>10</v>
      </c>
      <c r="P16">
        <v>-35</v>
      </c>
      <c r="Q16">
        <v>40</v>
      </c>
      <c r="T16" s="31">
        <v>1.5026296018031556E-3</v>
      </c>
      <c r="U16" s="31">
        <v>-5.2238805970149255E-3</v>
      </c>
      <c r="V16" s="31">
        <v>6.0377358490566035E-3</v>
      </c>
      <c r="W16">
        <f t="shared" si="1"/>
        <v>17</v>
      </c>
      <c r="Z16">
        <v>-25</v>
      </c>
      <c r="AA16">
        <v>115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9540</v>
      </c>
      <c r="K17" s="1">
        <v>9540</v>
      </c>
      <c r="L17" s="1">
        <v>9460</v>
      </c>
      <c r="N17" s="28">
        <v>9390</v>
      </c>
      <c r="O17">
        <v>-150</v>
      </c>
      <c r="P17">
        <v>-150</v>
      </c>
      <c r="Q17">
        <v>-70</v>
      </c>
      <c r="T17" s="31">
        <v>-1.5723270440251572E-2</v>
      </c>
      <c r="U17" s="31">
        <v>-1.5723270440251572E-2</v>
      </c>
      <c r="V17" s="31">
        <v>-7.3995771670190271E-3</v>
      </c>
      <c r="W17">
        <f t="shared" si="1"/>
        <v>28</v>
      </c>
      <c r="Z17">
        <v>-65</v>
      </c>
      <c r="AA17">
        <v>20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9172</v>
      </c>
      <c r="K18" s="1">
        <v>9258</v>
      </c>
      <c r="L18" s="1">
        <v>9231</v>
      </c>
      <c r="N18" s="28">
        <v>9042</v>
      </c>
      <c r="O18">
        <v>-130</v>
      </c>
      <c r="P18">
        <v>-216</v>
      </c>
      <c r="Q18">
        <v>-189</v>
      </c>
      <c r="T18" s="31">
        <v>-1.41735717400785E-2</v>
      </c>
      <c r="U18" s="31">
        <v>-2.3331173039533377E-2</v>
      </c>
      <c r="V18" s="31">
        <v>-2.0474488137796554E-2</v>
      </c>
      <c r="W18">
        <f t="shared" si="1"/>
        <v>27</v>
      </c>
      <c r="Z18">
        <v>-75</v>
      </c>
      <c r="AA18">
        <v>15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5786</v>
      </c>
      <c r="K19" s="1">
        <v>5630</v>
      </c>
      <c r="L19" s="1">
        <v>5584</v>
      </c>
      <c r="N19" s="28">
        <v>5936</v>
      </c>
      <c r="O19">
        <v>150</v>
      </c>
      <c r="P19">
        <v>306</v>
      </c>
      <c r="Q19">
        <v>352</v>
      </c>
      <c r="T19" s="31">
        <v>2.5924645696508816E-2</v>
      </c>
      <c r="U19" s="31">
        <v>5.4351687388987567E-2</v>
      </c>
      <c r="V19" s="31">
        <v>6.3037249283667621E-2</v>
      </c>
      <c r="W19">
        <f t="shared" si="1"/>
        <v>11</v>
      </c>
      <c r="Z19">
        <v>-64</v>
      </c>
      <c r="AA19">
        <v>-22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2718</v>
      </c>
      <c r="K20" s="1">
        <v>2756</v>
      </c>
      <c r="L20" s="1">
        <v>2798</v>
      </c>
      <c r="N20" s="28">
        <v>2700</v>
      </c>
      <c r="O20">
        <v>-18</v>
      </c>
      <c r="P20">
        <v>-56</v>
      </c>
      <c r="Q20">
        <v>-98</v>
      </c>
      <c r="T20" s="31">
        <v>-6.6225165562913907E-3</v>
      </c>
      <c r="U20" s="31">
        <v>-2.0319303338171262E-2</v>
      </c>
      <c r="V20" s="31">
        <v>-3.5025017869907075E-2</v>
      </c>
      <c r="W20">
        <f t="shared" si="1"/>
        <v>24</v>
      </c>
      <c r="Z20">
        <v>0</v>
      </c>
      <c r="AA20">
        <v>52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2678</v>
      </c>
      <c r="K21" s="1">
        <v>2686</v>
      </c>
      <c r="L21" s="1">
        <v>2732</v>
      </c>
      <c r="N21" s="28">
        <v>2600</v>
      </c>
      <c r="O21">
        <v>-78</v>
      </c>
      <c r="P21">
        <v>-86</v>
      </c>
      <c r="Q21">
        <v>-132</v>
      </c>
      <c r="T21" s="31">
        <v>-2.9126213592233011E-2</v>
      </c>
      <c r="U21" s="31">
        <v>-3.2017870439314963E-2</v>
      </c>
      <c r="V21" s="31">
        <v>-4.8316251830161056E-2</v>
      </c>
      <c r="W21">
        <f t="shared" si="1"/>
        <v>30</v>
      </c>
      <c r="Z21">
        <v>-50</v>
      </c>
      <c r="AA21">
        <v>-51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3700</v>
      </c>
      <c r="K22" s="1">
        <v>3750</v>
      </c>
      <c r="L22" s="1">
        <v>3817</v>
      </c>
      <c r="N22" s="28">
        <v>3650</v>
      </c>
      <c r="O22">
        <v>-50</v>
      </c>
      <c r="P22">
        <v>-100</v>
      </c>
      <c r="Q22">
        <v>-167</v>
      </c>
      <c r="T22" s="31">
        <v>-1.3513513513513514E-2</v>
      </c>
      <c r="U22" s="31">
        <v>-2.6666666666666668E-2</v>
      </c>
      <c r="V22" s="31">
        <v>-4.3751637411579773E-2</v>
      </c>
      <c r="W22">
        <f t="shared" si="1"/>
        <v>25</v>
      </c>
      <c r="Z22">
        <v>0</v>
      </c>
      <c r="AA22">
        <v>11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3120</v>
      </c>
      <c r="K23" s="1">
        <v>3057</v>
      </c>
      <c r="L23" s="1">
        <v>2955</v>
      </c>
      <c r="N23" s="28">
        <v>3260</v>
      </c>
      <c r="O23">
        <v>140</v>
      </c>
      <c r="P23">
        <v>203</v>
      </c>
      <c r="Q23">
        <v>305</v>
      </c>
      <c r="T23" s="31">
        <v>4.4871794871794872E-2</v>
      </c>
      <c r="U23" s="31">
        <v>6.6404972194962386E-2</v>
      </c>
      <c r="V23" s="31">
        <v>0.10321489001692047</v>
      </c>
      <c r="W23">
        <f t="shared" si="1"/>
        <v>7</v>
      </c>
      <c r="Z23">
        <v>30</v>
      </c>
      <c r="AA23">
        <v>39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2570</v>
      </c>
      <c r="K24" s="1">
        <v>2534</v>
      </c>
      <c r="L24" s="1">
        <v>2343</v>
      </c>
      <c r="N24" s="28">
        <v>2570</v>
      </c>
      <c r="O24">
        <v>0</v>
      </c>
      <c r="P24">
        <v>36</v>
      </c>
      <c r="Q24">
        <v>227</v>
      </c>
      <c r="T24" s="31">
        <v>0</v>
      </c>
      <c r="U24" s="31">
        <v>1.4206787687450671E-2</v>
      </c>
      <c r="V24" s="31">
        <v>9.6884336320956041E-2</v>
      </c>
      <c r="W24">
        <f t="shared" si="1"/>
        <v>18</v>
      </c>
      <c r="Z24">
        <v>-8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1869</v>
      </c>
      <c r="K25" s="1">
        <v>1803</v>
      </c>
      <c r="L25" s="1">
        <v>1784</v>
      </c>
      <c r="N25" s="28">
        <v>1940</v>
      </c>
      <c r="O25">
        <v>71</v>
      </c>
      <c r="P25">
        <v>137</v>
      </c>
      <c r="Q25">
        <v>156</v>
      </c>
      <c r="T25" s="31">
        <v>3.7988228999464954E-2</v>
      </c>
      <c r="U25" s="31">
        <v>7.5984470327232392E-2</v>
      </c>
      <c r="V25" s="31">
        <v>8.744394618834081E-2</v>
      </c>
      <c r="W25">
        <f t="shared" si="1"/>
        <v>9</v>
      </c>
      <c r="Z25">
        <v>40</v>
      </c>
      <c r="AA25">
        <v>11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2202</v>
      </c>
      <c r="K26" s="1">
        <v>2212</v>
      </c>
      <c r="L26" s="1">
        <v>2166</v>
      </c>
      <c r="N26" s="28">
        <v>2300</v>
      </c>
      <c r="O26">
        <v>98</v>
      </c>
      <c r="P26">
        <v>88</v>
      </c>
      <c r="Q26">
        <v>134</v>
      </c>
      <c r="T26" s="31">
        <v>4.4504995458673931E-2</v>
      </c>
      <c r="U26" s="31">
        <v>3.9783001808318265E-2</v>
      </c>
      <c r="V26" s="31">
        <v>6.1865189289012003E-2</v>
      </c>
      <c r="W26">
        <f t="shared" si="1"/>
        <v>8</v>
      </c>
      <c r="Z26">
        <v>0</v>
      </c>
      <c r="AA26">
        <v>-41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5854</v>
      </c>
      <c r="K27" s="1">
        <v>6006</v>
      </c>
      <c r="L27" s="1">
        <v>6140</v>
      </c>
      <c r="N27" s="28">
        <v>5820</v>
      </c>
      <c r="O27">
        <v>-34</v>
      </c>
      <c r="P27">
        <v>-186</v>
      </c>
      <c r="Q27">
        <v>-320</v>
      </c>
      <c r="T27" s="31">
        <v>-5.8079945336522035E-3</v>
      </c>
      <c r="U27" s="31">
        <v>-3.0969030969030968E-2</v>
      </c>
      <c r="V27" s="31">
        <v>-5.2117263843648211E-2</v>
      </c>
      <c r="W27">
        <f t="shared" si="1"/>
        <v>22</v>
      </c>
      <c r="Z27">
        <v>20</v>
      </c>
      <c r="AA27">
        <v>20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5254</v>
      </c>
      <c r="K28" s="1">
        <v>5248</v>
      </c>
      <c r="L28" s="1">
        <v>5242</v>
      </c>
      <c r="N28" s="28">
        <v>5160</v>
      </c>
      <c r="O28">
        <v>-94</v>
      </c>
      <c r="P28">
        <v>-88</v>
      </c>
      <c r="Q28">
        <v>-82</v>
      </c>
      <c r="T28" s="31">
        <v>-1.7891130567186907E-2</v>
      </c>
      <c r="U28" s="31">
        <v>-1.676829268292683E-2</v>
      </c>
      <c r="V28" s="31">
        <v>-1.564288439526898E-2</v>
      </c>
      <c r="W28">
        <f t="shared" si="1"/>
        <v>29</v>
      </c>
      <c r="Z28">
        <v>-60</v>
      </c>
      <c r="AA28">
        <v>-48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6378</v>
      </c>
      <c r="K29" s="1">
        <v>6622</v>
      </c>
      <c r="L29" s="1">
        <v>6772</v>
      </c>
      <c r="N29" s="28">
        <v>6580</v>
      </c>
      <c r="O29">
        <v>202</v>
      </c>
      <c r="P29">
        <v>-42</v>
      </c>
      <c r="Q29">
        <v>-192</v>
      </c>
      <c r="T29" s="31">
        <v>3.167137033552838E-2</v>
      </c>
      <c r="U29" s="31">
        <v>-6.3424947145877377E-3</v>
      </c>
      <c r="V29" s="31">
        <v>-2.835203780271707E-2</v>
      </c>
      <c r="W29">
        <f t="shared" si="1"/>
        <v>10</v>
      </c>
      <c r="Z29">
        <v>0</v>
      </c>
      <c r="AA29">
        <v>62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5722</v>
      </c>
      <c r="K30" s="1">
        <v>5716</v>
      </c>
      <c r="L30" s="1">
        <v>5637</v>
      </c>
      <c r="N30" s="28">
        <v>5850</v>
      </c>
      <c r="O30">
        <v>128</v>
      </c>
      <c r="P30">
        <v>134</v>
      </c>
      <c r="Q30">
        <v>213</v>
      </c>
      <c r="T30" s="31">
        <v>2.23698007689619E-2</v>
      </c>
      <c r="U30" s="31">
        <v>2.3442967109867041E-2</v>
      </c>
      <c r="V30" s="31">
        <v>3.778605641298563E-2</v>
      </c>
      <c r="W30">
        <f t="shared" si="1"/>
        <v>12</v>
      </c>
      <c r="Z30">
        <v>-160</v>
      </c>
      <c r="AA30">
        <v>-123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15360</v>
      </c>
      <c r="K31" s="1">
        <v>15835</v>
      </c>
      <c r="L31" s="1">
        <v>16030</v>
      </c>
      <c r="N31" s="28">
        <v>15475</v>
      </c>
      <c r="O31">
        <v>115</v>
      </c>
      <c r="P31">
        <v>-360</v>
      </c>
      <c r="Q31">
        <v>-555</v>
      </c>
      <c r="T31" s="31">
        <v>7.486979166666667E-3</v>
      </c>
      <c r="U31" s="31">
        <v>-2.2734449005367856E-2</v>
      </c>
      <c r="V31" s="31">
        <v>-3.4622582657517158E-2</v>
      </c>
      <c r="W31">
        <f t="shared" si="1"/>
        <v>14</v>
      </c>
      <c r="Z31">
        <v>0</v>
      </c>
      <c r="AA31">
        <v>-185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23070</v>
      </c>
      <c r="K32" s="1">
        <v>23350</v>
      </c>
      <c r="L32" s="1">
        <v>22985</v>
      </c>
      <c r="N32" s="28">
        <v>22950</v>
      </c>
      <c r="O32">
        <v>-120</v>
      </c>
      <c r="P32">
        <v>-400</v>
      </c>
      <c r="Q32">
        <v>-35</v>
      </c>
      <c r="T32" s="31">
        <v>-5.2015604681404422E-3</v>
      </c>
      <c r="U32" s="31">
        <v>-1.7130620985010708E-2</v>
      </c>
      <c r="V32" s="31">
        <v>-1.5227322166630412E-3</v>
      </c>
      <c r="W32">
        <f t="shared" si="1"/>
        <v>21</v>
      </c>
      <c r="Z32">
        <v>50</v>
      </c>
      <c r="AA32">
        <v>330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51740</v>
      </c>
      <c r="K33" s="1">
        <v>51950</v>
      </c>
      <c r="L33" s="1">
        <v>52120</v>
      </c>
      <c r="N33" s="28">
        <v>51490</v>
      </c>
      <c r="O33">
        <v>-250</v>
      </c>
      <c r="P33">
        <v>-460</v>
      </c>
      <c r="Q33">
        <v>-630</v>
      </c>
      <c r="T33" s="31">
        <v>-4.8318515655199068E-3</v>
      </c>
      <c r="U33" s="31">
        <v>-8.8546679499518777E-3</v>
      </c>
      <c r="V33" s="31">
        <v>-1.2087490406753646E-2</v>
      </c>
      <c r="W33">
        <f t="shared" si="1"/>
        <v>20</v>
      </c>
      <c r="Z33">
        <v>-390</v>
      </c>
      <c r="AA33">
        <v>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14130</v>
      </c>
      <c r="K34" s="1">
        <v>14210</v>
      </c>
      <c r="L34" s="1">
        <v>14295</v>
      </c>
      <c r="N34" s="28">
        <v>13930</v>
      </c>
      <c r="O34">
        <v>-200</v>
      </c>
      <c r="P34">
        <v>-280</v>
      </c>
      <c r="Q34">
        <v>-365</v>
      </c>
      <c r="T34" s="31">
        <v>-1.4154281670205236E-2</v>
      </c>
      <c r="U34" s="31">
        <v>-1.9704433497536946E-2</v>
      </c>
      <c r="V34" s="31">
        <v>-2.5533403287862889E-2</v>
      </c>
      <c r="W34">
        <f t="shared" si="1"/>
        <v>26</v>
      </c>
      <c r="Z34">
        <v>-150</v>
      </c>
      <c r="AA34">
        <v>-30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25620</v>
      </c>
      <c r="K35" s="1">
        <v>25660</v>
      </c>
      <c r="L35" s="1">
        <v>25650</v>
      </c>
      <c r="N35" s="28">
        <v>25660</v>
      </c>
      <c r="O35">
        <v>40</v>
      </c>
      <c r="P35">
        <v>0</v>
      </c>
      <c r="Q35">
        <v>10</v>
      </c>
      <c r="T35" s="31">
        <v>1.56128024980484E-3</v>
      </c>
      <c r="U35" s="31">
        <v>0</v>
      </c>
      <c r="V35" s="31">
        <v>3.8986354775828459E-4</v>
      </c>
      <c r="W35">
        <f t="shared" si="1"/>
        <v>16</v>
      </c>
      <c r="Z35">
        <v>-370</v>
      </c>
      <c r="AA35">
        <v>240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101440</v>
      </c>
      <c r="K36" s="1">
        <v>102280</v>
      </c>
      <c r="L36" s="1">
        <v>103530</v>
      </c>
      <c r="N36" s="28">
        <v>100850</v>
      </c>
      <c r="O36">
        <v>-590</v>
      </c>
      <c r="P36">
        <v>-1430</v>
      </c>
      <c r="Q36">
        <v>-2680</v>
      </c>
      <c r="T36" s="31">
        <v>-5.8162460567823347E-3</v>
      </c>
      <c r="U36" s="31">
        <v>-1.3981228001564334E-2</v>
      </c>
      <c r="V36" s="31">
        <v>-2.5886216555587753E-2</v>
      </c>
      <c r="W36">
        <f t="shared" si="1"/>
        <v>23</v>
      </c>
      <c r="Z36">
        <v>50</v>
      </c>
      <c r="AA36">
        <v>790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6019.2</v>
      </c>
      <c r="K37" s="1">
        <v>5985.4000000000005</v>
      </c>
      <c r="L37" s="1">
        <v>5925</v>
      </c>
      <c r="N37" s="28">
        <v>6394.3</v>
      </c>
      <c r="O37">
        <v>375.10000000000036</v>
      </c>
      <c r="P37">
        <v>408.89999999999964</v>
      </c>
      <c r="Q37">
        <v>469.30000000000018</v>
      </c>
      <c r="T37" s="31">
        <v>6.2317251461988368E-2</v>
      </c>
      <c r="U37" s="31">
        <v>6.831623617469168E-2</v>
      </c>
      <c r="V37" s="31">
        <v>7.9206751054852351E-2</v>
      </c>
      <c r="W37">
        <f t="shared" si="1"/>
        <v>6</v>
      </c>
      <c r="Z37">
        <v>0</v>
      </c>
      <c r="AA37">
        <v>16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2856.2000000000003</v>
      </c>
      <c r="K38" s="1">
        <v>2855.4</v>
      </c>
      <c r="L38" s="1">
        <v>2855.8</v>
      </c>
      <c r="N38" s="28">
        <v>3180.33</v>
      </c>
      <c r="O38">
        <v>324.12999999999965</v>
      </c>
      <c r="P38">
        <v>324.92999999999984</v>
      </c>
      <c r="Q38">
        <v>324.52999999999975</v>
      </c>
      <c r="T38" s="31">
        <v>0.11348294937329305</v>
      </c>
      <c r="U38" s="31">
        <v>0.11379491489808777</v>
      </c>
      <c r="V38" s="31">
        <v>0.11363891028783518</v>
      </c>
      <c r="W38">
        <f t="shared" si="1"/>
        <v>1</v>
      </c>
      <c r="Z38">
        <v>0</v>
      </c>
      <c r="AA38">
        <v>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3992</v>
      </c>
      <c r="K39" s="1">
        <v>3985.8</v>
      </c>
      <c r="L39" s="1">
        <v>3972.2000000000003</v>
      </c>
      <c r="N39" s="28">
        <v>4389.8900000000003</v>
      </c>
      <c r="O39">
        <v>397.89000000000033</v>
      </c>
      <c r="P39">
        <v>404.09000000000015</v>
      </c>
      <c r="Q39">
        <v>417.69000000000005</v>
      </c>
      <c r="T39" s="31">
        <v>9.9671843687374834E-2</v>
      </c>
      <c r="U39" s="31">
        <v>0.10138240754679113</v>
      </c>
      <c r="V39" s="31">
        <v>0.10515331554302403</v>
      </c>
      <c r="W39">
        <f t="shared" si="1"/>
        <v>2</v>
      </c>
      <c r="Z39">
        <v>0</v>
      </c>
      <c r="AA39">
        <v>18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R33"/>
  <sheetViews>
    <sheetView workbookViewId="0">
      <selection activeCell="E19" sqref="E19"/>
    </sheetView>
  </sheetViews>
  <sheetFormatPr defaultRowHeight="13.5"/>
  <cols>
    <col min="1" max="5" width="9" customWidth="1"/>
    <col min="6" max="6" width="10.625" customWidth="1"/>
    <col min="7" max="21" width="9" customWidth="1"/>
    <col min="22" max="24" width="9.875" customWidth="1"/>
    <col min="25" max="34" width="10.5" bestFit="1" customWidth="1"/>
  </cols>
  <sheetData>
    <row r="1" spans="1:70">
      <c r="A1" t="s">
        <v>98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</row>
    <row r="2" spans="1:70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2050</v>
      </c>
      <c r="U2">
        <v>2050</v>
      </c>
      <c r="V2">
        <v>2050</v>
      </c>
      <c r="W2">
        <v>2050</v>
      </c>
    </row>
    <row r="3" spans="1:70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1320</v>
      </c>
      <c r="S3">
        <v>1320</v>
      </c>
      <c r="T3">
        <v>1300</v>
      </c>
      <c r="U3">
        <v>1300</v>
      </c>
      <c r="V3">
        <v>1360</v>
      </c>
      <c r="W3">
        <v>1360</v>
      </c>
    </row>
    <row r="4" spans="1:70">
      <c r="A4" t="s">
        <v>4</v>
      </c>
      <c r="B4">
        <v>686</v>
      </c>
      <c r="C4">
        <v>689</v>
      </c>
      <c r="D4">
        <v>700</v>
      </c>
      <c r="E4">
        <v>708</v>
      </c>
      <c r="F4">
        <v>722</v>
      </c>
      <c r="G4">
        <v>728</v>
      </c>
      <c r="H4">
        <v>735</v>
      </c>
      <c r="I4">
        <v>742</v>
      </c>
      <c r="J4">
        <v>742</v>
      </c>
      <c r="K4">
        <v>746</v>
      </c>
      <c r="L4">
        <v>749</v>
      </c>
      <c r="M4">
        <v>749</v>
      </c>
      <c r="N4">
        <v>750</v>
      </c>
      <c r="O4">
        <v>750</v>
      </c>
      <c r="P4">
        <v>750</v>
      </c>
      <c r="Q4">
        <v>768</v>
      </c>
      <c r="R4">
        <v>764</v>
      </c>
      <c r="S4">
        <v>764</v>
      </c>
      <c r="T4">
        <v>760</v>
      </c>
      <c r="U4">
        <v>759</v>
      </c>
      <c r="V4">
        <v>751</v>
      </c>
      <c r="W4">
        <v>750</v>
      </c>
    </row>
    <row r="5" spans="1:70">
      <c r="A5" t="s">
        <v>20</v>
      </c>
      <c r="B5">
        <v>560.5</v>
      </c>
      <c r="C5">
        <v>568</v>
      </c>
      <c r="D5">
        <v>566</v>
      </c>
      <c r="E5">
        <v>569.1</v>
      </c>
      <c r="F5">
        <v>571.20000000000005</v>
      </c>
      <c r="G5">
        <v>565.9</v>
      </c>
      <c r="H5">
        <v>558.29999999999995</v>
      </c>
      <c r="I5">
        <v>551.9</v>
      </c>
      <c r="J5">
        <v>550.79999999999995</v>
      </c>
      <c r="K5">
        <v>549.70000000000005</v>
      </c>
      <c r="L5">
        <v>545.4</v>
      </c>
      <c r="M5">
        <v>544.4</v>
      </c>
      <c r="N5">
        <v>545.4</v>
      </c>
      <c r="O5">
        <v>545.4</v>
      </c>
      <c r="P5">
        <v>546.5</v>
      </c>
      <c r="Q5">
        <v>540.1</v>
      </c>
      <c r="R5">
        <v>536.79999999999995</v>
      </c>
      <c r="S5">
        <v>534.70000000000005</v>
      </c>
      <c r="T5">
        <v>537.9</v>
      </c>
      <c r="U5">
        <v>537.9</v>
      </c>
      <c r="V5">
        <v>534.70000000000005</v>
      </c>
      <c r="W5">
        <v>541.1</v>
      </c>
    </row>
    <row r="6" spans="1:70">
      <c r="A6" t="s">
        <v>12</v>
      </c>
      <c r="B6">
        <v>4206</v>
      </c>
      <c r="C6">
        <v>4226</v>
      </c>
      <c r="D6">
        <v>4226</v>
      </c>
      <c r="E6">
        <v>4226</v>
      </c>
      <c r="F6">
        <v>4226</v>
      </c>
      <c r="G6">
        <v>4196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4020</v>
      </c>
      <c r="V6">
        <v>4020</v>
      </c>
      <c r="W6">
        <v>4020</v>
      </c>
    </row>
    <row r="7" spans="1:70">
      <c r="A7" t="s">
        <v>9</v>
      </c>
      <c r="B7">
        <v>4120</v>
      </c>
      <c r="C7">
        <v>4150</v>
      </c>
      <c r="D7">
        <v>4160</v>
      </c>
      <c r="E7">
        <v>4170</v>
      </c>
      <c r="F7">
        <v>4180</v>
      </c>
      <c r="G7">
        <v>4180</v>
      </c>
      <c r="H7">
        <v>4130</v>
      </c>
      <c r="I7">
        <v>4070</v>
      </c>
      <c r="J7">
        <v>4070</v>
      </c>
      <c r="K7">
        <v>4070</v>
      </c>
      <c r="L7">
        <v>4070</v>
      </c>
      <c r="M7">
        <v>4070</v>
      </c>
      <c r="N7">
        <v>4070</v>
      </c>
      <c r="O7">
        <v>4080</v>
      </c>
      <c r="P7">
        <v>4080</v>
      </c>
      <c r="Q7">
        <v>4080</v>
      </c>
      <c r="R7">
        <v>4080</v>
      </c>
      <c r="S7">
        <v>4080</v>
      </c>
      <c r="T7">
        <v>4090</v>
      </c>
      <c r="U7">
        <v>4090</v>
      </c>
      <c r="V7">
        <v>4120</v>
      </c>
      <c r="W7">
        <v>4120</v>
      </c>
    </row>
    <row r="8" spans="1:70">
      <c r="A8" t="s">
        <v>31</v>
      </c>
      <c r="B8">
        <v>12285</v>
      </c>
      <c r="C8">
        <v>12160</v>
      </c>
      <c r="D8">
        <v>12245</v>
      </c>
      <c r="E8">
        <v>12110</v>
      </c>
      <c r="F8">
        <v>11905</v>
      </c>
      <c r="G8">
        <v>12025</v>
      </c>
      <c r="H8">
        <v>11940</v>
      </c>
      <c r="I8">
        <v>11435</v>
      </c>
      <c r="J8">
        <v>11470</v>
      </c>
      <c r="K8">
        <v>11540</v>
      </c>
      <c r="L8">
        <v>11565</v>
      </c>
      <c r="M8">
        <v>11455</v>
      </c>
      <c r="N8">
        <v>11145</v>
      </c>
      <c r="O8">
        <v>11455</v>
      </c>
      <c r="P8">
        <v>11365</v>
      </c>
      <c r="Q8">
        <v>11515</v>
      </c>
      <c r="R8">
        <v>11520</v>
      </c>
      <c r="S8">
        <v>11545</v>
      </c>
      <c r="T8">
        <v>11415</v>
      </c>
      <c r="U8">
        <v>11960</v>
      </c>
      <c r="V8">
        <v>12000</v>
      </c>
      <c r="W8">
        <v>11920</v>
      </c>
    </row>
    <row r="9" spans="1:70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</row>
    <row r="10" spans="1:70">
      <c r="A10" t="s">
        <v>32</v>
      </c>
      <c r="B10">
        <v>6665</v>
      </c>
      <c r="C10">
        <v>6690</v>
      </c>
      <c r="D10">
        <v>6690</v>
      </c>
      <c r="E10">
        <v>6600</v>
      </c>
      <c r="F10">
        <v>6600</v>
      </c>
      <c r="G10">
        <v>6600</v>
      </c>
      <c r="H10">
        <v>6640</v>
      </c>
      <c r="I10">
        <v>6650</v>
      </c>
      <c r="J10">
        <v>6485</v>
      </c>
      <c r="K10">
        <v>6580</v>
      </c>
      <c r="L10">
        <v>6600</v>
      </c>
      <c r="M10">
        <v>6650</v>
      </c>
      <c r="N10">
        <v>6650</v>
      </c>
      <c r="O10">
        <v>6670</v>
      </c>
      <c r="P10">
        <v>6640</v>
      </c>
      <c r="Q10">
        <v>6700</v>
      </c>
      <c r="R10">
        <v>6620</v>
      </c>
      <c r="S10">
        <v>6730</v>
      </c>
      <c r="T10">
        <v>6715</v>
      </c>
      <c r="U10">
        <v>6735</v>
      </c>
      <c r="V10">
        <v>6760</v>
      </c>
      <c r="W10">
        <v>6665</v>
      </c>
    </row>
    <row r="11" spans="1:70">
      <c r="A11" t="s">
        <v>21</v>
      </c>
      <c r="B11">
        <v>9425</v>
      </c>
      <c r="C11">
        <v>9455</v>
      </c>
      <c r="D11">
        <v>9470</v>
      </c>
      <c r="E11">
        <v>9335</v>
      </c>
      <c r="F11">
        <v>9320</v>
      </c>
      <c r="G11">
        <v>9425</v>
      </c>
      <c r="H11">
        <v>9495</v>
      </c>
      <c r="I11">
        <v>9470</v>
      </c>
      <c r="J11">
        <v>9405</v>
      </c>
      <c r="K11">
        <v>9365</v>
      </c>
      <c r="L11">
        <v>9395</v>
      </c>
      <c r="M11">
        <v>9390</v>
      </c>
      <c r="N11">
        <v>9420</v>
      </c>
      <c r="O11">
        <v>9565</v>
      </c>
      <c r="P11">
        <v>9550</v>
      </c>
      <c r="Q11">
        <v>9600</v>
      </c>
      <c r="R11">
        <v>9640</v>
      </c>
      <c r="S11">
        <v>9645</v>
      </c>
      <c r="T11">
        <v>9725</v>
      </c>
      <c r="U11">
        <v>9850</v>
      </c>
      <c r="V11">
        <v>9865</v>
      </c>
      <c r="W11">
        <v>9830</v>
      </c>
    </row>
    <row r="12" spans="1:70">
      <c r="A12" t="s">
        <v>33</v>
      </c>
      <c r="B12">
        <v>9060</v>
      </c>
      <c r="C12">
        <v>9117</v>
      </c>
      <c r="D12">
        <v>9100</v>
      </c>
      <c r="E12">
        <v>9060</v>
      </c>
      <c r="F12">
        <v>9041</v>
      </c>
      <c r="G12">
        <v>9087</v>
      </c>
      <c r="H12">
        <v>9165</v>
      </c>
      <c r="I12">
        <v>9174</v>
      </c>
      <c r="J12">
        <v>9200</v>
      </c>
      <c r="K12">
        <v>9108</v>
      </c>
      <c r="L12">
        <v>9094</v>
      </c>
      <c r="M12">
        <v>9156</v>
      </c>
      <c r="N12">
        <v>9127</v>
      </c>
      <c r="O12">
        <v>9281</v>
      </c>
      <c r="P12">
        <v>9370</v>
      </c>
      <c r="Q12">
        <v>9378</v>
      </c>
      <c r="R12">
        <v>9343</v>
      </c>
      <c r="S12">
        <v>9339</v>
      </c>
      <c r="T12">
        <v>9443</v>
      </c>
      <c r="U12">
        <v>9477</v>
      </c>
      <c r="V12">
        <v>9490</v>
      </c>
      <c r="W12">
        <v>9501</v>
      </c>
    </row>
    <row r="13" spans="1:70">
      <c r="A13" t="s">
        <v>13</v>
      </c>
      <c r="B13">
        <v>5936</v>
      </c>
      <c r="C13">
        <v>6000</v>
      </c>
      <c r="D13">
        <v>5901</v>
      </c>
      <c r="E13">
        <v>5947</v>
      </c>
      <c r="F13">
        <v>5981</v>
      </c>
      <c r="G13">
        <v>5984</v>
      </c>
      <c r="H13">
        <v>5910</v>
      </c>
      <c r="I13">
        <v>5890</v>
      </c>
      <c r="J13">
        <v>5620</v>
      </c>
      <c r="K13">
        <v>5632</v>
      </c>
      <c r="L13">
        <v>5618</v>
      </c>
      <c r="M13">
        <v>5615</v>
      </c>
      <c r="N13">
        <v>5610</v>
      </c>
      <c r="O13">
        <v>5629</v>
      </c>
      <c r="P13">
        <v>5616</v>
      </c>
      <c r="Q13">
        <v>5623</v>
      </c>
      <c r="R13">
        <v>5643</v>
      </c>
      <c r="S13">
        <v>5638</v>
      </c>
      <c r="T13">
        <v>5649</v>
      </c>
      <c r="U13">
        <v>5621</v>
      </c>
      <c r="V13">
        <v>5698</v>
      </c>
      <c r="W13">
        <v>5685</v>
      </c>
    </row>
    <row r="14" spans="1:70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2650</v>
      </c>
      <c r="O14">
        <v>2650</v>
      </c>
      <c r="P14">
        <v>2650</v>
      </c>
      <c r="Q14">
        <v>2650</v>
      </c>
      <c r="R14">
        <v>2600</v>
      </c>
      <c r="S14">
        <v>2600</v>
      </c>
      <c r="T14">
        <v>2600</v>
      </c>
      <c r="U14">
        <v>2600</v>
      </c>
      <c r="V14">
        <v>2600</v>
      </c>
      <c r="W14">
        <v>2400</v>
      </c>
    </row>
    <row r="15" spans="1:70">
      <c r="A15" t="s">
        <v>6</v>
      </c>
      <c r="B15">
        <v>2600</v>
      </c>
      <c r="C15">
        <v>2630</v>
      </c>
      <c r="D15">
        <v>2650</v>
      </c>
      <c r="E15">
        <v>2700</v>
      </c>
      <c r="F15">
        <v>2700</v>
      </c>
      <c r="G15">
        <v>2700</v>
      </c>
      <c r="H15">
        <v>2750</v>
      </c>
      <c r="I15">
        <v>2750</v>
      </c>
      <c r="J15">
        <v>2800</v>
      </c>
      <c r="K15">
        <v>2800</v>
      </c>
      <c r="L15">
        <v>2800</v>
      </c>
      <c r="M15">
        <v>2800</v>
      </c>
      <c r="N15">
        <v>2800</v>
      </c>
      <c r="O15">
        <v>2820</v>
      </c>
      <c r="P15">
        <v>2850</v>
      </c>
      <c r="Q15">
        <v>2950</v>
      </c>
      <c r="R15">
        <v>2990</v>
      </c>
      <c r="S15">
        <v>2990</v>
      </c>
      <c r="T15">
        <v>3010</v>
      </c>
      <c r="U15">
        <v>3050</v>
      </c>
      <c r="V15">
        <v>3100</v>
      </c>
      <c r="W15">
        <v>3100</v>
      </c>
    </row>
    <row r="16" spans="1:70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</row>
    <row r="17" spans="1:23">
      <c r="A17" t="s">
        <v>11</v>
      </c>
      <c r="B17">
        <v>3270</v>
      </c>
      <c r="C17">
        <v>3230</v>
      </c>
      <c r="D17">
        <v>3090</v>
      </c>
      <c r="E17">
        <v>3070</v>
      </c>
      <c r="F17">
        <v>3060</v>
      </c>
      <c r="G17">
        <v>3060</v>
      </c>
      <c r="H17">
        <v>3010</v>
      </c>
      <c r="I17">
        <v>3020</v>
      </c>
      <c r="J17">
        <v>2920</v>
      </c>
      <c r="K17">
        <v>2920</v>
      </c>
      <c r="L17">
        <v>2890</v>
      </c>
      <c r="M17">
        <v>2860</v>
      </c>
      <c r="N17">
        <v>2860</v>
      </c>
      <c r="O17">
        <v>2860</v>
      </c>
      <c r="P17">
        <v>2820</v>
      </c>
      <c r="Q17">
        <v>2830</v>
      </c>
      <c r="R17">
        <v>2840</v>
      </c>
      <c r="S17">
        <v>2850</v>
      </c>
      <c r="T17">
        <v>2850</v>
      </c>
      <c r="U17">
        <v>2850</v>
      </c>
      <c r="V17">
        <v>2830</v>
      </c>
      <c r="W17">
        <v>2830</v>
      </c>
    </row>
    <row r="18" spans="1:23">
      <c r="A18" t="s">
        <v>23</v>
      </c>
      <c r="B18">
        <v>2564</v>
      </c>
      <c r="C18">
        <v>2600</v>
      </c>
      <c r="D18">
        <v>2466</v>
      </c>
      <c r="E18">
        <v>2461</v>
      </c>
      <c r="F18">
        <v>2431</v>
      </c>
      <c r="G18">
        <v>2441</v>
      </c>
      <c r="H18">
        <v>2430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2290</v>
      </c>
      <c r="O18">
        <v>2270</v>
      </c>
      <c r="P18">
        <v>2280</v>
      </c>
      <c r="Q18">
        <v>2280</v>
      </c>
      <c r="R18">
        <v>2290</v>
      </c>
      <c r="S18">
        <v>2300</v>
      </c>
      <c r="T18">
        <v>2300</v>
      </c>
      <c r="U18">
        <v>2290</v>
      </c>
      <c r="V18">
        <v>2270</v>
      </c>
      <c r="W18">
        <v>2250</v>
      </c>
    </row>
    <row r="19" spans="1:23">
      <c r="A19" t="s">
        <v>14</v>
      </c>
      <c r="B19">
        <v>1940</v>
      </c>
      <c r="C19">
        <v>1900</v>
      </c>
      <c r="D19">
        <v>1900</v>
      </c>
      <c r="E19">
        <v>1890</v>
      </c>
      <c r="F19">
        <v>1890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1850</v>
      </c>
      <c r="S19">
        <v>1850</v>
      </c>
      <c r="T19">
        <v>1850</v>
      </c>
      <c r="U19">
        <v>1850</v>
      </c>
      <c r="V19">
        <v>1850</v>
      </c>
      <c r="W19">
        <v>1850</v>
      </c>
    </row>
    <row r="20" spans="1:23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2250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2250</v>
      </c>
    </row>
    <row r="21" spans="1:23">
      <c r="A21" t="s">
        <v>34</v>
      </c>
      <c r="B21">
        <v>5820</v>
      </c>
      <c r="C21">
        <v>5800</v>
      </c>
      <c r="D21">
        <v>5720</v>
      </c>
      <c r="E21">
        <v>5720</v>
      </c>
      <c r="F21">
        <v>5730</v>
      </c>
      <c r="G21">
        <v>5740</v>
      </c>
      <c r="H21">
        <v>5670</v>
      </c>
      <c r="I21">
        <v>5630</v>
      </c>
      <c r="J21">
        <v>5590</v>
      </c>
      <c r="K21">
        <v>5590</v>
      </c>
      <c r="L21">
        <v>5590</v>
      </c>
      <c r="M21">
        <v>5590</v>
      </c>
      <c r="N21">
        <v>5550</v>
      </c>
      <c r="O21">
        <v>5570</v>
      </c>
      <c r="P21">
        <v>5490</v>
      </c>
      <c r="Q21">
        <v>5470</v>
      </c>
      <c r="R21">
        <v>5530</v>
      </c>
      <c r="S21">
        <v>5530</v>
      </c>
      <c r="T21">
        <v>5550</v>
      </c>
      <c r="U21">
        <v>5560</v>
      </c>
      <c r="V21">
        <v>5620</v>
      </c>
      <c r="W21">
        <v>5600</v>
      </c>
    </row>
    <row r="22" spans="1:23">
      <c r="A22" t="s">
        <v>25</v>
      </c>
      <c r="B22">
        <v>5160</v>
      </c>
      <c r="C22">
        <v>5220</v>
      </c>
      <c r="D22">
        <v>5230</v>
      </c>
      <c r="E22">
        <v>5220</v>
      </c>
      <c r="F22">
        <v>5210</v>
      </c>
      <c r="G22">
        <v>5220</v>
      </c>
      <c r="H22">
        <v>5160</v>
      </c>
      <c r="I22">
        <v>5090</v>
      </c>
      <c r="J22">
        <v>5060</v>
      </c>
      <c r="K22">
        <v>5060</v>
      </c>
      <c r="L22">
        <v>5060</v>
      </c>
      <c r="M22">
        <v>5070</v>
      </c>
      <c r="N22">
        <v>5030</v>
      </c>
      <c r="O22">
        <v>5040</v>
      </c>
      <c r="P22">
        <v>5040</v>
      </c>
      <c r="Q22">
        <v>5010</v>
      </c>
      <c r="R22">
        <v>5030</v>
      </c>
      <c r="S22">
        <v>5030</v>
      </c>
      <c r="T22">
        <v>5100</v>
      </c>
      <c r="U22">
        <v>5090</v>
      </c>
      <c r="V22">
        <v>5150</v>
      </c>
      <c r="W22">
        <v>5140</v>
      </c>
    </row>
    <row r="23" spans="1:23">
      <c r="A23" t="s">
        <v>16</v>
      </c>
      <c r="B23">
        <v>6580</v>
      </c>
      <c r="C23">
        <v>6580</v>
      </c>
      <c r="D23">
        <v>6490</v>
      </c>
      <c r="E23">
        <v>6510</v>
      </c>
      <c r="F23">
        <v>6540</v>
      </c>
      <c r="G23">
        <v>6540</v>
      </c>
      <c r="H23">
        <v>6520</v>
      </c>
      <c r="I23">
        <v>6420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6520</v>
      </c>
      <c r="U23">
        <v>6540</v>
      </c>
      <c r="V23">
        <v>6600</v>
      </c>
      <c r="W23">
        <v>6618</v>
      </c>
    </row>
    <row r="24" spans="1:23">
      <c r="A24" t="s">
        <v>10</v>
      </c>
      <c r="B24">
        <v>5850</v>
      </c>
      <c r="C24">
        <v>6010</v>
      </c>
      <c r="D24">
        <v>6010</v>
      </c>
      <c r="E24">
        <v>6010</v>
      </c>
      <c r="F24">
        <v>5910</v>
      </c>
      <c r="G24">
        <v>5910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5790</v>
      </c>
      <c r="S24">
        <v>5970</v>
      </c>
      <c r="T24">
        <v>5970</v>
      </c>
      <c r="U24">
        <v>5970</v>
      </c>
      <c r="V24">
        <v>5970</v>
      </c>
      <c r="W24">
        <v>5970</v>
      </c>
    </row>
    <row r="25" spans="1:23">
      <c r="A25" t="s">
        <v>35</v>
      </c>
      <c r="B25">
        <v>15475</v>
      </c>
      <c r="C25">
        <v>15475</v>
      </c>
      <c r="D25">
        <v>15465</v>
      </c>
      <c r="E25">
        <v>15465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</row>
    <row r="26" spans="1:23">
      <c r="A26" t="s">
        <v>24</v>
      </c>
      <c r="B26">
        <v>22950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23100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</row>
    <row r="27" spans="1:23">
      <c r="A27" t="s">
        <v>36</v>
      </c>
      <c r="B27">
        <v>51760</v>
      </c>
      <c r="C27">
        <v>51950</v>
      </c>
      <c r="D27">
        <v>52040</v>
      </c>
      <c r="E27">
        <v>52420</v>
      </c>
      <c r="F27">
        <v>52910</v>
      </c>
      <c r="G27">
        <v>52940</v>
      </c>
      <c r="H27">
        <v>52930</v>
      </c>
      <c r="I27">
        <v>52280</v>
      </c>
      <c r="J27">
        <v>52240</v>
      </c>
      <c r="K27">
        <v>51680</v>
      </c>
      <c r="L27">
        <v>51310</v>
      </c>
      <c r="M27">
        <v>51300</v>
      </c>
      <c r="N27">
        <v>51630</v>
      </c>
      <c r="O27">
        <v>52870</v>
      </c>
      <c r="P27">
        <v>52610</v>
      </c>
      <c r="Q27">
        <v>52720</v>
      </c>
      <c r="R27">
        <v>52870</v>
      </c>
      <c r="S27">
        <v>52840</v>
      </c>
      <c r="T27">
        <v>52680</v>
      </c>
      <c r="U27">
        <v>53180</v>
      </c>
      <c r="V27">
        <v>53400</v>
      </c>
      <c r="W27">
        <v>53210</v>
      </c>
    </row>
    <row r="28" spans="1:23">
      <c r="A28" t="s">
        <v>22</v>
      </c>
      <c r="B28">
        <v>13930</v>
      </c>
      <c r="C28">
        <v>14100</v>
      </c>
      <c r="D28">
        <v>14130</v>
      </c>
      <c r="E28">
        <v>14010</v>
      </c>
      <c r="F28">
        <v>13930</v>
      </c>
      <c r="G28">
        <v>13890</v>
      </c>
      <c r="H28">
        <v>13920</v>
      </c>
      <c r="I28">
        <v>13670</v>
      </c>
      <c r="J28">
        <v>14010</v>
      </c>
      <c r="K28">
        <v>14130</v>
      </c>
      <c r="L28">
        <v>13840</v>
      </c>
      <c r="M28">
        <v>13930</v>
      </c>
      <c r="N28">
        <v>14060</v>
      </c>
      <c r="O28">
        <v>14060</v>
      </c>
      <c r="P28">
        <v>14080</v>
      </c>
      <c r="Q28">
        <v>14110</v>
      </c>
      <c r="R28">
        <v>14200</v>
      </c>
      <c r="S28">
        <v>14150</v>
      </c>
      <c r="T28">
        <v>14230</v>
      </c>
      <c r="U28">
        <v>14370</v>
      </c>
      <c r="V28">
        <v>14490</v>
      </c>
      <c r="W28">
        <v>14460</v>
      </c>
    </row>
    <row r="29" spans="1:23">
      <c r="A29" t="s">
        <v>37</v>
      </c>
      <c r="B29">
        <v>25930</v>
      </c>
      <c r="C29">
        <v>26090</v>
      </c>
      <c r="D29">
        <v>26330</v>
      </c>
      <c r="E29">
        <v>26300</v>
      </c>
      <c r="F29">
        <v>26600</v>
      </c>
      <c r="G29">
        <v>26530</v>
      </c>
      <c r="H29">
        <v>26460</v>
      </c>
      <c r="I29">
        <v>26200</v>
      </c>
      <c r="J29">
        <v>26430</v>
      </c>
      <c r="K29">
        <v>26010</v>
      </c>
      <c r="L29">
        <v>26040</v>
      </c>
      <c r="M29">
        <v>26120</v>
      </c>
      <c r="N29">
        <v>26200</v>
      </c>
      <c r="O29">
        <v>26580</v>
      </c>
      <c r="P29">
        <v>26550</v>
      </c>
      <c r="Q29">
        <v>26680</v>
      </c>
      <c r="R29">
        <v>26720</v>
      </c>
      <c r="S29">
        <v>26690</v>
      </c>
      <c r="T29">
        <v>26620</v>
      </c>
      <c r="U29">
        <v>26900</v>
      </c>
      <c r="V29">
        <v>27090</v>
      </c>
      <c r="W29">
        <v>26120</v>
      </c>
    </row>
    <row r="30" spans="1:23">
      <c r="A30" t="s">
        <v>38</v>
      </c>
      <c r="B30">
        <v>101650</v>
      </c>
      <c r="C30">
        <v>101650</v>
      </c>
      <c r="D30">
        <v>103400</v>
      </c>
      <c r="E30">
        <v>104150</v>
      </c>
      <c r="F30">
        <v>104400</v>
      </c>
      <c r="G30">
        <v>103500</v>
      </c>
      <c r="H30">
        <v>103600</v>
      </c>
      <c r="I30">
        <v>102000</v>
      </c>
      <c r="J30">
        <v>102000</v>
      </c>
      <c r="K30">
        <v>100150</v>
      </c>
      <c r="L30">
        <v>99200</v>
      </c>
      <c r="M30">
        <v>99150</v>
      </c>
      <c r="N30">
        <v>100100</v>
      </c>
      <c r="O30">
        <v>102050</v>
      </c>
      <c r="P30">
        <v>100550</v>
      </c>
      <c r="Q30">
        <v>100450</v>
      </c>
      <c r="R30">
        <v>104050</v>
      </c>
      <c r="S30">
        <v>101500</v>
      </c>
      <c r="T30">
        <v>101250</v>
      </c>
      <c r="U30">
        <v>104700</v>
      </c>
      <c r="V30">
        <v>105250</v>
      </c>
      <c r="W30">
        <v>102650</v>
      </c>
    </row>
    <row r="31" spans="1:23">
      <c r="A31" t="s">
        <v>18</v>
      </c>
      <c r="B31">
        <v>6053.72</v>
      </c>
      <c r="C31">
        <v>6066.36</v>
      </c>
      <c r="D31">
        <v>6074.76</v>
      </c>
      <c r="E31">
        <v>6015.75</v>
      </c>
      <c r="F31">
        <v>6019.58</v>
      </c>
      <c r="G31">
        <v>5997.89</v>
      </c>
      <c r="H31">
        <v>5866.1900000000005</v>
      </c>
      <c r="I31">
        <v>5861.9800000000005</v>
      </c>
      <c r="J31">
        <v>5725.01</v>
      </c>
      <c r="K31">
        <v>5771.31</v>
      </c>
      <c r="L31">
        <v>5678.88</v>
      </c>
      <c r="M31">
        <v>5578.25</v>
      </c>
      <c r="N31">
        <v>5753.6900000000005</v>
      </c>
      <c r="O31">
        <v>5761.72</v>
      </c>
      <c r="P31">
        <v>5768.41</v>
      </c>
      <c r="Q31">
        <v>6006.29</v>
      </c>
      <c r="R31">
        <v>5951.5</v>
      </c>
      <c r="S31">
        <v>5993.61</v>
      </c>
      <c r="T31">
        <v>6221.07</v>
      </c>
      <c r="U31">
        <v>6312.22</v>
      </c>
      <c r="V31">
        <v>6317.81</v>
      </c>
      <c r="W31">
        <v>6395.12</v>
      </c>
    </row>
    <row r="32" spans="1:23">
      <c r="A32" t="s">
        <v>19</v>
      </c>
      <c r="B32">
        <v>2860.08</v>
      </c>
      <c r="C32">
        <v>2869.27</v>
      </c>
      <c r="D32">
        <v>2888.11</v>
      </c>
      <c r="E32">
        <v>2877.51</v>
      </c>
      <c r="F32">
        <v>2933.13</v>
      </c>
      <c r="G32">
        <v>2958.42</v>
      </c>
      <c r="H32">
        <v>2939.9</v>
      </c>
      <c r="I32">
        <v>2920.82</v>
      </c>
      <c r="J32">
        <v>2844.05</v>
      </c>
      <c r="K32">
        <v>2864.44</v>
      </c>
      <c r="L32">
        <v>2799.9</v>
      </c>
      <c r="M32">
        <v>2776.68</v>
      </c>
      <c r="N32">
        <v>2948.39</v>
      </c>
      <c r="O32">
        <v>3079.78</v>
      </c>
      <c r="P32">
        <v>3100.98</v>
      </c>
      <c r="Q32">
        <v>3158.59</v>
      </c>
      <c r="R32">
        <v>3113.83</v>
      </c>
      <c r="S32">
        <v>3108.82</v>
      </c>
      <c r="T32">
        <v>3107.4900000000002</v>
      </c>
      <c r="U32">
        <v>3090.38</v>
      </c>
      <c r="V32">
        <v>3155.62</v>
      </c>
      <c r="W32">
        <v>3179.03</v>
      </c>
    </row>
    <row r="33" spans="1:23">
      <c r="A33" t="s">
        <v>39</v>
      </c>
      <c r="B33">
        <v>4010.76</v>
      </c>
      <c r="C33">
        <v>4023.7000000000003</v>
      </c>
      <c r="D33">
        <v>4043.6800000000003</v>
      </c>
      <c r="E33">
        <v>4015.94</v>
      </c>
      <c r="F33">
        <v>4066.29</v>
      </c>
      <c r="G33">
        <v>4099.1099999999997</v>
      </c>
      <c r="H33">
        <v>4054.59</v>
      </c>
      <c r="I33">
        <v>4041.96</v>
      </c>
      <c r="J33">
        <v>3933.26</v>
      </c>
      <c r="K33">
        <v>3960.62</v>
      </c>
      <c r="L33">
        <v>3876.21</v>
      </c>
      <c r="M33">
        <v>3820.05</v>
      </c>
      <c r="N33">
        <v>4007.36</v>
      </c>
      <c r="O33">
        <v>4121.72</v>
      </c>
      <c r="P33">
        <v>4141.7700000000004</v>
      </c>
      <c r="Q33">
        <v>4262.5600000000004</v>
      </c>
      <c r="R33">
        <v>4229.25</v>
      </c>
      <c r="S33">
        <v>4215.93</v>
      </c>
      <c r="T33">
        <v>4274.78</v>
      </c>
      <c r="U33">
        <v>4270.07</v>
      </c>
      <c r="V33">
        <v>4332.51</v>
      </c>
      <c r="W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H33"/>
  <sheetViews>
    <sheetView workbookViewId="0">
      <selection activeCell="B30" sqref="B30"/>
    </sheetView>
  </sheetViews>
  <sheetFormatPr defaultRowHeight="13.5"/>
  <cols>
    <col min="6" max="6" width="10.25" customWidth="1"/>
    <col min="7" max="7" width="10.375" customWidth="1"/>
    <col min="21" max="21" width="11" customWidth="1"/>
    <col min="22" max="22" width="9.875" customWidth="1"/>
    <col min="23" max="23" width="11" customWidth="1"/>
    <col min="24" max="24" width="9.75" customWidth="1"/>
    <col min="25" max="25" width="12.375" customWidth="1"/>
    <col min="26" max="34" width="10.5" bestFit="1" customWidth="1"/>
  </cols>
  <sheetData>
    <row r="1" spans="1:34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  <c r="X1" s="11">
        <v>43125</v>
      </c>
      <c r="Y1" s="11"/>
      <c r="Z1" s="11"/>
      <c r="AA1" s="11"/>
      <c r="AB1" s="11"/>
      <c r="AC1" s="11"/>
      <c r="AD1" s="11"/>
      <c r="AE1" s="11"/>
      <c r="AF1" s="11"/>
      <c r="AG1" s="11"/>
      <c r="AH1" s="11"/>
    </row>
    <row r="2" spans="1:34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2050</v>
      </c>
      <c r="U2">
        <v>2050</v>
      </c>
      <c r="V2">
        <v>2050</v>
      </c>
      <c r="W2">
        <v>2050</v>
      </c>
      <c r="X2">
        <v>2050</v>
      </c>
      <c r="Y2" s="28"/>
    </row>
    <row r="3" spans="1:34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1320</v>
      </c>
      <c r="S3">
        <v>1320</v>
      </c>
      <c r="T3">
        <v>1300</v>
      </c>
      <c r="U3">
        <v>1300</v>
      </c>
      <c r="V3">
        <v>1360</v>
      </c>
      <c r="W3">
        <v>1360</v>
      </c>
      <c r="X3">
        <v>1360</v>
      </c>
      <c r="Y3" s="28"/>
    </row>
    <row r="4" spans="1:34">
      <c r="A4" t="s">
        <v>4</v>
      </c>
      <c r="B4">
        <v>686</v>
      </c>
      <c r="C4">
        <v>689</v>
      </c>
      <c r="D4">
        <v>700</v>
      </c>
      <c r="E4">
        <v>708</v>
      </c>
      <c r="F4">
        <v>722</v>
      </c>
      <c r="G4">
        <v>728</v>
      </c>
      <c r="H4">
        <v>735</v>
      </c>
      <c r="I4">
        <v>746</v>
      </c>
      <c r="J4">
        <v>746</v>
      </c>
      <c r="K4">
        <v>746</v>
      </c>
      <c r="L4">
        <v>750</v>
      </c>
      <c r="M4">
        <v>750</v>
      </c>
      <c r="N4">
        <v>750</v>
      </c>
      <c r="O4">
        <v>750</v>
      </c>
      <c r="P4">
        <v>768</v>
      </c>
      <c r="Q4">
        <v>768</v>
      </c>
      <c r="R4">
        <v>764</v>
      </c>
      <c r="S4">
        <v>764</v>
      </c>
      <c r="T4">
        <v>760</v>
      </c>
      <c r="U4">
        <v>759</v>
      </c>
      <c r="V4">
        <v>751</v>
      </c>
      <c r="W4">
        <v>750</v>
      </c>
      <c r="X4">
        <v>745</v>
      </c>
      <c r="Y4" s="28"/>
    </row>
    <row r="5" spans="1:34">
      <c r="A5" t="s">
        <v>20</v>
      </c>
      <c r="B5">
        <v>560.5</v>
      </c>
      <c r="C5">
        <v>568</v>
      </c>
      <c r="D5">
        <v>566</v>
      </c>
      <c r="E5">
        <v>569.1</v>
      </c>
      <c r="F5">
        <v>571.20000000000005</v>
      </c>
      <c r="G5">
        <v>565.9</v>
      </c>
      <c r="H5">
        <v>558.29999999999995</v>
      </c>
      <c r="I5">
        <v>549.70000000000005</v>
      </c>
      <c r="J5">
        <v>549.70000000000005</v>
      </c>
      <c r="K5">
        <v>549.70000000000005</v>
      </c>
      <c r="L5">
        <v>545.4</v>
      </c>
      <c r="M5">
        <v>545.4</v>
      </c>
      <c r="N5">
        <v>545.4</v>
      </c>
      <c r="O5">
        <v>545.4</v>
      </c>
      <c r="P5">
        <v>540.1</v>
      </c>
      <c r="Q5">
        <v>540.1</v>
      </c>
      <c r="R5">
        <v>536.79999999999995</v>
      </c>
      <c r="S5">
        <v>534.70000000000005</v>
      </c>
      <c r="T5">
        <v>537.9</v>
      </c>
      <c r="U5">
        <v>537.9</v>
      </c>
      <c r="V5">
        <v>534.70000000000005</v>
      </c>
      <c r="W5">
        <v>541.1</v>
      </c>
      <c r="X5">
        <v>535.79999999999995</v>
      </c>
      <c r="Y5" s="28"/>
    </row>
    <row r="6" spans="1:34">
      <c r="A6" t="s">
        <v>12</v>
      </c>
      <c r="B6">
        <v>4206</v>
      </c>
      <c r="C6">
        <v>4226</v>
      </c>
      <c r="D6">
        <v>4226</v>
      </c>
      <c r="E6">
        <v>4226</v>
      </c>
      <c r="F6">
        <v>4226</v>
      </c>
      <c r="G6">
        <v>4216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4020</v>
      </c>
      <c r="V6">
        <v>4020</v>
      </c>
      <c r="W6">
        <v>4020</v>
      </c>
      <c r="X6">
        <v>4020</v>
      </c>
      <c r="Y6" s="28"/>
    </row>
    <row r="7" spans="1:34">
      <c r="A7" t="s">
        <v>9</v>
      </c>
      <c r="B7">
        <v>4120</v>
      </c>
      <c r="C7">
        <v>4140</v>
      </c>
      <c r="D7">
        <v>4160</v>
      </c>
      <c r="E7">
        <v>4170</v>
      </c>
      <c r="F7">
        <v>4180</v>
      </c>
      <c r="G7">
        <v>4180</v>
      </c>
      <c r="H7">
        <v>4130</v>
      </c>
      <c r="I7">
        <v>4070</v>
      </c>
      <c r="J7">
        <v>4070</v>
      </c>
      <c r="K7">
        <v>4070</v>
      </c>
      <c r="L7">
        <v>4070</v>
      </c>
      <c r="M7">
        <v>4070</v>
      </c>
      <c r="N7">
        <v>4070</v>
      </c>
      <c r="O7">
        <v>4080</v>
      </c>
      <c r="P7">
        <v>4080</v>
      </c>
      <c r="Q7">
        <v>4080</v>
      </c>
      <c r="R7">
        <v>4080</v>
      </c>
      <c r="S7">
        <v>4080</v>
      </c>
      <c r="T7">
        <v>4090</v>
      </c>
      <c r="U7">
        <v>4090</v>
      </c>
      <c r="V7">
        <v>4120</v>
      </c>
      <c r="W7">
        <v>4120</v>
      </c>
      <c r="X7">
        <v>4120</v>
      </c>
      <c r="Y7" s="28"/>
    </row>
    <row r="8" spans="1:34">
      <c r="A8" t="s">
        <v>31</v>
      </c>
      <c r="B8">
        <v>12255</v>
      </c>
      <c r="C8">
        <v>12160</v>
      </c>
      <c r="D8">
        <v>12210</v>
      </c>
      <c r="E8">
        <v>12230</v>
      </c>
      <c r="F8">
        <v>11985</v>
      </c>
      <c r="G8">
        <v>12025</v>
      </c>
      <c r="H8">
        <v>11950</v>
      </c>
      <c r="I8">
        <v>11500</v>
      </c>
      <c r="J8">
        <v>11540</v>
      </c>
      <c r="K8">
        <v>11540</v>
      </c>
      <c r="L8">
        <v>11520</v>
      </c>
      <c r="M8">
        <v>11450</v>
      </c>
      <c r="N8">
        <v>11390</v>
      </c>
      <c r="O8">
        <v>11455</v>
      </c>
      <c r="P8">
        <v>11385</v>
      </c>
      <c r="Q8">
        <v>11755</v>
      </c>
      <c r="R8">
        <v>11520</v>
      </c>
      <c r="S8">
        <v>11545</v>
      </c>
      <c r="T8">
        <v>11620</v>
      </c>
      <c r="U8">
        <v>11695</v>
      </c>
      <c r="V8">
        <v>11970</v>
      </c>
      <c r="W8">
        <v>11970</v>
      </c>
      <c r="X8">
        <v>11855</v>
      </c>
      <c r="Y8" s="28"/>
    </row>
    <row r="9" spans="1:34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 s="28"/>
    </row>
    <row r="10" spans="1:34">
      <c r="A10" t="s">
        <v>32</v>
      </c>
      <c r="B10">
        <v>6665</v>
      </c>
      <c r="C10">
        <v>6690</v>
      </c>
      <c r="D10">
        <v>6690</v>
      </c>
      <c r="E10">
        <v>6600</v>
      </c>
      <c r="F10">
        <v>6600</v>
      </c>
      <c r="G10">
        <v>6600</v>
      </c>
      <c r="H10">
        <v>6640</v>
      </c>
      <c r="I10">
        <v>6470</v>
      </c>
      <c r="J10">
        <v>6470</v>
      </c>
      <c r="K10">
        <v>6555</v>
      </c>
      <c r="L10">
        <v>6650</v>
      </c>
      <c r="M10">
        <v>6650</v>
      </c>
      <c r="N10">
        <v>6650</v>
      </c>
      <c r="O10">
        <v>6670</v>
      </c>
      <c r="P10">
        <v>6700</v>
      </c>
      <c r="Q10">
        <v>6700</v>
      </c>
      <c r="R10">
        <v>6620</v>
      </c>
      <c r="S10">
        <v>6730</v>
      </c>
      <c r="T10">
        <v>6715</v>
      </c>
      <c r="U10">
        <v>6735</v>
      </c>
      <c r="V10">
        <v>6760</v>
      </c>
      <c r="W10">
        <v>6665</v>
      </c>
      <c r="X10">
        <v>6715</v>
      </c>
      <c r="Y10" s="28"/>
    </row>
    <row r="11" spans="1:34">
      <c r="A11" t="s">
        <v>21</v>
      </c>
      <c r="B11">
        <v>9390</v>
      </c>
      <c r="C11">
        <v>9455</v>
      </c>
      <c r="D11">
        <v>9480</v>
      </c>
      <c r="E11">
        <v>9335</v>
      </c>
      <c r="F11">
        <v>9320</v>
      </c>
      <c r="G11">
        <v>9425</v>
      </c>
      <c r="H11">
        <v>9520</v>
      </c>
      <c r="I11">
        <v>9420</v>
      </c>
      <c r="J11">
        <v>9465</v>
      </c>
      <c r="K11">
        <v>9350</v>
      </c>
      <c r="L11">
        <v>9370</v>
      </c>
      <c r="M11">
        <v>9425</v>
      </c>
      <c r="N11">
        <v>9470</v>
      </c>
      <c r="O11">
        <v>9545</v>
      </c>
      <c r="P11">
        <v>9540</v>
      </c>
      <c r="Q11">
        <v>9600</v>
      </c>
      <c r="R11">
        <v>9577</v>
      </c>
      <c r="S11">
        <v>9645</v>
      </c>
      <c r="T11">
        <v>9715</v>
      </c>
      <c r="U11">
        <v>9850</v>
      </c>
      <c r="V11">
        <v>9865</v>
      </c>
      <c r="W11">
        <v>9830</v>
      </c>
      <c r="X11">
        <v>9830</v>
      </c>
      <c r="Y11" s="28"/>
    </row>
    <row r="12" spans="1:34">
      <c r="A12" t="s">
        <v>33</v>
      </c>
      <c r="B12">
        <v>9042</v>
      </c>
      <c r="C12">
        <v>9117</v>
      </c>
      <c r="D12">
        <v>9100</v>
      </c>
      <c r="E12">
        <v>9049</v>
      </c>
      <c r="F12">
        <v>9041</v>
      </c>
      <c r="G12">
        <v>9081</v>
      </c>
      <c r="H12">
        <v>9172</v>
      </c>
      <c r="I12">
        <v>9157</v>
      </c>
      <c r="J12">
        <v>9251</v>
      </c>
      <c r="K12">
        <v>9129</v>
      </c>
      <c r="L12">
        <v>9128</v>
      </c>
      <c r="M12">
        <v>9164</v>
      </c>
      <c r="N12">
        <v>9164</v>
      </c>
      <c r="O12">
        <v>9231</v>
      </c>
      <c r="P12">
        <v>9351</v>
      </c>
      <c r="Q12">
        <v>9378</v>
      </c>
      <c r="R12">
        <v>9300</v>
      </c>
      <c r="S12">
        <v>9339</v>
      </c>
      <c r="T12">
        <v>9452</v>
      </c>
      <c r="U12">
        <v>9477</v>
      </c>
      <c r="V12">
        <v>9499</v>
      </c>
      <c r="W12">
        <v>9446</v>
      </c>
      <c r="X12">
        <v>9460</v>
      </c>
      <c r="Y12" s="28"/>
    </row>
    <row r="13" spans="1:34">
      <c r="A13" t="s">
        <v>13</v>
      </c>
      <c r="B13">
        <v>5936</v>
      </c>
      <c r="C13">
        <v>6000</v>
      </c>
      <c r="D13">
        <v>5901</v>
      </c>
      <c r="E13">
        <v>5947</v>
      </c>
      <c r="F13">
        <v>5981</v>
      </c>
      <c r="G13">
        <v>5984</v>
      </c>
      <c r="H13">
        <v>5904</v>
      </c>
      <c r="I13">
        <v>5879</v>
      </c>
      <c r="J13">
        <v>5632</v>
      </c>
      <c r="K13">
        <v>5632</v>
      </c>
      <c r="L13">
        <v>5606</v>
      </c>
      <c r="M13">
        <v>5612</v>
      </c>
      <c r="N13">
        <v>5620</v>
      </c>
      <c r="O13">
        <v>5650</v>
      </c>
      <c r="P13">
        <v>5622</v>
      </c>
      <c r="Q13">
        <v>5623</v>
      </c>
      <c r="R13">
        <v>5630</v>
      </c>
      <c r="S13">
        <v>5638</v>
      </c>
      <c r="T13">
        <v>5665</v>
      </c>
      <c r="U13">
        <v>5621</v>
      </c>
      <c r="V13">
        <v>5700</v>
      </c>
      <c r="W13">
        <v>5701</v>
      </c>
      <c r="X13">
        <v>5725</v>
      </c>
      <c r="Y13" s="28"/>
    </row>
    <row r="14" spans="1:34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2650</v>
      </c>
      <c r="P14">
        <v>2650</v>
      </c>
      <c r="Q14">
        <v>2650</v>
      </c>
      <c r="R14">
        <v>2600</v>
      </c>
      <c r="S14">
        <v>2600</v>
      </c>
      <c r="T14">
        <v>2600</v>
      </c>
      <c r="U14">
        <v>2600</v>
      </c>
      <c r="V14">
        <v>2600</v>
      </c>
      <c r="W14">
        <v>2450</v>
      </c>
      <c r="X14">
        <v>2400</v>
      </c>
      <c r="Y14" s="28"/>
    </row>
    <row r="15" spans="1:34">
      <c r="A15" t="s">
        <v>6</v>
      </c>
      <c r="B15">
        <v>2600</v>
      </c>
      <c r="C15">
        <v>2630</v>
      </c>
      <c r="D15">
        <v>2650</v>
      </c>
      <c r="E15">
        <v>2700</v>
      </c>
      <c r="F15">
        <v>2700</v>
      </c>
      <c r="G15">
        <v>2750</v>
      </c>
      <c r="H15">
        <v>2750</v>
      </c>
      <c r="I15">
        <v>2800</v>
      </c>
      <c r="J15">
        <v>2800</v>
      </c>
      <c r="K15">
        <v>2800</v>
      </c>
      <c r="L15">
        <v>2800</v>
      </c>
      <c r="M15">
        <v>2800</v>
      </c>
      <c r="N15">
        <v>2800</v>
      </c>
      <c r="O15">
        <v>2820</v>
      </c>
      <c r="P15">
        <v>2830</v>
      </c>
      <c r="Q15">
        <v>2950</v>
      </c>
      <c r="R15">
        <v>2950</v>
      </c>
      <c r="S15">
        <v>2990</v>
      </c>
      <c r="T15">
        <v>2990</v>
      </c>
      <c r="U15">
        <v>3000</v>
      </c>
      <c r="V15">
        <v>3100</v>
      </c>
      <c r="W15">
        <v>3100</v>
      </c>
      <c r="X15">
        <v>3100</v>
      </c>
      <c r="Y15" s="28"/>
    </row>
    <row r="16" spans="1:3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 s="28"/>
    </row>
    <row r="17" spans="1:25">
      <c r="A17" t="s">
        <v>11</v>
      </c>
      <c r="B17">
        <v>3260</v>
      </c>
      <c r="C17">
        <v>3230</v>
      </c>
      <c r="D17">
        <v>3120</v>
      </c>
      <c r="E17">
        <v>3070</v>
      </c>
      <c r="F17">
        <v>3060</v>
      </c>
      <c r="G17">
        <v>3060</v>
      </c>
      <c r="H17">
        <v>3010</v>
      </c>
      <c r="I17">
        <v>2920</v>
      </c>
      <c r="J17">
        <v>2920</v>
      </c>
      <c r="K17">
        <v>2920</v>
      </c>
      <c r="L17">
        <v>2870</v>
      </c>
      <c r="M17">
        <v>2870</v>
      </c>
      <c r="N17">
        <v>2860</v>
      </c>
      <c r="O17">
        <v>2860</v>
      </c>
      <c r="P17">
        <v>2820</v>
      </c>
      <c r="Q17">
        <v>2830</v>
      </c>
      <c r="R17">
        <v>2840</v>
      </c>
      <c r="S17">
        <v>2860</v>
      </c>
      <c r="T17">
        <v>2850</v>
      </c>
      <c r="U17">
        <v>2850</v>
      </c>
      <c r="V17">
        <v>2830</v>
      </c>
      <c r="W17">
        <v>2830</v>
      </c>
      <c r="X17">
        <v>2840</v>
      </c>
      <c r="Y17" s="28"/>
    </row>
    <row r="18" spans="1:25">
      <c r="A18" t="s">
        <v>23</v>
      </c>
      <c r="B18">
        <v>2570</v>
      </c>
      <c r="C18">
        <v>2578</v>
      </c>
      <c r="D18">
        <v>2476</v>
      </c>
      <c r="E18">
        <v>2461</v>
      </c>
      <c r="F18">
        <v>2433</v>
      </c>
      <c r="G18">
        <v>2440</v>
      </c>
      <c r="H18">
        <v>2430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2270</v>
      </c>
      <c r="Q18">
        <v>2280</v>
      </c>
      <c r="R18">
        <v>2270</v>
      </c>
      <c r="S18">
        <v>2290</v>
      </c>
      <c r="T18">
        <v>2300</v>
      </c>
      <c r="U18">
        <v>2290</v>
      </c>
      <c r="V18">
        <v>2300</v>
      </c>
      <c r="W18">
        <v>2250</v>
      </c>
      <c r="X18">
        <v>2250</v>
      </c>
      <c r="Y18" s="28"/>
    </row>
    <row r="19" spans="1:25">
      <c r="A19" t="s">
        <v>14</v>
      </c>
      <c r="B19">
        <v>1940</v>
      </c>
      <c r="C19">
        <v>1900</v>
      </c>
      <c r="D19">
        <v>1900</v>
      </c>
      <c r="E19">
        <v>1890</v>
      </c>
      <c r="F19">
        <v>1890</v>
      </c>
      <c r="G19">
        <v>1890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1850</v>
      </c>
      <c r="S19">
        <v>1850</v>
      </c>
      <c r="T19">
        <v>1850</v>
      </c>
      <c r="U19">
        <v>1850</v>
      </c>
      <c r="V19">
        <v>1850</v>
      </c>
      <c r="W19">
        <v>1850</v>
      </c>
      <c r="X19">
        <v>1840</v>
      </c>
      <c r="Y19" s="28"/>
    </row>
    <row r="20" spans="1:25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2250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2250</v>
      </c>
      <c r="X20">
        <v>2250</v>
      </c>
      <c r="Y20" s="28"/>
    </row>
    <row r="21" spans="1:25">
      <c r="A21" t="s">
        <v>34</v>
      </c>
      <c r="B21">
        <v>5820</v>
      </c>
      <c r="C21">
        <v>5800</v>
      </c>
      <c r="D21">
        <v>5720</v>
      </c>
      <c r="E21">
        <v>5720</v>
      </c>
      <c r="F21">
        <v>5730</v>
      </c>
      <c r="G21">
        <v>5740</v>
      </c>
      <c r="H21">
        <v>5670</v>
      </c>
      <c r="I21">
        <v>5590</v>
      </c>
      <c r="J21">
        <v>5590</v>
      </c>
      <c r="K21">
        <v>5590</v>
      </c>
      <c r="L21">
        <v>5590</v>
      </c>
      <c r="M21">
        <v>5590</v>
      </c>
      <c r="N21">
        <v>5550</v>
      </c>
      <c r="O21">
        <v>5570</v>
      </c>
      <c r="P21">
        <v>5470</v>
      </c>
      <c r="Q21">
        <v>5470</v>
      </c>
      <c r="R21">
        <v>5530</v>
      </c>
      <c r="S21">
        <v>5530</v>
      </c>
      <c r="T21">
        <v>5550</v>
      </c>
      <c r="U21">
        <v>5560</v>
      </c>
      <c r="V21">
        <v>5600</v>
      </c>
      <c r="W21">
        <v>5600</v>
      </c>
      <c r="X21">
        <v>5600</v>
      </c>
      <c r="Y21" s="28"/>
    </row>
    <row r="22" spans="1:25">
      <c r="A22" t="s">
        <v>25</v>
      </c>
      <c r="B22">
        <v>5160</v>
      </c>
      <c r="C22">
        <v>5220</v>
      </c>
      <c r="D22">
        <v>5230</v>
      </c>
      <c r="E22">
        <v>5220</v>
      </c>
      <c r="F22">
        <v>5210</v>
      </c>
      <c r="G22">
        <v>5220</v>
      </c>
      <c r="H22">
        <v>5160</v>
      </c>
      <c r="I22">
        <v>5090</v>
      </c>
      <c r="J22">
        <v>5060</v>
      </c>
      <c r="K22">
        <v>5060</v>
      </c>
      <c r="L22">
        <v>5060</v>
      </c>
      <c r="M22">
        <v>5060</v>
      </c>
      <c r="N22">
        <v>5030</v>
      </c>
      <c r="O22">
        <v>5040</v>
      </c>
      <c r="P22">
        <v>5020</v>
      </c>
      <c r="Q22">
        <v>5020</v>
      </c>
      <c r="R22">
        <v>5010</v>
      </c>
      <c r="S22">
        <v>5030</v>
      </c>
      <c r="T22">
        <v>5100</v>
      </c>
      <c r="U22">
        <v>5090</v>
      </c>
      <c r="V22">
        <v>5160</v>
      </c>
      <c r="W22">
        <v>5140</v>
      </c>
      <c r="X22">
        <v>5120</v>
      </c>
      <c r="Y22" s="28"/>
    </row>
    <row r="23" spans="1:25">
      <c r="A23" t="s">
        <v>16</v>
      </c>
      <c r="B23">
        <v>6580</v>
      </c>
      <c r="C23">
        <v>6580</v>
      </c>
      <c r="D23">
        <v>6490</v>
      </c>
      <c r="E23">
        <v>6510</v>
      </c>
      <c r="F23">
        <v>6540</v>
      </c>
      <c r="G23">
        <v>6540</v>
      </c>
      <c r="H23">
        <v>6520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6520</v>
      </c>
      <c r="U23">
        <v>6540</v>
      </c>
      <c r="V23">
        <v>6600</v>
      </c>
      <c r="W23">
        <v>6608</v>
      </c>
      <c r="X23">
        <v>6580</v>
      </c>
      <c r="Y23" s="28"/>
    </row>
    <row r="24" spans="1:25">
      <c r="A24" t="s">
        <v>10</v>
      </c>
      <c r="B24">
        <v>5850</v>
      </c>
      <c r="C24">
        <v>6010</v>
      </c>
      <c r="D24">
        <v>6010</v>
      </c>
      <c r="E24">
        <v>6010</v>
      </c>
      <c r="F24">
        <v>5910</v>
      </c>
      <c r="G24">
        <v>5910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5970</v>
      </c>
      <c r="S24">
        <v>5970</v>
      </c>
      <c r="T24">
        <v>5970</v>
      </c>
      <c r="U24">
        <v>5970</v>
      </c>
      <c r="V24">
        <v>5970</v>
      </c>
      <c r="W24">
        <v>5970</v>
      </c>
      <c r="X24">
        <v>5970</v>
      </c>
      <c r="Y24" s="28"/>
    </row>
    <row r="25" spans="1:25">
      <c r="A25" t="s">
        <v>35</v>
      </c>
      <c r="B25">
        <v>15475</v>
      </c>
      <c r="C25">
        <v>15475</v>
      </c>
      <c r="D25">
        <v>15465</v>
      </c>
      <c r="E25">
        <v>15465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 s="28"/>
    </row>
    <row r="26" spans="1:25">
      <c r="A26" t="s">
        <v>24</v>
      </c>
      <c r="B26">
        <v>22950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23100</v>
      </c>
      <c r="Q26">
        <v>23100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 s="28"/>
    </row>
    <row r="27" spans="1:25">
      <c r="A27" t="s">
        <v>36</v>
      </c>
      <c r="B27">
        <v>51490</v>
      </c>
      <c r="C27">
        <v>51880</v>
      </c>
      <c r="D27">
        <v>52040</v>
      </c>
      <c r="E27">
        <v>52420</v>
      </c>
      <c r="F27">
        <v>52910</v>
      </c>
      <c r="G27">
        <v>52870</v>
      </c>
      <c r="H27">
        <v>52930</v>
      </c>
      <c r="I27">
        <v>51680</v>
      </c>
      <c r="J27">
        <v>51680</v>
      </c>
      <c r="K27">
        <v>51680</v>
      </c>
      <c r="L27">
        <v>51040</v>
      </c>
      <c r="M27">
        <v>51040</v>
      </c>
      <c r="N27">
        <v>51560</v>
      </c>
      <c r="O27">
        <v>52250</v>
      </c>
      <c r="P27">
        <v>52340</v>
      </c>
      <c r="Q27">
        <v>52610</v>
      </c>
      <c r="R27">
        <v>52810</v>
      </c>
      <c r="S27">
        <v>52840</v>
      </c>
      <c r="T27">
        <v>52680</v>
      </c>
      <c r="U27">
        <v>52490</v>
      </c>
      <c r="V27">
        <v>53400</v>
      </c>
      <c r="W27">
        <v>53190</v>
      </c>
      <c r="X27">
        <v>53560</v>
      </c>
      <c r="Y27" s="28"/>
    </row>
    <row r="28" spans="1:25">
      <c r="A28" t="s">
        <v>22</v>
      </c>
      <c r="B28">
        <v>13930</v>
      </c>
      <c r="C28">
        <v>14080</v>
      </c>
      <c r="D28">
        <v>14130</v>
      </c>
      <c r="E28">
        <v>14010</v>
      </c>
      <c r="F28">
        <v>13930</v>
      </c>
      <c r="G28">
        <v>13870</v>
      </c>
      <c r="H28">
        <v>13920</v>
      </c>
      <c r="I28">
        <v>14130</v>
      </c>
      <c r="J28">
        <v>14130</v>
      </c>
      <c r="K28">
        <v>14130</v>
      </c>
      <c r="L28">
        <v>13930</v>
      </c>
      <c r="M28">
        <v>13930</v>
      </c>
      <c r="N28">
        <v>14000</v>
      </c>
      <c r="O28">
        <v>14040</v>
      </c>
      <c r="P28">
        <v>14010</v>
      </c>
      <c r="Q28">
        <v>14090</v>
      </c>
      <c r="R28">
        <v>14200</v>
      </c>
      <c r="S28">
        <v>14150</v>
      </c>
      <c r="T28">
        <v>14230</v>
      </c>
      <c r="U28">
        <v>14290</v>
      </c>
      <c r="V28">
        <v>14490</v>
      </c>
      <c r="W28">
        <v>14450</v>
      </c>
      <c r="X28">
        <v>14550</v>
      </c>
      <c r="Y28" s="28"/>
    </row>
    <row r="29" spans="1:25">
      <c r="A29" t="s">
        <v>37</v>
      </c>
      <c r="B29">
        <v>25660</v>
      </c>
      <c r="C29">
        <v>26030</v>
      </c>
      <c r="D29">
        <v>26330</v>
      </c>
      <c r="E29">
        <v>26300</v>
      </c>
      <c r="F29">
        <v>26600</v>
      </c>
      <c r="G29">
        <v>26500</v>
      </c>
      <c r="H29">
        <v>26460</v>
      </c>
      <c r="I29">
        <v>26010</v>
      </c>
      <c r="J29">
        <v>26010</v>
      </c>
      <c r="K29">
        <v>26010</v>
      </c>
      <c r="L29">
        <v>25850</v>
      </c>
      <c r="M29">
        <v>25850</v>
      </c>
      <c r="N29">
        <v>26120</v>
      </c>
      <c r="O29">
        <v>26350</v>
      </c>
      <c r="P29">
        <v>26350</v>
      </c>
      <c r="Q29">
        <v>26620</v>
      </c>
      <c r="R29">
        <v>26650</v>
      </c>
      <c r="S29">
        <v>26690</v>
      </c>
      <c r="T29">
        <v>26620</v>
      </c>
      <c r="U29">
        <v>26650</v>
      </c>
      <c r="V29">
        <v>27090</v>
      </c>
      <c r="W29">
        <v>26100</v>
      </c>
      <c r="X29">
        <v>26240</v>
      </c>
      <c r="Y29" s="28"/>
    </row>
    <row r="30" spans="1:25">
      <c r="A30" t="s">
        <v>38</v>
      </c>
      <c r="B30">
        <v>100850</v>
      </c>
      <c r="C30">
        <v>100800</v>
      </c>
      <c r="D30">
        <v>103400</v>
      </c>
      <c r="E30">
        <v>104150</v>
      </c>
      <c r="F30">
        <v>104400</v>
      </c>
      <c r="G30">
        <v>103450</v>
      </c>
      <c r="H30">
        <v>103600</v>
      </c>
      <c r="I30">
        <v>100150</v>
      </c>
      <c r="J30">
        <v>100150</v>
      </c>
      <c r="K30">
        <v>100150</v>
      </c>
      <c r="L30">
        <v>97850</v>
      </c>
      <c r="M30">
        <v>97850</v>
      </c>
      <c r="N30">
        <v>99500</v>
      </c>
      <c r="O30">
        <v>100750</v>
      </c>
      <c r="P30">
        <v>99900</v>
      </c>
      <c r="Q30">
        <v>99850</v>
      </c>
      <c r="R30">
        <v>103700</v>
      </c>
      <c r="S30">
        <v>101500</v>
      </c>
      <c r="T30">
        <v>101250</v>
      </c>
      <c r="U30">
        <v>102300</v>
      </c>
      <c r="V30">
        <v>105250</v>
      </c>
      <c r="W30">
        <v>102150</v>
      </c>
      <c r="X30">
        <v>102750</v>
      </c>
      <c r="Y30" s="28"/>
    </row>
    <row r="31" spans="1:25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6382.72</v>
      </c>
      <c r="Y31" s="28"/>
    </row>
    <row r="32" spans="1:25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3157.46</v>
      </c>
      <c r="Y32" s="28"/>
    </row>
    <row r="33" spans="1:25">
      <c r="A33" t="s">
        <v>39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4365.08</v>
      </c>
      <c r="Y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上证50</v>
      </c>
      <c r="B2" s="28"/>
      <c r="C2" s="1">
        <f>VLOOKUP($A2,期货数据!$A$8:$AA$99,14,0)</f>
        <v>3180.33</v>
      </c>
      <c r="D2" s="1">
        <f>VLOOKUP($A2,期货数据!$A$8:$AA$99,26,0)</f>
        <v>0</v>
      </c>
      <c r="E2" s="1" t="str">
        <f>IFERROR(VLOOKUP(A2,手动输入表!$F$2:$J$99,4,0),"无")</f>
        <v>无</v>
      </c>
      <c r="F2" s="1">
        <f>IFERROR(VLOOKUP(A2,手动输入表!$F$2:$J$99,5,0),0)</f>
        <v>0</v>
      </c>
      <c r="G2" s="1">
        <f>VLOOKUP($A2,期货数据!$A$8:$AA$99,15,0)</f>
        <v>324.12999999999965</v>
      </c>
      <c r="H2">
        <f>VLOOKUP($A2,期货数据!$A$8:$AA$99,27,0)</f>
        <v>5</v>
      </c>
      <c r="I2" s="31">
        <f>VLOOKUP($A2,期货数据!$A$8:$AA$99,20,0)</f>
        <v>0.11348294937329305</v>
      </c>
      <c r="J2" s="31"/>
      <c r="K2" s="31"/>
      <c r="L2" s="31"/>
      <c r="M2" s="30">
        <f>VLOOKUP($A2,期货数据!$A$8:$AA$99,14,0)</f>
        <v>3180.33</v>
      </c>
      <c r="N2" s="30">
        <f>VLOOKUP($A2,期货数据!$A$8:$AA$99,10,0)</f>
        <v>2856.2000000000003</v>
      </c>
      <c r="O2" s="30">
        <f>VLOOKUP($A2,期货数据!$A$8:$AA$99,11,0)</f>
        <v>2855.4</v>
      </c>
      <c r="P2" s="30">
        <f>VLOOKUP($A2,期货数据!$A$8:$AA$99,12,0)</f>
        <v>2855.8</v>
      </c>
    </row>
    <row r="3" spans="1:16">
      <c r="A3" t="str">
        <f>INDEX(期货数据!$A$8:$A$99,MATCH(ROW()-1,期货数据!$W$8:$W$99,0))</f>
        <v>沪深300</v>
      </c>
      <c r="B3" s="28"/>
      <c r="C3" s="1">
        <f>VLOOKUP($A3,期货数据!$A$8:$AA$99,14,0)</f>
        <v>4389.8900000000003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397.89000000000033</v>
      </c>
      <c r="H3">
        <f>VLOOKUP($A3,期货数据!$A$8:$AA$99,27,0)</f>
        <v>18</v>
      </c>
      <c r="I3" s="31">
        <f>VLOOKUP($A3,期货数据!$A$8:$AA$99,20,0)</f>
        <v>9.9671843687374834E-2</v>
      </c>
      <c r="M3" s="30">
        <f>VLOOKUP($A3,期货数据!$A$8:$AA$99,14,0)</f>
        <v>4389.8900000000003</v>
      </c>
      <c r="N3" s="30">
        <f>VLOOKUP($A3,期货数据!$A$8:$AA$99,10,0)</f>
        <v>3992</v>
      </c>
      <c r="O3" s="30">
        <f>VLOOKUP($A3,期货数据!$A$8:$AA$99,11,0)</f>
        <v>3985.8</v>
      </c>
      <c r="P3" s="30">
        <f>VLOOKUP($A3,期货数据!$A$8:$AA$99,12,0)</f>
        <v>3972.2000000000003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686</v>
      </c>
      <c r="D4" s="1">
        <f>VLOOKUP($A4,期货数据!$A$8:$AA$99,26,0)</f>
        <v>-3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61.799999999999955</v>
      </c>
      <c r="H4">
        <f>VLOOKUP($A4,期货数据!$A$8:$AA$99,27,0)</f>
        <v>5.1999999999999318</v>
      </c>
      <c r="I4" s="31">
        <f>VLOOKUP($A4,期货数据!$A$8:$AA$99,20,0)</f>
        <v>9.9006728612624079E-2</v>
      </c>
      <c r="M4" s="30">
        <f>VLOOKUP($A4,期货数据!$A$8:$AA$99,14,0)</f>
        <v>686</v>
      </c>
      <c r="N4" s="30">
        <f>VLOOKUP($A4,期货数据!$A$8:$AA$99,10,0)</f>
        <v>624.20000000000005</v>
      </c>
      <c r="O4" s="30">
        <f>VLOOKUP($A4,期货数据!$A$8:$AA$99,11,0)</f>
        <v>620.4</v>
      </c>
      <c r="P4" s="30">
        <f>VLOOKUP($A4,期货数据!$A$8:$AA$99,12,0)</f>
        <v>625.80000000000007</v>
      </c>
    </row>
    <row r="5" spans="1:16">
      <c r="A5" t="str">
        <f>INDEX(期货数据!$A$8:$A$99,MATCH(ROW()-1,期货数据!$W$8:$W$99,0))</f>
        <v>铁矿石</v>
      </c>
      <c r="B5" s="28"/>
      <c r="C5" s="1">
        <f>VLOOKUP($A5,期货数据!$A$8:$AA$99,14,0)</f>
        <v>560.5</v>
      </c>
      <c r="D5" s="1">
        <f>VLOOKUP($A5,期货数据!$A$8:$AA$99,26,0)</f>
        <v>-7.5</v>
      </c>
      <c r="E5" s="1" t="str">
        <f>IFERROR(VLOOKUP(A5,手动输入表!$F$2:$J$99,4,0),"无")</f>
        <v>青岛港</v>
      </c>
      <c r="F5" s="1">
        <f>IFERROR(VLOOKUP(A5,手动输入表!$F$2:$J$99,5,0),0)</f>
        <v>0</v>
      </c>
      <c r="G5" s="1">
        <f>VLOOKUP($A5,期货数据!$A$8:$AA$99,15,0)</f>
        <v>40.5</v>
      </c>
      <c r="H5">
        <f>VLOOKUP($A5,期货数据!$A$8:$AA$99,27,0)</f>
        <v>11.5</v>
      </c>
      <c r="I5" s="31">
        <f>VLOOKUP($A5,期货数据!$A$8:$AA$99,20,0)</f>
        <v>7.7884615384615385E-2</v>
      </c>
      <c r="M5" s="30">
        <f>VLOOKUP($A5,期货数据!$A$8:$AA$99,14,0)</f>
        <v>560.5</v>
      </c>
      <c r="N5" s="30">
        <f>VLOOKUP($A5,期货数据!$A$8:$AA$99,10,0)</f>
        <v>520</v>
      </c>
      <c r="O5" s="30">
        <f>VLOOKUP($A5,期货数据!$A$8:$AA$99,11,0)</f>
        <v>538</v>
      </c>
      <c r="P5" s="30">
        <f>VLOOKUP($A5,期货数据!$A$8:$AA$99,12,0)</f>
        <v>520.5</v>
      </c>
    </row>
    <row r="6" spans="1:16">
      <c r="A6" t="str">
        <f>INDEX(期货数据!$A$8:$A$99,MATCH(ROW()-1,期货数据!$W$8:$W$99,0))</f>
        <v>螺纹钢</v>
      </c>
      <c r="B6" s="28"/>
      <c r="C6" s="1">
        <f>VLOOKUP($A6,期货数据!$A$8:$AA$99,14,0)</f>
        <v>4206</v>
      </c>
      <c r="D6" s="1">
        <f>VLOOKUP($A6,期货数据!$A$8:$AA$99,26,0)</f>
        <v>-20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249</v>
      </c>
      <c r="H6">
        <f>VLOOKUP($A6,期货数据!$A$8:$AA$99,27,0)</f>
        <v>47</v>
      </c>
      <c r="I6" s="31">
        <f>VLOOKUP($A6,期货数据!$A$8:$AA$99,20,0)</f>
        <v>6.2926459438968921E-2</v>
      </c>
      <c r="M6" s="30">
        <f>VLOOKUP($A6,期货数据!$A$8:$AA$99,14,0)</f>
        <v>4206</v>
      </c>
      <c r="N6" s="30">
        <f>VLOOKUP($A6,期货数据!$A$8:$AA$99,10,0)</f>
        <v>3957</v>
      </c>
      <c r="O6" s="30">
        <f>VLOOKUP($A6,期货数据!$A$8:$AA$99,11,0)</f>
        <v>3826</v>
      </c>
      <c r="P6" s="30">
        <f>VLOOKUP($A6,期货数据!$A$8:$AA$99,12,0)</f>
        <v>3754</v>
      </c>
    </row>
    <row r="7" spans="1:16">
      <c r="A7" t="str">
        <f>INDEX(期货数据!$A$8:$A$99,MATCH(ROW()-1,期货数据!$W$8:$W$99,0))</f>
        <v>中证500</v>
      </c>
      <c r="B7" s="28"/>
      <c r="C7" s="1">
        <f>VLOOKUP($A7,期货数据!$A$8:$AA$99,14,0)</f>
        <v>6394.3</v>
      </c>
      <c r="D7" s="1">
        <f>VLOOKUP($A7,期货数据!$A$8:$AA$99,26,0)</f>
        <v>0</v>
      </c>
      <c r="E7" s="1" t="str">
        <f>IFERROR(VLOOKUP(A7,手动输入表!$F$2:$J$99,4,0),"无")</f>
        <v>无</v>
      </c>
      <c r="F7" s="1">
        <f>IFERROR(VLOOKUP(A7,手动输入表!$F$2:$J$99,5,0),0)</f>
        <v>0</v>
      </c>
      <c r="G7" s="1">
        <f>VLOOKUP($A7,期货数据!$A$8:$AA$99,15,0)</f>
        <v>375.10000000000036</v>
      </c>
      <c r="H7">
        <f>VLOOKUP($A7,期货数据!$A$8:$AA$99,27,0)</f>
        <v>16</v>
      </c>
      <c r="I7" s="31">
        <f>VLOOKUP($A7,期货数据!$A$8:$AA$99,20,0)</f>
        <v>6.2317251461988368E-2</v>
      </c>
      <c r="M7" s="30">
        <f>VLOOKUP($A7,期货数据!$A$8:$AA$99,14,0)</f>
        <v>6394.3</v>
      </c>
      <c r="N7" s="30">
        <f>VLOOKUP($A7,期货数据!$A$8:$AA$99,10,0)</f>
        <v>6019.2</v>
      </c>
      <c r="O7" s="30">
        <f>VLOOKUP($A7,期货数据!$A$8:$AA$99,11,0)</f>
        <v>5985.4000000000005</v>
      </c>
      <c r="P7" s="30">
        <f>VLOOKUP($A7,期货数据!$A$8:$AA$99,12,0)</f>
        <v>5925</v>
      </c>
    </row>
    <row r="8" spans="1:16">
      <c r="A8" t="str">
        <f>INDEX(期货数据!$A$8:$A$99,MATCH(ROW()-1,期货数据!$W$8:$W$99,0))</f>
        <v>豆粕</v>
      </c>
      <c r="B8" s="28"/>
      <c r="C8" s="1">
        <f>VLOOKUP($A8,期货数据!$A$8:$AA$99,14,0)</f>
        <v>3260</v>
      </c>
      <c r="D8" s="1">
        <f>VLOOKUP($A8,期货数据!$A$8:$AA$99,26,0)</f>
        <v>30</v>
      </c>
      <c r="E8" s="1" t="str">
        <f>IFERROR(VLOOKUP(A8,手动输入表!$F$2:$J$99,4,0),"无")</f>
        <v>东莞</v>
      </c>
      <c r="F8" s="1">
        <f>IFERROR(VLOOKUP(A8,手动输入表!$F$2:$J$99,5,0),0)</f>
        <v>0</v>
      </c>
      <c r="G8" s="1">
        <f>VLOOKUP($A8,期货数据!$A$8:$AA$99,15,0)</f>
        <v>140</v>
      </c>
      <c r="H8">
        <f>VLOOKUP($A8,期货数据!$A$8:$AA$99,27,0)</f>
        <v>39</v>
      </c>
      <c r="I8" s="31">
        <f>VLOOKUP($A8,期货数据!$A$8:$AA$99,20,0)</f>
        <v>4.4871794871794872E-2</v>
      </c>
      <c r="M8" s="30">
        <f>VLOOKUP($A8,期货数据!$A$8:$AA$99,14,0)</f>
        <v>3260</v>
      </c>
      <c r="N8" s="30">
        <f>VLOOKUP($A8,期货数据!$A$8:$AA$99,10,0)</f>
        <v>3120</v>
      </c>
      <c r="O8" s="30">
        <f>VLOOKUP($A8,期货数据!$A$8:$AA$99,11,0)</f>
        <v>3057</v>
      </c>
      <c r="P8" s="30">
        <f>VLOOKUP($A8,期货数据!$A$8:$AA$99,12,0)</f>
        <v>2955</v>
      </c>
    </row>
    <row r="9" spans="1:16">
      <c r="A9" t="str">
        <f>INDEX(期货数据!$A$8:$A$99,MATCH(ROW()-1,期货数据!$W$8:$W$99,0))</f>
        <v>淀粉</v>
      </c>
      <c r="B9" s="28"/>
      <c r="C9" s="1">
        <f>VLOOKUP($A9,期货数据!$A$8:$AA$99,14,0)</f>
        <v>2300</v>
      </c>
      <c r="D9" s="1">
        <f>VLOOKUP($A9,期货数据!$A$8:$AA$99,26,0)</f>
        <v>0</v>
      </c>
      <c r="E9" s="1" t="str">
        <f>IFERROR(VLOOKUP(A9,手动输入表!$F$2:$J$99,4,0),"无")</f>
        <v>东北</v>
      </c>
      <c r="F9" s="1">
        <f>IFERROR(VLOOKUP(A9,手动输入表!$F$2:$J$99,5,0),0)</f>
        <v>0</v>
      </c>
      <c r="G9" s="1">
        <f>VLOOKUP($A9,期货数据!$A$8:$AA$99,15,0)</f>
        <v>98</v>
      </c>
      <c r="H9">
        <f>VLOOKUP($A9,期货数据!$A$8:$AA$99,27,0)</f>
        <v>-41</v>
      </c>
      <c r="I9" s="31">
        <f>VLOOKUP($A9,期货数据!$A$8:$AA$99,20,0)</f>
        <v>4.4504995458673931E-2</v>
      </c>
      <c r="M9" s="30">
        <f>VLOOKUP($A9,期货数据!$A$8:$AA$99,14,0)</f>
        <v>2300</v>
      </c>
      <c r="N9" s="30">
        <f>VLOOKUP($A9,期货数据!$A$8:$AA$99,10,0)</f>
        <v>2202</v>
      </c>
      <c r="O9" s="30">
        <f>VLOOKUP($A9,期货数据!$A$8:$AA$99,11,0)</f>
        <v>2212</v>
      </c>
      <c r="P9" s="30">
        <f>VLOOKUP($A9,期货数据!$A$8:$AA$99,12,0)</f>
        <v>2166</v>
      </c>
    </row>
    <row r="10" spans="1:16">
      <c r="A10" t="str">
        <f>INDEX(期货数据!$A$8:$A$99,MATCH(ROW()-1,期货数据!$W$8:$W$99,0))</f>
        <v>玉米</v>
      </c>
      <c r="B10" s="28"/>
      <c r="C10" s="1">
        <f>VLOOKUP($A10,期货数据!$A$8:$AA$99,14,0)</f>
        <v>1940</v>
      </c>
      <c r="D10" s="1">
        <f>VLOOKUP($A10,期货数据!$A$8:$AA$99,26,0)</f>
        <v>40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71</v>
      </c>
      <c r="H10">
        <f>VLOOKUP($A10,期货数据!$A$8:$AA$99,27,0)</f>
        <v>11</v>
      </c>
      <c r="I10" s="31">
        <f>VLOOKUP($A10,期货数据!$A$8:$AA$99,20,0)</f>
        <v>3.7988228999464954E-2</v>
      </c>
      <c r="M10" s="30">
        <f>VLOOKUP($A10,期货数据!$A$8:$AA$99,14,0)</f>
        <v>1940</v>
      </c>
      <c r="N10" s="30">
        <f>VLOOKUP($A10,期货数据!$A$8:$AA$99,10,0)</f>
        <v>1869</v>
      </c>
      <c r="O10" s="30">
        <f>VLOOKUP($A10,期货数据!$A$8:$AA$99,11,0)</f>
        <v>1803</v>
      </c>
      <c r="P10" s="30">
        <f>VLOOKUP($A10,期货数据!$A$8:$AA$99,12,0)</f>
        <v>1784</v>
      </c>
    </row>
    <row r="11" spans="1:16">
      <c r="A11" t="str">
        <f>INDEX(期货数据!$A$8:$A$99,MATCH(ROW()-1,期货数据!$W$8:$W$99,0))</f>
        <v>菜油</v>
      </c>
      <c r="B11" s="28"/>
      <c r="C11" s="1">
        <f>VLOOKUP($A11,期货数据!$A$8:$AA$99,14,0)</f>
        <v>6580</v>
      </c>
      <c r="D11" s="1">
        <f>VLOOKUP($A11,期货数据!$A$8:$AA$99,26,0)</f>
        <v>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202</v>
      </c>
      <c r="H11">
        <f>VLOOKUP($A11,期货数据!$A$8:$AA$99,27,0)</f>
        <v>62</v>
      </c>
      <c r="I11" s="31">
        <f>VLOOKUP($A11,期货数据!$A$8:$AA$99,20,0)</f>
        <v>3.167137033552838E-2</v>
      </c>
      <c r="M11" s="30">
        <f>VLOOKUP($A11,期货数据!$A$8:$AA$99,14,0)</f>
        <v>6580</v>
      </c>
      <c r="N11" s="30">
        <f>VLOOKUP($A11,期货数据!$A$8:$AA$99,10,0)</f>
        <v>6378</v>
      </c>
      <c r="O11" s="30">
        <f>VLOOKUP($A11,期货数据!$A$8:$AA$99,11,0)</f>
        <v>6622</v>
      </c>
      <c r="P11" s="30">
        <f>VLOOKUP($A11,期货数据!$A$8:$AA$99,12,0)</f>
        <v>6772</v>
      </c>
    </row>
    <row r="12" spans="1:16">
      <c r="A12" t="str">
        <f>INDEX(期货数据!$A$8:$A$99,MATCH(ROW()-1,期货数据!$W$8:$W$99,0))</f>
        <v>PTA</v>
      </c>
      <c r="B12" s="28"/>
      <c r="C12" s="1">
        <f>VLOOKUP($A12,期货数据!$A$8:$AA$99,14,0)</f>
        <v>5936</v>
      </c>
      <c r="D12" s="1">
        <f>VLOOKUP($A12,期货数据!$A$8:$AA$99,26,0)</f>
        <v>-64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150</v>
      </c>
      <c r="H12">
        <f>VLOOKUP($A12,期货数据!$A$8:$AA$99,27,0)</f>
        <v>-22</v>
      </c>
      <c r="I12" s="31">
        <f>VLOOKUP($A12,期货数据!$A$8:$AA$99,20,0)</f>
        <v>2.5924645696508816E-2</v>
      </c>
      <c r="M12" s="30">
        <f>VLOOKUP($A12,期货数据!$A$8:$AA$99,14,0)</f>
        <v>5936</v>
      </c>
      <c r="N12" s="30">
        <f>VLOOKUP($A12,期货数据!$A$8:$AA$99,10,0)</f>
        <v>5786</v>
      </c>
      <c r="O12" s="30">
        <f>VLOOKUP($A12,期货数据!$A$8:$AA$99,11,0)</f>
        <v>5630</v>
      </c>
      <c r="P12" s="30">
        <f>VLOOKUP($A12,期货数据!$A$8:$AA$99,12,0)</f>
        <v>5584</v>
      </c>
    </row>
    <row r="13" spans="1:16">
      <c r="A13" t="str">
        <f>INDEX(期货数据!$A$8:$A$99,MATCH(ROW()-1,期货数据!$W$8:$W$99,0))</f>
        <v>白糖</v>
      </c>
      <c r="B13" s="28"/>
      <c r="C13" s="1">
        <f>VLOOKUP($A13,期货数据!$A$8:$AA$99,14,0)</f>
        <v>5850</v>
      </c>
      <c r="D13" s="1">
        <f>VLOOKUP($A13,期货数据!$A$8:$AA$99,26,0)</f>
        <v>-160</v>
      </c>
      <c r="E13" s="1" t="str">
        <f>IFERROR(VLOOKUP(A13,手动输入表!$F$2:$J$99,4,0),"无")</f>
        <v>南宁</v>
      </c>
      <c r="F13" s="1">
        <f>IFERROR(VLOOKUP(A13,手动输入表!$F$2:$J$99,5,0),0)</f>
        <v>0</v>
      </c>
      <c r="G13" s="1">
        <f>VLOOKUP($A13,期货数据!$A$8:$AA$99,15,0)</f>
        <v>128</v>
      </c>
      <c r="H13">
        <f>VLOOKUP($A13,期货数据!$A$8:$AA$99,27,0)</f>
        <v>-123</v>
      </c>
      <c r="I13" s="31">
        <f>VLOOKUP($A13,期货数据!$A$8:$AA$99,20,0)</f>
        <v>2.23698007689619E-2</v>
      </c>
      <c r="M13" s="30">
        <f>VLOOKUP($A13,期货数据!$A$8:$AA$99,14,0)</f>
        <v>5850</v>
      </c>
      <c r="N13" s="30">
        <f>VLOOKUP($A13,期货数据!$A$8:$AA$99,10,0)</f>
        <v>5722</v>
      </c>
      <c r="O13" s="30">
        <f>VLOOKUP($A13,期货数据!$A$8:$AA$99,11,0)</f>
        <v>5716</v>
      </c>
      <c r="P13" s="30">
        <f>VLOOKUP($A13,期货数据!$A$8:$AA$99,12,0)</f>
        <v>5637</v>
      </c>
    </row>
    <row r="14" spans="1:16">
      <c r="A14" t="str">
        <f>INDEX(期货数据!$A$8:$A$99,MATCH(ROW()-1,期货数据!$W$8:$W$99,0))</f>
        <v>热卷</v>
      </c>
      <c r="B14" s="28"/>
      <c r="C14" s="1">
        <f>VLOOKUP($A14,期货数据!$A$8:$AA$99,14,0)</f>
        <v>4120</v>
      </c>
      <c r="D14" s="1">
        <f>VLOOKUP($A14,期货数据!$A$8:$AA$99,26,0)</f>
        <v>-20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73</v>
      </c>
      <c r="H14">
        <f>VLOOKUP($A14,期货数据!$A$8:$AA$99,27,0)</f>
        <v>53</v>
      </c>
      <c r="I14" s="31">
        <f>VLOOKUP($A14,期货数据!$A$8:$AA$99,20,0)</f>
        <v>1.8038052878675562E-2</v>
      </c>
      <c r="M14" s="30">
        <f>VLOOKUP($A14,期货数据!$A$8:$AA$99,14,0)</f>
        <v>4120</v>
      </c>
      <c r="N14" s="30">
        <f>VLOOKUP($A14,期货数据!$A$8:$AA$99,10,0)</f>
        <v>4047</v>
      </c>
      <c r="O14" s="30">
        <f>VLOOKUP($A14,期货数据!$A$8:$AA$99,11,0)</f>
        <v>3975</v>
      </c>
      <c r="P14" s="30">
        <f>VLOOKUP($A14,期货数据!$A$8:$AA$99,12,0)</f>
        <v>3824</v>
      </c>
    </row>
    <row r="15" spans="1:16">
      <c r="A15" t="str">
        <f>INDEX(期货数据!$A$8:$A$99,MATCH(ROW()-1,期货数据!$W$8:$W$99,0))</f>
        <v>棉花</v>
      </c>
      <c r="B15" s="28"/>
      <c r="C15" s="1">
        <f>VLOOKUP($A15,期货数据!$A$8:$AA$99,14,0)</f>
        <v>15475</v>
      </c>
      <c r="D15" s="1">
        <f>VLOOKUP($A15,期货数据!$A$8:$AA$99,26,0)</f>
        <v>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115</v>
      </c>
      <c r="H15">
        <f>VLOOKUP($A15,期货数据!$A$8:$AA$99,27,0)</f>
        <v>-185</v>
      </c>
      <c r="I15" s="31">
        <f>VLOOKUP($A15,期货数据!$A$8:$AA$99,20,0)</f>
        <v>7.486979166666667E-3</v>
      </c>
      <c r="M15" s="30">
        <f>VLOOKUP($A15,期货数据!$A$8:$AA$99,14,0)</f>
        <v>15475</v>
      </c>
      <c r="N15" s="30">
        <f>VLOOKUP($A15,期货数据!$A$8:$AA$99,10,0)</f>
        <v>15360</v>
      </c>
      <c r="O15" s="30">
        <f>VLOOKUP($A15,期货数据!$A$8:$AA$99,11,0)</f>
        <v>15835</v>
      </c>
      <c r="P15" s="30">
        <f>VLOOKUP($A15,期货数据!$A$8:$AA$99,12,0)</f>
        <v>16030</v>
      </c>
    </row>
    <row r="16" spans="1:16">
      <c r="A16" t="str">
        <f>INDEX(期货数据!$A$8:$A$99,MATCH(ROW()-1,期货数据!$W$8:$W$99,0))</f>
        <v>焦煤</v>
      </c>
      <c r="B16" s="28"/>
      <c r="C16" s="1">
        <f>VLOOKUP($A16,期货数据!$A$8:$AA$99,14,0)</f>
        <v>1380</v>
      </c>
      <c r="D16" s="1">
        <f>VLOOKUP($A16,期货数据!$A$8:$AA$99,26,0)</f>
        <v>0</v>
      </c>
      <c r="E16" s="1" t="str">
        <f>IFERROR(VLOOKUP(A16,手动输入表!$F$2:$J$99,4,0),"无")</f>
        <v>日照港</v>
      </c>
      <c r="F16" s="1">
        <f>IFERROR(VLOOKUP(A16,手动输入表!$F$2:$J$99,5,0),0)</f>
        <v>0</v>
      </c>
      <c r="G16" s="1">
        <f>VLOOKUP($A16,期货数据!$A$8:$AA$99,15,0)</f>
        <v>5.5</v>
      </c>
      <c r="H16">
        <f>VLOOKUP($A16,期货数据!$A$8:$AA$99,27,0)</f>
        <v>19.5</v>
      </c>
      <c r="I16" s="31">
        <f>VLOOKUP($A16,期货数据!$A$8:$AA$99,20,0)</f>
        <v>4.0014550745725722E-3</v>
      </c>
      <c r="M16" s="30">
        <f>VLOOKUP($A16,期货数据!$A$8:$AA$99,14,0)</f>
        <v>1380</v>
      </c>
      <c r="N16" s="30">
        <f>VLOOKUP($A16,期货数据!$A$8:$AA$99,10,0)</f>
        <v>1374.5</v>
      </c>
      <c r="O16" s="30">
        <f>VLOOKUP($A16,期货数据!$A$8:$AA$99,11,0)</f>
        <v>1296.5</v>
      </c>
      <c r="P16" s="30">
        <f>VLOOKUP($A16,期货数据!$A$8:$AA$99,12,0)</f>
        <v>1269.5</v>
      </c>
    </row>
    <row r="17" spans="1:16">
      <c r="A17" t="str">
        <f>INDEX(期货数据!$A$8:$A$99,MATCH(ROW()-1,期货数据!$W$8:$W$99,0))</f>
        <v>锌</v>
      </c>
      <c r="B17" s="28"/>
      <c r="C17" s="1">
        <f>VLOOKUP($A17,期货数据!$A$8:$AA$99,14,0)</f>
        <v>25660</v>
      </c>
      <c r="D17" s="1">
        <f>VLOOKUP($A17,期货数据!$A$8:$AA$99,26,0)</f>
        <v>-370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40</v>
      </c>
      <c r="H17">
        <f>VLOOKUP($A17,期货数据!$A$8:$AA$99,27,0)</f>
        <v>240</v>
      </c>
      <c r="I17" s="31">
        <f>VLOOKUP($A17,期货数据!$A$8:$AA$99,20,0)</f>
        <v>1.56128024980484E-3</v>
      </c>
      <c r="M17" s="30">
        <f>VLOOKUP($A17,期货数据!$A$8:$AA$99,14,0)</f>
        <v>25660</v>
      </c>
      <c r="N17" s="30">
        <f>VLOOKUP($A17,期货数据!$A$8:$AA$99,10,0)</f>
        <v>25620</v>
      </c>
      <c r="O17" s="30">
        <f>VLOOKUP($A17,期货数据!$A$8:$AA$99,11,0)</f>
        <v>25660</v>
      </c>
      <c r="P17" s="30">
        <f>VLOOKUP($A17,期货数据!$A$8:$AA$99,12,0)</f>
        <v>25650</v>
      </c>
    </row>
    <row r="18" spans="1:16">
      <c r="A18" t="str">
        <f>INDEX(期货数据!$A$8:$A$99,MATCH(ROW()-1,期货数据!$W$8:$W$99,0))</f>
        <v>PVC</v>
      </c>
      <c r="B18" s="28"/>
      <c r="C18" s="1">
        <f>VLOOKUP($A18,期货数据!$A$8:$AA$99,14,0)</f>
        <v>6665</v>
      </c>
      <c r="D18" s="1">
        <f>VLOOKUP($A18,期货数据!$A$8:$AA$99,26,0)</f>
        <v>-25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10</v>
      </c>
      <c r="H18">
        <f>VLOOKUP($A18,期货数据!$A$8:$AA$99,27,0)</f>
        <v>115</v>
      </c>
      <c r="I18" s="31">
        <f>VLOOKUP($A18,期货数据!$A$8:$AA$99,20,0)</f>
        <v>1.5026296018031556E-3</v>
      </c>
      <c r="M18" s="30">
        <f>VLOOKUP($A18,期货数据!$A$8:$AA$99,14,0)</f>
        <v>6665</v>
      </c>
      <c r="N18" s="30">
        <f>VLOOKUP($A18,期货数据!$A$8:$AA$99,10,0)</f>
        <v>6655</v>
      </c>
      <c r="O18" s="30">
        <f>VLOOKUP($A18,期货数据!$A$8:$AA$99,11,0)</f>
        <v>6700</v>
      </c>
      <c r="P18" s="30">
        <f>VLOOKUP($A18,期货数据!$A$8:$AA$99,12,0)</f>
        <v>6625</v>
      </c>
    </row>
    <row r="19" spans="1:16">
      <c r="A19" t="str">
        <f>INDEX(期货数据!$A$8:$A$99,MATCH(ROW()-1,期货数据!$W$8:$W$99,0))</f>
        <v>菜粕</v>
      </c>
      <c r="B19" s="28"/>
      <c r="C19" s="1">
        <f>VLOOKUP($A19,期货数据!$A$8:$AA$99,14,0)</f>
        <v>2570</v>
      </c>
      <c r="D19" s="1">
        <f>VLOOKUP($A19,期货数据!$A$8:$AA$99,26,0)</f>
        <v>-8</v>
      </c>
      <c r="E19" s="1" t="str">
        <f>IFERROR(VLOOKUP(A19,手动输入表!$F$2:$J$99,4,0),"无")</f>
        <v>东莞</v>
      </c>
      <c r="F19" s="1">
        <f>IFERROR(VLOOKUP(A19,手动输入表!$F$2:$J$99,5,0),0)</f>
        <v>0</v>
      </c>
      <c r="G19" s="1">
        <f>VLOOKUP($A19,期货数据!$A$8:$AA$99,15,0)</f>
        <v>0</v>
      </c>
      <c r="H19">
        <f>VLOOKUP($A19,期货数据!$A$8:$AA$99,27,0)</f>
        <v>0</v>
      </c>
      <c r="I19" s="31">
        <f>VLOOKUP($A19,期货数据!$A$8:$AA$99,20,0)</f>
        <v>0</v>
      </c>
      <c r="M19" s="30">
        <f>VLOOKUP($A19,期货数据!$A$8:$AA$99,14,0)</f>
        <v>2570</v>
      </c>
      <c r="N19" s="30">
        <f>VLOOKUP($A19,期货数据!$A$8:$AA$99,10,0)</f>
        <v>2570</v>
      </c>
      <c r="O19" s="30">
        <f>VLOOKUP($A19,期货数据!$A$8:$AA$99,11,0)</f>
        <v>2534</v>
      </c>
      <c r="P19" s="30">
        <f>VLOOKUP($A19,期货数据!$A$8:$AA$99,12,0)</f>
        <v>2343</v>
      </c>
    </row>
    <row r="20" spans="1:16">
      <c r="A20" t="str">
        <f>INDEX(期货数据!$A$8:$A$99,MATCH(ROW()-1,期货数据!$W$8:$W$99,0))</f>
        <v>玻璃</v>
      </c>
      <c r="B20" s="28"/>
      <c r="C20" s="1">
        <f>VLOOKUP($A20,期货数据!$A$8:$AA$99,14,0)</f>
        <v>1480</v>
      </c>
      <c r="D20" s="1">
        <f>VLOOKUP($A20,期货数据!$A$8:$AA$99,26,0)</f>
        <v>0</v>
      </c>
      <c r="E20" s="1" t="str">
        <f>IFERROR(VLOOKUP(A20,手动输入表!$F$2:$J$99,4,0),"无")</f>
        <v>沙河</v>
      </c>
      <c r="F20" s="1">
        <f>IFERROR(VLOOKUP(A20,手动输入表!$F$2:$J$99,5,0),0)</f>
        <v>0</v>
      </c>
      <c r="G20" s="1">
        <f>VLOOKUP($A20,期货数据!$A$8:$AA$99,15,0)</f>
        <v>-4</v>
      </c>
      <c r="H20">
        <f>VLOOKUP($A20,期货数据!$A$8:$AA$99,27,0)</f>
        <v>14</v>
      </c>
      <c r="I20" s="31">
        <f>VLOOKUP($A20,期货数据!$A$8:$AA$99,20,0)</f>
        <v>-2.6954177897574125E-3</v>
      </c>
      <c r="M20" s="30">
        <f>VLOOKUP($A20,期货数据!$A$8:$AA$99,14,0)</f>
        <v>1480</v>
      </c>
      <c r="N20" s="30">
        <f>VLOOKUP($A20,期货数据!$A$8:$AA$99,10,0)</f>
        <v>1484</v>
      </c>
      <c r="O20" s="30">
        <f>VLOOKUP($A20,期货数据!$A$8:$AA$99,11,0)</f>
        <v>1509</v>
      </c>
      <c r="P20" s="30">
        <f>VLOOKUP($A20,期货数据!$A$8:$AA$99,12,0)</f>
        <v>1438</v>
      </c>
    </row>
    <row r="21" spans="1:16">
      <c r="A21" t="str">
        <f>INDEX(期货数据!$A$8:$A$99,MATCH(ROW()-1,期货数据!$W$8:$W$99,0))</f>
        <v>铜</v>
      </c>
      <c r="B21" s="28"/>
      <c r="C21" s="1">
        <f>VLOOKUP($A21,期货数据!$A$8:$AA$99,14,0)</f>
        <v>51490</v>
      </c>
      <c r="D21" s="1">
        <f>VLOOKUP($A21,期货数据!$A$8:$AA$99,26,0)</f>
        <v>-390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-250</v>
      </c>
      <c r="H21">
        <f>VLOOKUP($A21,期货数据!$A$8:$AA$99,27,0)</f>
        <v>0</v>
      </c>
      <c r="I21" s="31">
        <f>VLOOKUP($A21,期货数据!$A$8:$AA$99,20,0)</f>
        <v>-4.8318515655199068E-3</v>
      </c>
      <c r="M21" s="30">
        <f>VLOOKUP($A21,期货数据!$A$8:$AA$99,14,0)</f>
        <v>51490</v>
      </c>
      <c r="N21" s="30">
        <f>VLOOKUP($A21,期货数据!$A$8:$AA$99,10,0)</f>
        <v>51740</v>
      </c>
      <c r="O21" s="30">
        <f>VLOOKUP($A21,期货数据!$A$8:$AA$99,11,0)</f>
        <v>51950</v>
      </c>
      <c r="P21" s="30">
        <f>VLOOKUP($A21,期货数据!$A$8:$AA$99,12,0)</f>
        <v>52120</v>
      </c>
    </row>
    <row r="22" spans="1:16">
      <c r="A22" t="str">
        <f>INDEX(期货数据!$A$8:$A$99,MATCH(ROW()-1,期货数据!$W$8:$W$99,0))</f>
        <v>棉纱</v>
      </c>
      <c r="B22" s="28"/>
      <c r="C22" s="1">
        <f>VLOOKUP($A22,期货数据!$A$8:$AA$99,14,0)</f>
        <v>22950</v>
      </c>
      <c r="D22" s="1">
        <f>VLOOKUP($A22,期货数据!$A$8:$AA$99,26,0)</f>
        <v>50</v>
      </c>
      <c r="E22" s="1" t="str">
        <f>IFERROR(VLOOKUP(A22,手动输入表!$F$2:$J$99,4,0),"无")</f>
        <v>江苏</v>
      </c>
      <c r="F22" s="1">
        <f>IFERROR(VLOOKUP(A22,手动输入表!$F$2:$J$99,5,0),0)</f>
        <v>0</v>
      </c>
      <c r="G22" s="1">
        <f>VLOOKUP($A22,期货数据!$A$8:$AA$99,15,0)</f>
        <v>-120</v>
      </c>
      <c r="H22">
        <f>VLOOKUP($A22,期货数据!$A$8:$AA$99,27,0)</f>
        <v>330</v>
      </c>
      <c r="I22" s="31">
        <f>VLOOKUP($A22,期货数据!$A$8:$AA$99,20,0)</f>
        <v>-5.2015604681404422E-3</v>
      </c>
      <c r="M22" s="30">
        <f>VLOOKUP($A22,期货数据!$A$8:$AA$99,14,0)</f>
        <v>22950</v>
      </c>
      <c r="N22" s="30">
        <f>VLOOKUP($A22,期货数据!$A$8:$AA$99,10,0)</f>
        <v>23070</v>
      </c>
      <c r="O22" s="30">
        <f>VLOOKUP($A22,期货数据!$A$8:$AA$99,11,0)</f>
        <v>23350</v>
      </c>
      <c r="P22" s="30">
        <f>VLOOKUP($A22,期货数据!$A$8:$AA$99,12,0)</f>
        <v>22985</v>
      </c>
    </row>
    <row r="23" spans="1:16">
      <c r="A23" t="str">
        <f>INDEX(期货数据!$A$8:$A$99,MATCH(ROW()-1,期货数据!$W$8:$W$99,0))</f>
        <v>豆油</v>
      </c>
      <c r="B23" s="28"/>
      <c r="C23" s="1">
        <f>VLOOKUP($A23,期货数据!$A$8:$AA$99,14,0)</f>
        <v>5820</v>
      </c>
      <c r="D23" s="1">
        <f>VLOOKUP($A23,期货数据!$A$8:$AA$99,26,0)</f>
        <v>20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-34</v>
      </c>
      <c r="H23">
        <f>VLOOKUP($A23,期货数据!$A$8:$AA$99,27,0)</f>
        <v>20</v>
      </c>
      <c r="I23" s="31">
        <f>VLOOKUP($A23,期货数据!$A$8:$AA$99,20,0)</f>
        <v>-5.8079945336522035E-3</v>
      </c>
      <c r="M23" s="30">
        <f>VLOOKUP($A23,期货数据!$A$8:$AA$99,14,0)</f>
        <v>5820</v>
      </c>
      <c r="N23" s="30">
        <f>VLOOKUP($A23,期货数据!$A$8:$AA$99,10,0)</f>
        <v>5854</v>
      </c>
      <c r="O23" s="30">
        <f>VLOOKUP($A23,期货数据!$A$8:$AA$99,11,0)</f>
        <v>6006</v>
      </c>
      <c r="P23" s="30">
        <f>VLOOKUP($A23,期货数据!$A$8:$AA$99,12,0)</f>
        <v>6140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100850</v>
      </c>
      <c r="D24" s="1">
        <f>VLOOKUP($A24,期货数据!$A$8:$AA$99,26,0)</f>
        <v>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-590</v>
      </c>
      <c r="H24">
        <f>VLOOKUP($A24,期货数据!$A$8:$AA$99,27,0)</f>
        <v>790</v>
      </c>
      <c r="I24" s="31">
        <f>VLOOKUP($A24,期货数据!$A$8:$AA$99,20,0)</f>
        <v>-5.8162460567823347E-3</v>
      </c>
      <c r="M24" s="30">
        <f>VLOOKUP($A24,期货数据!$A$8:$AA$99,14,0)</f>
        <v>100850</v>
      </c>
      <c r="N24" s="30">
        <f>VLOOKUP($A24,期货数据!$A$8:$AA$99,10,0)</f>
        <v>101440</v>
      </c>
      <c r="O24" s="30">
        <f>VLOOKUP($A24,期货数据!$A$8:$AA$99,11,0)</f>
        <v>102280</v>
      </c>
      <c r="P24" s="30">
        <f>VLOOKUP($A24,期货数据!$A$8:$AA$99,12,0)</f>
        <v>103530</v>
      </c>
    </row>
    <row r="25" spans="1:16">
      <c r="A25" t="str">
        <f>INDEX(期货数据!$A$8:$A$99,MATCH(ROW()-1,期货数据!$W$8:$W$99,0))</f>
        <v>沥青</v>
      </c>
      <c r="B25" s="28"/>
      <c r="C25" s="1">
        <f>VLOOKUP($A25,期货数据!$A$8:$AA$99,14,0)</f>
        <v>2700</v>
      </c>
      <c r="D25" s="1">
        <f>VLOOKUP($A25,期货数据!$A$8:$AA$99,26,0)</f>
        <v>0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-18</v>
      </c>
      <c r="H25">
        <f>VLOOKUP($A25,期货数据!$A$8:$AA$99,27,0)</f>
        <v>52</v>
      </c>
      <c r="I25" s="31">
        <f>VLOOKUP($A25,期货数据!$A$8:$AA$99,20,0)</f>
        <v>-6.6225165562913907E-3</v>
      </c>
      <c r="M25" s="30">
        <f>VLOOKUP($A25,期货数据!$A$8:$AA$99,14,0)</f>
        <v>2700</v>
      </c>
      <c r="N25" s="30">
        <f>VLOOKUP($A25,期货数据!$A$8:$AA$99,10,0)</f>
        <v>2718</v>
      </c>
      <c r="O25" s="30">
        <f>VLOOKUP($A25,期货数据!$A$8:$AA$99,11,0)</f>
        <v>2756</v>
      </c>
      <c r="P25" s="30">
        <f>VLOOKUP($A25,期货数据!$A$8:$AA$99,12,0)</f>
        <v>2798</v>
      </c>
    </row>
    <row r="26" spans="1:16">
      <c r="A26" t="str">
        <f>INDEX(期货数据!$A$8:$A$99,MATCH(ROW()-1,期货数据!$W$8:$W$99,0))</f>
        <v>豆一</v>
      </c>
      <c r="B26" s="28"/>
      <c r="C26" s="1">
        <f>VLOOKUP($A26,期货数据!$A$8:$AA$99,14,0)</f>
        <v>3650</v>
      </c>
      <c r="D26" s="1">
        <f>VLOOKUP($A26,期货数据!$A$8:$AA$99,26,0)</f>
        <v>0</v>
      </c>
      <c r="E26" s="1" t="str">
        <f>IFERROR(VLOOKUP(A26,手动输入表!$F$2:$J$99,4,0),"无")</f>
        <v>哈尔滨</v>
      </c>
      <c r="F26" s="1">
        <f>IFERROR(VLOOKUP(A26,手动输入表!$F$2:$J$99,5,0),0)</f>
        <v>-150</v>
      </c>
      <c r="G26" s="1">
        <f>VLOOKUP($A26,期货数据!$A$8:$AA$99,15,0)</f>
        <v>-50</v>
      </c>
      <c r="H26">
        <f>VLOOKUP($A26,期货数据!$A$8:$AA$99,27,0)</f>
        <v>11</v>
      </c>
      <c r="I26" s="31">
        <f>VLOOKUP($A26,期货数据!$A$8:$AA$99,20,0)</f>
        <v>-1.3513513513513514E-2</v>
      </c>
      <c r="M26" s="30">
        <f>VLOOKUP($A26,期货数据!$A$8:$AA$99,14,0)</f>
        <v>3650</v>
      </c>
      <c r="N26" s="30">
        <f>VLOOKUP($A26,期货数据!$A$8:$AA$99,10,0)</f>
        <v>3700</v>
      </c>
      <c r="O26" s="30">
        <f>VLOOKUP($A26,期货数据!$A$8:$AA$99,11,0)</f>
        <v>3750</v>
      </c>
      <c r="P26" s="30">
        <f>VLOOKUP($A26,期货数据!$A$8:$AA$99,12,0)</f>
        <v>3817</v>
      </c>
    </row>
    <row r="27" spans="1:16">
      <c r="A27" t="str">
        <f>INDEX(期货数据!$A$8:$A$99,MATCH(ROW()-1,期货数据!$W$8:$W$99,0))</f>
        <v>铝</v>
      </c>
      <c r="B27" s="28"/>
      <c r="C27" s="1">
        <f>VLOOKUP($A27,期货数据!$A$8:$AA$99,14,0)</f>
        <v>13930</v>
      </c>
      <c r="D27" s="1">
        <f>VLOOKUP($A27,期货数据!$A$8:$AA$99,26,0)</f>
        <v>-150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-200</v>
      </c>
      <c r="H27">
        <f>VLOOKUP($A27,期货数据!$A$8:$AA$99,27,0)</f>
        <v>-30</v>
      </c>
      <c r="I27" s="31">
        <f>VLOOKUP($A27,期货数据!$A$8:$AA$99,20,0)</f>
        <v>-1.4154281670205236E-2</v>
      </c>
      <c r="M27" s="30">
        <f>VLOOKUP($A27,期货数据!$A$8:$AA$99,14,0)</f>
        <v>13930</v>
      </c>
      <c r="N27" s="30">
        <f>VLOOKUP($A27,期货数据!$A$8:$AA$99,10,0)</f>
        <v>14130</v>
      </c>
      <c r="O27" s="30">
        <f>VLOOKUP($A27,期货数据!$A$8:$AA$99,11,0)</f>
        <v>14210</v>
      </c>
      <c r="P27" s="30">
        <f>VLOOKUP($A27,期货数据!$A$8:$AA$99,12,0)</f>
        <v>14295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9042</v>
      </c>
      <c r="D28" s="1">
        <f>VLOOKUP($A28,期货数据!$A$8:$AA$99,26,0)</f>
        <v>-75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-130</v>
      </c>
      <c r="H28">
        <f>VLOOKUP($A28,期货数据!$A$8:$AA$99,27,0)</f>
        <v>15</v>
      </c>
      <c r="I28" s="31">
        <f>VLOOKUP($A28,期货数据!$A$8:$AA$99,20,0)</f>
        <v>-1.41735717400785E-2</v>
      </c>
      <c r="M28" s="30">
        <f>VLOOKUP($A28,期货数据!$A$8:$AA$99,14,0)</f>
        <v>9042</v>
      </c>
      <c r="N28" s="30">
        <f>VLOOKUP($A28,期货数据!$A$8:$AA$99,10,0)</f>
        <v>9172</v>
      </c>
      <c r="O28" s="30">
        <f>VLOOKUP($A28,期货数据!$A$8:$AA$99,11,0)</f>
        <v>9258</v>
      </c>
      <c r="P28" s="30">
        <f>VLOOKUP($A28,期货数据!$A$8:$AA$99,12,0)</f>
        <v>9231</v>
      </c>
    </row>
    <row r="29" spans="1:16">
      <c r="A29" t="str">
        <f>INDEX(期货数据!$A$8:$A$99,MATCH(ROW()-1,期货数据!$W$8:$W$99,0))</f>
        <v>LLDPE</v>
      </c>
      <c r="B29" s="28"/>
      <c r="C29" s="1">
        <f>VLOOKUP($A29,期货数据!$A$8:$AA$99,14,0)</f>
        <v>9390</v>
      </c>
      <c r="D29" s="1">
        <f>VLOOKUP($A29,期货数据!$A$8:$AA$99,26,0)</f>
        <v>-65</v>
      </c>
      <c r="E29" s="1" t="str">
        <f>IFERROR(VLOOKUP(A29,手动输入表!$F$2:$J$99,4,0),"无")</f>
        <v>华北</v>
      </c>
      <c r="F29" s="1">
        <f>IFERROR(VLOOKUP(A29,手动输入表!$F$2:$J$99,5,0),0)</f>
        <v>0</v>
      </c>
      <c r="G29" s="1">
        <f>VLOOKUP($A29,期货数据!$A$8:$AA$99,15,0)</f>
        <v>-150</v>
      </c>
      <c r="H29">
        <f>VLOOKUP($A29,期货数据!$A$8:$AA$99,27,0)</f>
        <v>20</v>
      </c>
      <c r="I29" s="31">
        <f>VLOOKUP($A29,期货数据!$A$8:$AA$99,20,0)</f>
        <v>-1.5723270440251572E-2</v>
      </c>
      <c r="M29" s="30">
        <f>VLOOKUP($A29,期货数据!$A$8:$AA$99,14,0)</f>
        <v>9390</v>
      </c>
      <c r="N29" s="30">
        <f>VLOOKUP($A29,期货数据!$A$8:$AA$99,10,0)</f>
        <v>9540</v>
      </c>
      <c r="O29" s="30">
        <f>VLOOKUP($A29,期货数据!$A$8:$AA$99,11,0)</f>
        <v>9540</v>
      </c>
      <c r="P29" s="30">
        <f>VLOOKUP($A29,期货数据!$A$8:$AA$99,12,0)</f>
        <v>9460</v>
      </c>
    </row>
    <row r="30" spans="1:16">
      <c r="A30" t="str">
        <f>INDEX(期货数据!$A$8:$A$99,MATCH(ROW()-1,期货数据!$W$8:$W$99,0))</f>
        <v>棕榈油</v>
      </c>
      <c r="B30" s="28"/>
      <c r="C30" s="1">
        <f>VLOOKUP($A30,期货数据!$A$8:$AA$99,14,0)</f>
        <v>5160</v>
      </c>
      <c r="D30" s="1">
        <f>VLOOKUP($A30,期货数据!$A$8:$AA$99,26,0)</f>
        <v>-60</v>
      </c>
      <c r="E30" s="1" t="str">
        <f>IFERROR(VLOOKUP(A30,手动输入表!$F$2:$J$99,4,0),"无")</f>
        <v>天津港</v>
      </c>
      <c r="F30" s="1">
        <f>IFERROR(VLOOKUP(A30,手动输入表!$F$2:$J$99,5,0),0)</f>
        <v>100</v>
      </c>
      <c r="G30" s="1">
        <f>VLOOKUP($A30,期货数据!$A$8:$AA$99,15,0)</f>
        <v>-94</v>
      </c>
      <c r="H30">
        <f>VLOOKUP($A30,期货数据!$A$8:$AA$99,27,0)</f>
        <v>-48</v>
      </c>
      <c r="I30" s="31">
        <f>VLOOKUP($A30,期货数据!$A$8:$AA$99,20,0)</f>
        <v>-1.7891130567186907E-2</v>
      </c>
      <c r="M30" s="30">
        <f>VLOOKUP($A30,期货数据!$A$8:$AA$99,14,0)</f>
        <v>5160</v>
      </c>
      <c r="N30" s="30">
        <f>VLOOKUP($A30,期货数据!$A$8:$AA$99,10,0)</f>
        <v>5254</v>
      </c>
      <c r="O30" s="30">
        <f>VLOOKUP($A30,期货数据!$A$8:$AA$99,11,0)</f>
        <v>5248</v>
      </c>
      <c r="P30" s="30">
        <f>VLOOKUP($A30,期货数据!$A$8:$AA$99,12,0)</f>
        <v>5242</v>
      </c>
    </row>
    <row r="31" spans="1:16">
      <c r="A31" t="str">
        <f>INDEX(期货数据!$A$8:$A$99,MATCH(ROW()-1,期货数据!$W$8:$W$99,0))</f>
        <v>甲醇</v>
      </c>
      <c r="B31" s="28"/>
      <c r="C31" s="1">
        <f>VLOOKUP($A31,期货数据!$A$8:$AA$99,14,0)</f>
        <v>2600</v>
      </c>
      <c r="D31" s="1">
        <f>VLOOKUP($A31,期货数据!$A$8:$AA$99,26,0)</f>
        <v>-50</v>
      </c>
      <c r="E31" s="1" t="str">
        <f>IFERROR(VLOOKUP(A31,手动输入表!$F$2:$J$99,4,0),"无")</f>
        <v>河南</v>
      </c>
      <c r="F31" s="1">
        <f>IFERROR(VLOOKUP(A31,手动输入表!$F$2:$J$99,5,0),0)</f>
        <v>-200</v>
      </c>
      <c r="G31" s="1">
        <f>VLOOKUP($A31,期货数据!$A$8:$AA$99,15,0)</f>
        <v>-78</v>
      </c>
      <c r="H31">
        <f>VLOOKUP($A31,期货数据!$A$8:$AA$99,27,0)</f>
        <v>-51</v>
      </c>
      <c r="I31" s="31">
        <f>VLOOKUP($A31,期货数据!$A$8:$AA$99,20,0)</f>
        <v>-2.9126213592233011E-2</v>
      </c>
      <c r="M31" s="30">
        <f>VLOOKUP($A31,期货数据!$A$8:$AA$99,14,0)</f>
        <v>2600</v>
      </c>
      <c r="N31" s="30">
        <f>VLOOKUP($A31,期货数据!$A$8:$AA$99,10,0)</f>
        <v>2678</v>
      </c>
      <c r="O31" s="30">
        <f>VLOOKUP($A31,期货数据!$A$8:$AA$99,11,0)</f>
        <v>2686</v>
      </c>
      <c r="P31" s="30">
        <f>VLOOKUP($A31,期货数据!$A$8:$AA$99,12,0)</f>
        <v>2732</v>
      </c>
    </row>
    <row r="32" spans="1:16">
      <c r="A32" t="str">
        <f>INDEX(期货数据!$A$8:$A$99,MATCH(ROW()-1,期货数据!$W$8:$W$99,0))</f>
        <v>焦炭</v>
      </c>
      <c r="B32" s="28"/>
      <c r="C32" s="1">
        <f>VLOOKUP($A32,期货数据!$A$8:$AA$99,14,0)</f>
        <v>2050</v>
      </c>
      <c r="D32" s="1">
        <f>VLOOKUP($A32,期货数据!$A$8:$AA$99,26,0)</f>
        <v>0</v>
      </c>
      <c r="E32" s="1" t="str">
        <f>IFERROR(VLOOKUP(A32,手动输入表!$F$2:$J$99,4,0),"无")</f>
        <v>日照</v>
      </c>
      <c r="F32" s="1">
        <f>IFERROR(VLOOKUP(A32,手动输入表!$F$2:$J$99,5,0),0)</f>
        <v>0</v>
      </c>
      <c r="G32" s="1">
        <f>VLOOKUP($A32,期货数据!$A$8:$AA$99,15,0)</f>
        <v>-127</v>
      </c>
      <c r="H32">
        <f>VLOOKUP($A32,期货数据!$A$8:$AA$99,27,0)</f>
        <v>65</v>
      </c>
      <c r="I32" s="31">
        <f>VLOOKUP($A32,期货数据!$A$8:$AA$99,20,0)</f>
        <v>-5.8337161231051905E-2</v>
      </c>
      <c r="M32" s="30">
        <f>VLOOKUP($A32,期货数据!$A$8:$AA$99,14,0)</f>
        <v>2050</v>
      </c>
      <c r="N32" s="30">
        <f>VLOOKUP($A32,期货数据!$A$8:$AA$99,10,0)</f>
        <v>2177</v>
      </c>
      <c r="O32" s="30">
        <f>VLOOKUP($A32,期货数据!$A$8:$AA$99,11,0)</f>
        <v>2052</v>
      </c>
      <c r="P32" s="30">
        <f>VLOOKUP($A32,期货数据!$A$8:$AA$99,12,0)</f>
        <v>2001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12255</v>
      </c>
      <c r="D33" s="1">
        <f>VLOOKUP($A33,期货数据!$A$8:$AA$99,26,0)</f>
        <v>95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-10</v>
      </c>
      <c r="I33" s="31">
        <f>VLOOKUP($A33,期货数据!$A$8:$AA$99,20,0)</f>
        <v>-6.1279203370356188E-2</v>
      </c>
      <c r="M33" s="30">
        <f>VLOOKUP($A33,期货数据!$A$8:$AA$99,14,0)</f>
        <v>12255</v>
      </c>
      <c r="N33" s="30">
        <f>VLOOKUP($A33,期货数据!$A$8:$AA$99,10,0)</f>
        <v>13055</v>
      </c>
      <c r="O33" s="30">
        <f>VLOOKUP($A33,期货数据!$A$8:$AA$99,11,0)</f>
        <v>13415</v>
      </c>
      <c r="P33" s="30">
        <f>VLOOKUP($A33,期货数据!$A$8:$AA$99,12,0)</f>
        <v>15450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workbookViewId="0">
      <selection activeCell="A14" sqref="A14:C14"/>
    </sheetView>
  </sheetViews>
  <sheetFormatPr defaultRowHeight="13.5"/>
  <cols>
    <col min="22" max="22" width="10.375" customWidth="1"/>
    <col min="23" max="23" width="10.125" customWidth="1"/>
    <col min="24" max="24" width="10.5" bestFit="1" customWidth="1"/>
  </cols>
  <sheetData>
    <row r="1" spans="1:24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  <c r="X1" s="11">
        <v>43125</v>
      </c>
    </row>
    <row r="2" spans="1:24">
      <c r="A2" t="s">
        <v>5</v>
      </c>
      <c r="B2">
        <v>-127</v>
      </c>
      <c r="C2">
        <v>-192</v>
      </c>
      <c r="D2">
        <v>-208.5</v>
      </c>
      <c r="E2">
        <v>-196</v>
      </c>
      <c r="F2">
        <v>-223.5</v>
      </c>
      <c r="G2">
        <v>-229</v>
      </c>
      <c r="H2">
        <v>-171</v>
      </c>
      <c r="I2">
        <v>-226</v>
      </c>
      <c r="J2">
        <v>-191.5</v>
      </c>
      <c r="K2">
        <v>-161.5</v>
      </c>
      <c r="L2">
        <v>-160.5</v>
      </c>
      <c r="M2">
        <v>-155.5</v>
      </c>
      <c r="N2">
        <v>-197</v>
      </c>
      <c r="O2">
        <v>-205.5</v>
      </c>
      <c r="P2">
        <v>-169.5</v>
      </c>
      <c r="Q2">
        <v>-173.5</v>
      </c>
      <c r="R2">
        <v>-95</v>
      </c>
      <c r="S2">
        <v>-49.5</v>
      </c>
      <c r="T2">
        <v>43</v>
      </c>
      <c r="U2">
        <v>37.5</v>
      </c>
      <c r="V2">
        <v>17.5</v>
      </c>
      <c r="W2">
        <v>9</v>
      </c>
      <c r="X2">
        <v>-13.5</v>
      </c>
    </row>
    <row r="3" spans="1:24">
      <c r="A3" t="s">
        <v>7</v>
      </c>
      <c r="B3">
        <v>5.5</v>
      </c>
      <c r="C3">
        <v>-14</v>
      </c>
      <c r="D3">
        <v>-21</v>
      </c>
      <c r="E3">
        <v>-37</v>
      </c>
      <c r="F3">
        <v>-48.5</v>
      </c>
      <c r="G3">
        <v>-62</v>
      </c>
      <c r="H3">
        <v>-48</v>
      </c>
      <c r="I3">
        <v>-28</v>
      </c>
      <c r="J3">
        <v>-23.5</v>
      </c>
      <c r="K3">
        <v>-14.5</v>
      </c>
      <c r="L3">
        <v>-14</v>
      </c>
      <c r="M3">
        <v>-6</v>
      </c>
      <c r="N3">
        <v>-14</v>
      </c>
      <c r="O3">
        <v>-18</v>
      </c>
      <c r="P3">
        <v>-9</v>
      </c>
      <c r="Q3">
        <v>-19</v>
      </c>
      <c r="R3">
        <v>-11.5</v>
      </c>
      <c r="S3">
        <v>31</v>
      </c>
      <c r="T3">
        <v>6.5</v>
      </c>
      <c r="U3">
        <v>5</v>
      </c>
      <c r="V3">
        <v>73.5</v>
      </c>
      <c r="W3">
        <v>59</v>
      </c>
      <c r="X3">
        <v>41</v>
      </c>
    </row>
    <row r="4" spans="1:24">
      <c r="A4" t="s">
        <v>4</v>
      </c>
      <c r="B4">
        <v>61.799999999999955</v>
      </c>
      <c r="C4">
        <v>56.600000000000023</v>
      </c>
      <c r="D4">
        <v>67.199999999999932</v>
      </c>
      <c r="E4">
        <v>69</v>
      </c>
      <c r="F4">
        <v>81.799999999999955</v>
      </c>
      <c r="G4">
        <v>86.399999999999977</v>
      </c>
      <c r="H4">
        <v>83.799999999999955</v>
      </c>
      <c r="I4">
        <v>91</v>
      </c>
      <c r="J4">
        <v>102.79999999999995</v>
      </c>
      <c r="K4">
        <v>110</v>
      </c>
      <c r="L4">
        <v>115.60000000000002</v>
      </c>
      <c r="M4">
        <v>101.60000000000002</v>
      </c>
      <c r="N4">
        <v>103.60000000000002</v>
      </c>
      <c r="O4">
        <v>96.399999999999977</v>
      </c>
      <c r="P4">
        <v>110.60000000000002</v>
      </c>
      <c r="Q4">
        <v>103.79999999999995</v>
      </c>
      <c r="R4">
        <v>103.60000000000002</v>
      </c>
      <c r="S4">
        <v>98</v>
      </c>
      <c r="T4">
        <v>95.600000000000023</v>
      </c>
      <c r="U4">
        <v>92.199999999999932</v>
      </c>
      <c r="V4">
        <v>72.199999999999932</v>
      </c>
      <c r="W4">
        <v>77</v>
      </c>
      <c r="X4">
        <v>76.600000000000023</v>
      </c>
    </row>
    <row r="5" spans="1:24">
      <c r="A5" t="s">
        <v>20</v>
      </c>
      <c r="B5">
        <v>40.5</v>
      </c>
      <c r="C5">
        <v>29</v>
      </c>
      <c r="D5">
        <v>21.5</v>
      </c>
      <c r="E5">
        <v>27.100000000000023</v>
      </c>
      <c r="F5">
        <v>24.700000000000045</v>
      </c>
      <c r="G5">
        <v>16.899999999999977</v>
      </c>
      <c r="H5">
        <v>9.7999999999999545</v>
      </c>
      <c r="I5">
        <v>11.200000000000045</v>
      </c>
      <c r="J5">
        <v>10.200000000000045</v>
      </c>
      <c r="K5">
        <v>20.700000000000045</v>
      </c>
      <c r="L5">
        <v>22.399999999999977</v>
      </c>
      <c r="M5">
        <v>21.899999999999977</v>
      </c>
      <c r="N5">
        <v>21.399999999999977</v>
      </c>
      <c r="O5">
        <v>18.899999999999977</v>
      </c>
      <c r="P5">
        <v>19.100000000000023</v>
      </c>
      <c r="Q5">
        <v>13.600000000000023</v>
      </c>
      <c r="R5">
        <v>23.299999999999955</v>
      </c>
      <c r="S5">
        <v>28.200000000000045</v>
      </c>
      <c r="T5">
        <v>27.899999999999977</v>
      </c>
      <c r="U5">
        <v>20.399999999999977</v>
      </c>
      <c r="V5">
        <v>20.200000000000045</v>
      </c>
      <c r="W5">
        <v>22.100000000000023</v>
      </c>
      <c r="X5">
        <v>6.2999999999999545</v>
      </c>
    </row>
    <row r="6" spans="1:24">
      <c r="A6" t="s">
        <v>12</v>
      </c>
      <c r="B6">
        <v>249</v>
      </c>
      <c r="C6">
        <v>202</v>
      </c>
      <c r="D6">
        <v>194</v>
      </c>
      <c r="E6">
        <v>215</v>
      </c>
      <c r="F6">
        <v>191</v>
      </c>
      <c r="G6">
        <v>188</v>
      </c>
      <c r="H6">
        <v>61</v>
      </c>
      <c r="I6">
        <v>144</v>
      </c>
      <c r="J6">
        <v>76</v>
      </c>
      <c r="K6">
        <v>89</v>
      </c>
      <c r="L6">
        <v>92</v>
      </c>
      <c r="M6">
        <v>115</v>
      </c>
      <c r="N6">
        <v>80</v>
      </c>
      <c r="O6">
        <v>73</v>
      </c>
      <c r="P6">
        <v>67</v>
      </c>
      <c r="Q6">
        <v>43</v>
      </c>
      <c r="R6">
        <v>49</v>
      </c>
      <c r="S6">
        <v>79</v>
      </c>
      <c r="T6">
        <v>95</v>
      </c>
      <c r="U6">
        <v>99</v>
      </c>
      <c r="V6">
        <v>75</v>
      </c>
      <c r="W6">
        <v>75</v>
      </c>
      <c r="X6">
        <v>54</v>
      </c>
    </row>
    <row r="7" spans="1:24">
      <c r="A7" t="s">
        <v>9</v>
      </c>
      <c r="B7">
        <v>73</v>
      </c>
      <c r="C7">
        <v>20</v>
      </c>
      <c r="D7">
        <v>66</v>
      </c>
      <c r="E7">
        <v>92</v>
      </c>
      <c r="F7">
        <v>81</v>
      </c>
      <c r="G7">
        <v>100</v>
      </c>
      <c r="H7">
        <v>158</v>
      </c>
      <c r="I7">
        <v>143</v>
      </c>
      <c r="J7">
        <v>86</v>
      </c>
      <c r="K7">
        <v>85</v>
      </c>
      <c r="L7">
        <v>97</v>
      </c>
      <c r="M7">
        <v>112</v>
      </c>
      <c r="N7">
        <v>43</v>
      </c>
      <c r="O7">
        <v>68</v>
      </c>
      <c r="P7">
        <v>70</v>
      </c>
      <c r="Q7">
        <v>52</v>
      </c>
      <c r="R7">
        <v>47</v>
      </c>
      <c r="S7">
        <v>108</v>
      </c>
      <c r="T7">
        <v>156</v>
      </c>
      <c r="U7">
        <v>151</v>
      </c>
      <c r="V7">
        <v>156</v>
      </c>
      <c r="W7">
        <v>158</v>
      </c>
      <c r="X7">
        <v>147</v>
      </c>
    </row>
    <row r="8" spans="1:24">
      <c r="A8" t="s">
        <v>31</v>
      </c>
      <c r="B8">
        <v>-800</v>
      </c>
      <c r="C8">
        <v>-790</v>
      </c>
      <c r="D8">
        <v>-800</v>
      </c>
      <c r="E8">
        <v>-780</v>
      </c>
      <c r="F8">
        <v>-900</v>
      </c>
      <c r="G8">
        <v>-910</v>
      </c>
      <c r="H8">
        <v>-900</v>
      </c>
      <c r="I8">
        <v>-1000</v>
      </c>
      <c r="J8">
        <v>-960</v>
      </c>
      <c r="K8">
        <v>-910</v>
      </c>
      <c r="L8">
        <v>-1000</v>
      </c>
      <c r="M8">
        <v>-1000</v>
      </c>
      <c r="N8">
        <v>-1000</v>
      </c>
      <c r="O8">
        <v>-1200</v>
      </c>
      <c r="P8">
        <v>-1200</v>
      </c>
      <c r="Q8">
        <v>-1300</v>
      </c>
      <c r="R8">
        <v>-1485</v>
      </c>
      <c r="S8">
        <v>-1410</v>
      </c>
      <c r="T8">
        <v>-1500</v>
      </c>
      <c r="U8">
        <v>-1700</v>
      </c>
      <c r="V8">
        <v>-1800</v>
      </c>
      <c r="W8">
        <v>-1800</v>
      </c>
      <c r="X8">
        <v>-1900</v>
      </c>
    </row>
    <row r="9" spans="1:24">
      <c r="A9" t="s">
        <v>17</v>
      </c>
      <c r="B9">
        <v>-4</v>
      </c>
      <c r="C9">
        <v>-18</v>
      </c>
      <c r="D9">
        <v>-17</v>
      </c>
      <c r="E9">
        <v>-14</v>
      </c>
      <c r="F9">
        <v>-12</v>
      </c>
      <c r="G9">
        <v>-39</v>
      </c>
      <c r="H9">
        <v>-38</v>
      </c>
      <c r="I9">
        <v>4</v>
      </c>
      <c r="J9">
        <v>-11</v>
      </c>
      <c r="K9">
        <v>4</v>
      </c>
      <c r="L9">
        <v>8</v>
      </c>
      <c r="M9">
        <v>-1</v>
      </c>
      <c r="N9">
        <v>-16</v>
      </c>
      <c r="O9">
        <v>-38</v>
      </c>
      <c r="P9">
        <v>-32</v>
      </c>
      <c r="Q9">
        <v>-36</v>
      </c>
      <c r="R9">
        <v>-37</v>
      </c>
      <c r="S9">
        <v>-13</v>
      </c>
      <c r="T9">
        <v>-28</v>
      </c>
      <c r="U9">
        <v>-44</v>
      </c>
      <c r="V9">
        <v>-47</v>
      </c>
      <c r="W9">
        <v>-35</v>
      </c>
      <c r="X9">
        <v>-38</v>
      </c>
    </row>
    <row r="10" spans="1:24">
      <c r="A10" t="s">
        <v>32</v>
      </c>
      <c r="B10">
        <v>10</v>
      </c>
      <c r="C10">
        <v>-105</v>
      </c>
      <c r="D10">
        <v>-95</v>
      </c>
      <c r="E10">
        <v>-15</v>
      </c>
      <c r="F10">
        <v>5</v>
      </c>
      <c r="G10">
        <v>-50</v>
      </c>
      <c r="H10">
        <v>45</v>
      </c>
      <c r="I10">
        <v>-65</v>
      </c>
      <c r="J10">
        <v>-65</v>
      </c>
      <c r="K10">
        <v>-70</v>
      </c>
      <c r="L10">
        <v>10</v>
      </c>
      <c r="M10">
        <v>-65</v>
      </c>
      <c r="N10">
        <v>-105</v>
      </c>
      <c r="O10">
        <v>-120</v>
      </c>
      <c r="P10">
        <v>-45</v>
      </c>
      <c r="Q10">
        <v>-90</v>
      </c>
      <c r="R10">
        <v>-100</v>
      </c>
      <c r="S10">
        <v>20</v>
      </c>
      <c r="T10">
        <v>-175</v>
      </c>
      <c r="U10">
        <v>-110</v>
      </c>
      <c r="V10">
        <v>-115</v>
      </c>
      <c r="W10">
        <v>-265</v>
      </c>
      <c r="X10">
        <v>-140</v>
      </c>
    </row>
    <row r="11" spans="1:24">
      <c r="A11" t="s">
        <v>21</v>
      </c>
      <c r="B11">
        <v>-150</v>
      </c>
      <c r="C11">
        <v>-170</v>
      </c>
      <c r="D11">
        <v>-200</v>
      </c>
      <c r="E11">
        <v>-150</v>
      </c>
      <c r="F11">
        <v>-165</v>
      </c>
      <c r="G11">
        <v>-140</v>
      </c>
      <c r="H11">
        <v>-70</v>
      </c>
      <c r="I11">
        <v>-100</v>
      </c>
      <c r="J11">
        <v>-70</v>
      </c>
      <c r="K11">
        <v>-70</v>
      </c>
      <c r="L11">
        <v>-70</v>
      </c>
      <c r="M11">
        <v>-85</v>
      </c>
      <c r="N11">
        <v>-85</v>
      </c>
      <c r="O11">
        <v>-40</v>
      </c>
      <c r="P11">
        <v>-70</v>
      </c>
      <c r="Q11">
        <v>-115</v>
      </c>
      <c r="R11">
        <v>-83</v>
      </c>
      <c r="S11">
        <v>-75</v>
      </c>
      <c r="T11">
        <v>-80</v>
      </c>
      <c r="U11">
        <v>10</v>
      </c>
      <c r="V11">
        <v>-100</v>
      </c>
      <c r="W11">
        <v>-180</v>
      </c>
      <c r="X11">
        <v>-115</v>
      </c>
    </row>
    <row r="12" spans="1:24">
      <c r="A12" t="s">
        <v>33</v>
      </c>
      <c r="B12">
        <v>-130</v>
      </c>
      <c r="C12">
        <v>-145</v>
      </c>
      <c r="D12">
        <v>-172</v>
      </c>
      <c r="E12">
        <v>-111</v>
      </c>
      <c r="F12">
        <v>-133</v>
      </c>
      <c r="G12">
        <v>-129</v>
      </c>
      <c r="H12">
        <v>-132</v>
      </c>
      <c r="I12">
        <v>-125</v>
      </c>
      <c r="J12">
        <v>-75</v>
      </c>
      <c r="K12">
        <v>-75</v>
      </c>
      <c r="L12">
        <v>-75</v>
      </c>
      <c r="M12">
        <v>-74</v>
      </c>
      <c r="N12">
        <v>-75</v>
      </c>
      <c r="O12">
        <v>-75</v>
      </c>
      <c r="P12">
        <v>-65</v>
      </c>
      <c r="Q12">
        <v>-122</v>
      </c>
      <c r="R12">
        <v>-75</v>
      </c>
      <c r="S12">
        <v>-69</v>
      </c>
      <c r="T12">
        <v>-60</v>
      </c>
      <c r="U12">
        <v>-12</v>
      </c>
      <c r="V12">
        <v>-65</v>
      </c>
      <c r="W12">
        <v>-150</v>
      </c>
      <c r="X12">
        <v>-83</v>
      </c>
    </row>
    <row r="13" spans="1:24">
      <c r="A13" t="s">
        <v>13</v>
      </c>
      <c r="B13">
        <v>150</v>
      </c>
      <c r="C13">
        <v>172</v>
      </c>
      <c r="D13">
        <v>81</v>
      </c>
      <c r="E13">
        <v>115</v>
      </c>
      <c r="F13">
        <v>129</v>
      </c>
      <c r="G13">
        <v>152</v>
      </c>
      <c r="H13">
        <v>150</v>
      </c>
      <c r="I13">
        <v>175</v>
      </c>
      <c r="J13">
        <v>2</v>
      </c>
      <c r="K13">
        <v>22</v>
      </c>
      <c r="L13">
        <v>10</v>
      </c>
      <c r="M13">
        <v>10</v>
      </c>
      <c r="N13">
        <v>-10</v>
      </c>
      <c r="O13">
        <v>6</v>
      </c>
      <c r="P13">
        <v>-30</v>
      </c>
      <c r="Q13">
        <v>-45</v>
      </c>
      <c r="R13">
        <v>-38</v>
      </c>
      <c r="S13">
        <v>-22</v>
      </c>
      <c r="T13">
        <v>-61</v>
      </c>
      <c r="U13">
        <v>-75</v>
      </c>
      <c r="V13">
        <v>-40</v>
      </c>
      <c r="W13">
        <v>-35</v>
      </c>
      <c r="X13">
        <v>-37</v>
      </c>
    </row>
    <row r="14" spans="1:24">
      <c r="A14" t="s">
        <v>26</v>
      </c>
      <c r="B14">
        <v>-18</v>
      </c>
      <c r="C14">
        <v>-70</v>
      </c>
      <c r="D14">
        <v>-80</v>
      </c>
      <c r="E14">
        <v>-96</v>
      </c>
      <c r="F14">
        <v>-80</v>
      </c>
      <c r="G14">
        <v>-94</v>
      </c>
      <c r="H14">
        <v>-78</v>
      </c>
      <c r="I14">
        <v>-30</v>
      </c>
      <c r="J14">
        <v>16</v>
      </c>
      <c r="K14">
        <v>2</v>
      </c>
      <c r="L14">
        <v>-6</v>
      </c>
      <c r="M14">
        <v>-42</v>
      </c>
      <c r="N14">
        <v>-66</v>
      </c>
      <c r="O14">
        <v>-164</v>
      </c>
      <c r="P14">
        <v>-158</v>
      </c>
      <c r="Q14">
        <v>-214</v>
      </c>
      <c r="R14">
        <v>-290</v>
      </c>
      <c r="S14">
        <v>-276</v>
      </c>
      <c r="T14">
        <v>-298</v>
      </c>
      <c r="U14">
        <v>-294</v>
      </c>
      <c r="V14">
        <v>-328</v>
      </c>
      <c r="W14">
        <v>-464</v>
      </c>
      <c r="X14">
        <v>-516</v>
      </c>
    </row>
    <row r="15" spans="1:24">
      <c r="A15" t="s">
        <v>6</v>
      </c>
      <c r="B15">
        <v>-78</v>
      </c>
      <c r="C15">
        <v>-47</v>
      </c>
      <c r="D15">
        <v>-13</v>
      </c>
      <c r="E15">
        <v>23</v>
      </c>
      <c r="F15">
        <v>24</v>
      </c>
      <c r="G15">
        <v>49</v>
      </c>
      <c r="H15">
        <v>-15</v>
      </c>
      <c r="I15">
        <v>71</v>
      </c>
      <c r="J15">
        <v>81</v>
      </c>
      <c r="K15">
        <v>83</v>
      </c>
      <c r="L15">
        <v>78</v>
      </c>
      <c r="M15">
        <v>32</v>
      </c>
      <c r="N15">
        <v>13</v>
      </c>
      <c r="O15">
        <v>21</v>
      </c>
      <c r="P15">
        <v>14</v>
      </c>
      <c r="Q15">
        <v>147</v>
      </c>
      <c r="R15">
        <v>176</v>
      </c>
      <c r="S15">
        <v>218</v>
      </c>
      <c r="T15">
        <v>206</v>
      </c>
      <c r="U15">
        <v>187</v>
      </c>
      <c r="V15">
        <v>253</v>
      </c>
      <c r="W15">
        <v>273</v>
      </c>
      <c r="X15">
        <v>258</v>
      </c>
    </row>
    <row r="16" spans="1:24">
      <c r="A16" t="s">
        <v>15</v>
      </c>
      <c r="B16">
        <v>-50</v>
      </c>
      <c r="C16">
        <v>-61</v>
      </c>
      <c r="D16">
        <v>-27</v>
      </c>
      <c r="E16">
        <v>-10</v>
      </c>
      <c r="F16">
        <v>-1</v>
      </c>
      <c r="G16">
        <v>18</v>
      </c>
      <c r="H16">
        <v>22</v>
      </c>
      <c r="I16">
        <v>37</v>
      </c>
      <c r="J16">
        <v>82</v>
      </c>
      <c r="K16">
        <v>89</v>
      </c>
      <c r="L16">
        <v>88</v>
      </c>
      <c r="M16">
        <v>90</v>
      </c>
      <c r="N16">
        <v>112</v>
      </c>
      <c r="O16">
        <v>131</v>
      </c>
      <c r="P16">
        <v>150</v>
      </c>
      <c r="Q16">
        <v>156</v>
      </c>
      <c r="R16">
        <v>183</v>
      </c>
      <c r="S16">
        <v>178</v>
      </c>
      <c r="T16">
        <v>119</v>
      </c>
      <c r="U16">
        <v>114</v>
      </c>
      <c r="V16">
        <v>122</v>
      </c>
      <c r="W16">
        <v>123</v>
      </c>
      <c r="X16">
        <v>114</v>
      </c>
    </row>
    <row r="17" spans="1:24">
      <c r="A17" t="s">
        <v>11</v>
      </c>
      <c r="B17">
        <v>140</v>
      </c>
      <c r="C17">
        <v>101</v>
      </c>
      <c r="D17">
        <v>66</v>
      </c>
      <c r="E17">
        <v>67</v>
      </c>
      <c r="F17">
        <v>88</v>
      </c>
      <c r="G17">
        <v>88</v>
      </c>
      <c r="H17">
        <v>53</v>
      </c>
      <c r="I17">
        <v>-39</v>
      </c>
      <c r="J17">
        <v>63</v>
      </c>
      <c r="K17">
        <v>77</v>
      </c>
      <c r="L17">
        <v>29</v>
      </c>
      <c r="M17">
        <v>69</v>
      </c>
      <c r="N17">
        <v>54</v>
      </c>
      <c r="O17">
        <v>55</v>
      </c>
      <c r="P17">
        <v>56</v>
      </c>
      <c r="Q17">
        <v>61</v>
      </c>
      <c r="R17">
        <v>73</v>
      </c>
      <c r="S17">
        <v>61</v>
      </c>
      <c r="T17">
        <v>35</v>
      </c>
      <c r="U17">
        <v>46</v>
      </c>
      <c r="V17">
        <v>22</v>
      </c>
      <c r="W17">
        <v>59</v>
      </c>
      <c r="X17">
        <v>59</v>
      </c>
    </row>
    <row r="18" spans="1:24">
      <c r="A18" t="s">
        <v>23</v>
      </c>
      <c r="B18">
        <v>0</v>
      </c>
      <c r="C18">
        <v>0</v>
      </c>
      <c r="D18">
        <v>-30</v>
      </c>
      <c r="E18">
        <v>-30</v>
      </c>
      <c r="F18">
        <v>-30</v>
      </c>
      <c r="G18">
        <v>-26</v>
      </c>
      <c r="H18">
        <v>-31</v>
      </c>
      <c r="I18">
        <v>-174</v>
      </c>
      <c r="J18">
        <v>-90</v>
      </c>
      <c r="K18">
        <v>-81</v>
      </c>
      <c r="L18">
        <v>-90</v>
      </c>
      <c r="M18">
        <v>-44</v>
      </c>
      <c r="N18">
        <v>-48</v>
      </c>
      <c r="O18">
        <v>-45</v>
      </c>
      <c r="P18">
        <v>-33</v>
      </c>
      <c r="Q18">
        <v>-33</v>
      </c>
      <c r="R18">
        <v>-41</v>
      </c>
      <c r="S18">
        <v>-48</v>
      </c>
      <c r="T18">
        <v>-45</v>
      </c>
      <c r="U18">
        <v>-53</v>
      </c>
      <c r="V18">
        <v>-40</v>
      </c>
      <c r="W18">
        <v>-48</v>
      </c>
      <c r="X18">
        <v>-65</v>
      </c>
    </row>
    <row r="19" spans="1:24">
      <c r="A19" t="s">
        <v>14</v>
      </c>
      <c r="B19">
        <v>71</v>
      </c>
      <c r="C19">
        <v>60</v>
      </c>
      <c r="D19">
        <v>72</v>
      </c>
      <c r="E19">
        <v>63</v>
      </c>
      <c r="F19">
        <v>62</v>
      </c>
      <c r="G19">
        <v>61</v>
      </c>
      <c r="H19">
        <v>57</v>
      </c>
      <c r="I19">
        <v>51</v>
      </c>
      <c r="J19">
        <v>58</v>
      </c>
      <c r="K19">
        <v>70</v>
      </c>
      <c r="L19">
        <v>52</v>
      </c>
      <c r="M19">
        <v>46</v>
      </c>
      <c r="N19">
        <v>44</v>
      </c>
      <c r="O19">
        <v>45</v>
      </c>
      <c r="P19">
        <v>55</v>
      </c>
      <c r="Q19">
        <v>54</v>
      </c>
      <c r="R19">
        <v>46</v>
      </c>
      <c r="S19">
        <v>45</v>
      </c>
      <c r="T19">
        <v>62</v>
      </c>
      <c r="U19">
        <v>58</v>
      </c>
      <c r="V19">
        <v>55</v>
      </c>
      <c r="W19">
        <v>54</v>
      </c>
      <c r="X19">
        <v>53</v>
      </c>
    </row>
    <row r="20" spans="1:24">
      <c r="A20" t="s">
        <v>8</v>
      </c>
      <c r="B20">
        <v>98</v>
      </c>
      <c r="C20">
        <v>139</v>
      </c>
      <c r="D20">
        <v>145</v>
      </c>
      <c r="E20">
        <v>135</v>
      </c>
      <c r="F20">
        <v>132</v>
      </c>
      <c r="G20">
        <v>73</v>
      </c>
      <c r="H20">
        <v>86</v>
      </c>
      <c r="I20">
        <v>89</v>
      </c>
      <c r="J20">
        <v>93</v>
      </c>
      <c r="K20">
        <v>117</v>
      </c>
      <c r="L20">
        <v>87</v>
      </c>
      <c r="M20">
        <v>78</v>
      </c>
      <c r="N20">
        <v>76</v>
      </c>
      <c r="O20">
        <v>73</v>
      </c>
      <c r="P20">
        <v>91</v>
      </c>
      <c r="Q20">
        <v>93</v>
      </c>
      <c r="R20">
        <v>104</v>
      </c>
      <c r="S20">
        <v>99</v>
      </c>
      <c r="T20">
        <v>138</v>
      </c>
      <c r="U20">
        <v>133</v>
      </c>
      <c r="V20">
        <v>129</v>
      </c>
      <c r="W20">
        <v>164</v>
      </c>
      <c r="X20">
        <v>167</v>
      </c>
    </row>
    <row r="21" spans="1:24">
      <c r="A21" t="s">
        <v>34</v>
      </c>
      <c r="B21">
        <v>-34</v>
      </c>
      <c r="C21">
        <v>-54</v>
      </c>
      <c r="D21">
        <v>-78</v>
      </c>
      <c r="E21">
        <v>-66</v>
      </c>
      <c r="F21">
        <v>-36</v>
      </c>
      <c r="G21">
        <v>-44</v>
      </c>
      <c r="H21">
        <v>-78</v>
      </c>
      <c r="I21">
        <v>-68</v>
      </c>
      <c r="J21">
        <v>-44</v>
      </c>
      <c r="K21">
        <v>-60</v>
      </c>
      <c r="L21">
        <v>-54</v>
      </c>
      <c r="M21">
        <v>-30</v>
      </c>
      <c r="N21">
        <v>-90</v>
      </c>
      <c r="O21">
        <v>-62</v>
      </c>
      <c r="P21">
        <v>-130</v>
      </c>
      <c r="Q21">
        <v>-140</v>
      </c>
      <c r="R21">
        <v>-100</v>
      </c>
      <c r="S21">
        <v>-166</v>
      </c>
      <c r="T21">
        <v>-208</v>
      </c>
      <c r="U21">
        <v>-168</v>
      </c>
      <c r="V21">
        <v>-214</v>
      </c>
      <c r="W21">
        <v>-196</v>
      </c>
      <c r="X21">
        <v>-178</v>
      </c>
    </row>
    <row r="22" spans="1:24">
      <c r="A22" t="s">
        <v>25</v>
      </c>
      <c r="B22">
        <v>-94</v>
      </c>
      <c r="C22">
        <v>-46</v>
      </c>
      <c r="D22">
        <v>-110</v>
      </c>
      <c r="E22">
        <v>-78</v>
      </c>
      <c r="F22">
        <v>-86</v>
      </c>
      <c r="G22">
        <v>-68</v>
      </c>
      <c r="H22">
        <v>-96</v>
      </c>
      <c r="I22">
        <v>-60</v>
      </c>
      <c r="J22">
        <v>-80</v>
      </c>
      <c r="K22">
        <v>-114</v>
      </c>
      <c r="L22">
        <v>-132</v>
      </c>
      <c r="M22">
        <v>-60</v>
      </c>
      <c r="N22">
        <v>-100</v>
      </c>
      <c r="O22">
        <v>-82</v>
      </c>
      <c r="P22">
        <v>-86</v>
      </c>
      <c r="Q22">
        <v>-78</v>
      </c>
      <c r="R22">
        <v>-80</v>
      </c>
      <c r="S22">
        <v>-106</v>
      </c>
      <c r="T22">
        <v>-92</v>
      </c>
      <c r="U22">
        <v>-100</v>
      </c>
      <c r="V22">
        <v>-96</v>
      </c>
      <c r="W22">
        <v>-88</v>
      </c>
      <c r="X22">
        <v>-106</v>
      </c>
    </row>
    <row r="23" spans="1:24">
      <c r="A23" t="s">
        <v>16</v>
      </c>
      <c r="B23">
        <v>202</v>
      </c>
      <c r="C23">
        <v>140</v>
      </c>
      <c r="D23">
        <v>100</v>
      </c>
      <c r="E23">
        <v>140</v>
      </c>
      <c r="F23">
        <v>-848</v>
      </c>
      <c r="G23">
        <v>162</v>
      </c>
      <c r="H23">
        <v>170</v>
      </c>
      <c r="I23">
        <v>272</v>
      </c>
      <c r="J23">
        <v>270</v>
      </c>
      <c r="K23">
        <v>212</v>
      </c>
      <c r="L23">
        <v>210</v>
      </c>
      <c r="M23">
        <v>212</v>
      </c>
      <c r="N23">
        <v>178</v>
      </c>
      <c r="O23">
        <v>180</v>
      </c>
      <c r="P23">
        <v>180</v>
      </c>
      <c r="Q23">
        <v>156</v>
      </c>
      <c r="R23">
        <v>166</v>
      </c>
      <c r="S23">
        <v>86</v>
      </c>
      <c r="T23">
        <v>62</v>
      </c>
      <c r="U23">
        <v>120</v>
      </c>
      <c r="V23">
        <v>88</v>
      </c>
      <c r="W23">
        <v>90</v>
      </c>
      <c r="X23">
        <v>90</v>
      </c>
    </row>
    <row r="24" spans="1:24">
      <c r="A24" t="s">
        <v>10</v>
      </c>
      <c r="B24">
        <v>128</v>
      </c>
      <c r="C24">
        <v>251</v>
      </c>
      <c r="D24">
        <v>243</v>
      </c>
      <c r="E24">
        <v>255</v>
      </c>
      <c r="F24">
        <v>124</v>
      </c>
      <c r="G24">
        <v>102</v>
      </c>
      <c r="H24">
        <v>118</v>
      </c>
      <c r="I24">
        <v>171</v>
      </c>
      <c r="J24">
        <v>161</v>
      </c>
      <c r="K24">
        <v>132</v>
      </c>
      <c r="L24">
        <v>122</v>
      </c>
      <c r="M24">
        <v>182</v>
      </c>
      <c r="N24">
        <v>132</v>
      </c>
      <c r="O24">
        <v>160</v>
      </c>
      <c r="P24">
        <v>138</v>
      </c>
      <c r="Q24">
        <v>136</v>
      </c>
      <c r="R24">
        <v>192</v>
      </c>
      <c r="S24">
        <v>186</v>
      </c>
      <c r="T24">
        <v>163</v>
      </c>
      <c r="U24">
        <v>213</v>
      </c>
      <c r="V24">
        <v>206</v>
      </c>
      <c r="W24">
        <v>183</v>
      </c>
      <c r="X24">
        <v>174</v>
      </c>
    </row>
    <row r="25" spans="1:24">
      <c r="A25" t="s">
        <v>35</v>
      </c>
      <c r="B25">
        <v>115</v>
      </c>
      <c r="C25">
        <v>300</v>
      </c>
      <c r="D25">
        <v>220</v>
      </c>
      <c r="E25">
        <v>275</v>
      </c>
      <c r="F25">
        <v>260</v>
      </c>
      <c r="G25">
        <v>205</v>
      </c>
      <c r="H25">
        <v>370</v>
      </c>
      <c r="I25">
        <v>470</v>
      </c>
      <c r="J25">
        <v>550</v>
      </c>
      <c r="K25">
        <v>585</v>
      </c>
      <c r="L25">
        <v>565</v>
      </c>
      <c r="M25">
        <v>570</v>
      </c>
      <c r="N25">
        <v>505</v>
      </c>
      <c r="O25">
        <v>395</v>
      </c>
      <c r="P25">
        <v>400</v>
      </c>
      <c r="Q25">
        <v>370</v>
      </c>
      <c r="R25">
        <v>255</v>
      </c>
      <c r="S25">
        <v>285</v>
      </c>
      <c r="T25">
        <v>255</v>
      </c>
      <c r="U25">
        <v>195</v>
      </c>
      <c r="V25">
        <v>50</v>
      </c>
      <c r="W25">
        <v>-70</v>
      </c>
      <c r="X25">
        <v>-65</v>
      </c>
    </row>
    <row r="26" spans="1:24">
      <c r="A26" t="s">
        <v>24</v>
      </c>
      <c r="B26">
        <v>-120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-180</v>
      </c>
      <c r="L26">
        <v>-450</v>
      </c>
      <c r="M26">
        <v>-275</v>
      </c>
      <c r="N26">
        <v>-380</v>
      </c>
      <c r="O26">
        <v>-350</v>
      </c>
      <c r="P26">
        <v>-225</v>
      </c>
      <c r="Q26">
        <v>-135</v>
      </c>
      <c r="R26">
        <v>-475</v>
      </c>
      <c r="S26">
        <v>-405</v>
      </c>
      <c r="T26">
        <v>-430</v>
      </c>
      <c r="U26">
        <v>-485</v>
      </c>
      <c r="V26">
        <v>-435</v>
      </c>
      <c r="W26">
        <v>-510</v>
      </c>
      <c r="X26">
        <v>-540</v>
      </c>
    </row>
    <row r="27" spans="1:24">
      <c r="A27" t="s">
        <v>36</v>
      </c>
      <c r="B27">
        <v>-250</v>
      </c>
      <c r="C27">
        <v>-250</v>
      </c>
      <c r="D27">
        <v>-60</v>
      </c>
      <c r="E27">
        <v>0</v>
      </c>
      <c r="F27">
        <v>-200</v>
      </c>
      <c r="G27">
        <v>-480</v>
      </c>
      <c r="H27">
        <v>1870</v>
      </c>
      <c r="I27">
        <v>620</v>
      </c>
      <c r="J27">
        <v>620</v>
      </c>
      <c r="K27">
        <v>620</v>
      </c>
      <c r="L27">
        <v>-20</v>
      </c>
      <c r="M27">
        <v>-20</v>
      </c>
      <c r="N27">
        <v>-50</v>
      </c>
      <c r="O27">
        <v>-160</v>
      </c>
      <c r="P27">
        <v>-140</v>
      </c>
      <c r="Q27">
        <v>-180</v>
      </c>
      <c r="R27">
        <v>-460</v>
      </c>
      <c r="S27">
        <v>50</v>
      </c>
      <c r="T27">
        <v>-270</v>
      </c>
      <c r="U27">
        <v>-310</v>
      </c>
      <c r="V27">
        <v>-40</v>
      </c>
      <c r="W27">
        <v>-80</v>
      </c>
      <c r="X27">
        <v>-140</v>
      </c>
    </row>
    <row r="28" spans="1:24">
      <c r="A28" t="s">
        <v>22</v>
      </c>
      <c r="B28">
        <v>-200</v>
      </c>
      <c r="C28">
        <v>-170</v>
      </c>
      <c r="D28">
        <v>-165</v>
      </c>
      <c r="E28">
        <v>-185</v>
      </c>
      <c r="F28">
        <v>-270</v>
      </c>
      <c r="G28">
        <v>-330</v>
      </c>
      <c r="H28">
        <v>-240</v>
      </c>
      <c r="I28">
        <v>-30</v>
      </c>
      <c r="J28">
        <v>-30</v>
      </c>
      <c r="K28">
        <v>-30</v>
      </c>
      <c r="L28">
        <v>-230</v>
      </c>
      <c r="M28">
        <v>-230</v>
      </c>
      <c r="N28">
        <v>-130</v>
      </c>
      <c r="O28">
        <v>-85</v>
      </c>
      <c r="P28">
        <v>-50</v>
      </c>
      <c r="Q28">
        <v>-130</v>
      </c>
      <c r="R28">
        <v>-100</v>
      </c>
      <c r="S28">
        <v>-95</v>
      </c>
      <c r="T28">
        <v>-130</v>
      </c>
      <c r="U28">
        <v>-115</v>
      </c>
      <c r="V28">
        <v>-90</v>
      </c>
      <c r="W28">
        <v>-80</v>
      </c>
      <c r="X28">
        <v>-150</v>
      </c>
    </row>
    <row r="29" spans="1:24">
      <c r="A29" t="s">
        <v>37</v>
      </c>
      <c r="B29">
        <v>40</v>
      </c>
      <c r="C29">
        <v>-200</v>
      </c>
      <c r="D29">
        <v>-60</v>
      </c>
      <c r="E29">
        <v>-35</v>
      </c>
      <c r="F29">
        <v>-30</v>
      </c>
      <c r="G29">
        <v>-155</v>
      </c>
      <c r="H29">
        <v>460</v>
      </c>
      <c r="I29">
        <v>10</v>
      </c>
      <c r="J29">
        <v>10</v>
      </c>
      <c r="K29">
        <v>10</v>
      </c>
      <c r="L29">
        <v>-150</v>
      </c>
      <c r="M29">
        <v>-150</v>
      </c>
      <c r="N29">
        <v>-30</v>
      </c>
      <c r="O29">
        <v>-50</v>
      </c>
      <c r="P29">
        <v>-90</v>
      </c>
      <c r="Q29">
        <v>-120</v>
      </c>
      <c r="R29">
        <v>-160</v>
      </c>
      <c r="S29">
        <v>60</v>
      </c>
      <c r="T29">
        <v>-20</v>
      </c>
      <c r="U29">
        <v>-145</v>
      </c>
      <c r="V29">
        <v>60</v>
      </c>
      <c r="W29">
        <v>-80</v>
      </c>
      <c r="X29">
        <v>-20</v>
      </c>
    </row>
    <row r="30" spans="1:24">
      <c r="A30" t="s">
        <v>38</v>
      </c>
      <c r="B30">
        <v>-590</v>
      </c>
      <c r="C30">
        <v>-1380</v>
      </c>
      <c r="D30">
        <v>-1380</v>
      </c>
      <c r="E30">
        <v>-500</v>
      </c>
      <c r="F30">
        <v>-1600</v>
      </c>
      <c r="G30">
        <v>-2020</v>
      </c>
      <c r="H30">
        <v>-1350</v>
      </c>
      <c r="I30">
        <v>-2690</v>
      </c>
      <c r="J30">
        <v>-3340</v>
      </c>
      <c r="K30">
        <v>-720</v>
      </c>
      <c r="L30">
        <v>-1970</v>
      </c>
      <c r="M30">
        <v>-920</v>
      </c>
      <c r="N30">
        <v>-970</v>
      </c>
      <c r="O30">
        <v>-1510</v>
      </c>
      <c r="P30">
        <v>-1360</v>
      </c>
      <c r="Q30">
        <v>-2340</v>
      </c>
      <c r="R30">
        <v>-830</v>
      </c>
      <c r="S30">
        <v>-590</v>
      </c>
      <c r="T30">
        <v>-1370</v>
      </c>
      <c r="U30">
        <v>-1480</v>
      </c>
      <c r="V30">
        <v>-670</v>
      </c>
      <c r="W30">
        <v>-2210</v>
      </c>
      <c r="X30">
        <v>-1990</v>
      </c>
    </row>
    <row r="31" spans="1:24">
      <c r="A31" t="s">
        <v>18</v>
      </c>
      <c r="B31">
        <v>375.10000000000036</v>
      </c>
      <c r="C31">
        <v>359.10000000000036</v>
      </c>
      <c r="D31">
        <v>336.5</v>
      </c>
      <c r="E31">
        <v>414.89999999999964</v>
      </c>
      <c r="F31">
        <v>414.69999999999982</v>
      </c>
      <c r="G31">
        <v>389.69999999999982</v>
      </c>
      <c r="H31">
        <v>560.89999999999964</v>
      </c>
      <c r="I31">
        <v>528.30000000000018</v>
      </c>
      <c r="J31">
        <v>664.30000000000018</v>
      </c>
      <c r="K31">
        <v>680.5</v>
      </c>
      <c r="L31">
        <v>733.30000000000018</v>
      </c>
      <c r="M31">
        <v>890.30000000000018</v>
      </c>
      <c r="N31">
        <v>647.30000000000018</v>
      </c>
      <c r="O31">
        <v>731.30000000000018</v>
      </c>
      <c r="P31">
        <v>707.5</v>
      </c>
      <c r="Q31">
        <v>414.5</v>
      </c>
      <c r="R31">
        <v>408.10000000000036</v>
      </c>
      <c r="S31">
        <v>424.30000000000018</v>
      </c>
      <c r="T31">
        <v>207.69999999999982</v>
      </c>
      <c r="U31">
        <v>91.5</v>
      </c>
      <c r="V31">
        <v>82.100000000000364</v>
      </c>
      <c r="W31">
        <v>-2.6999999999998181</v>
      </c>
      <c r="X31">
        <v>-4.2799999999997453</v>
      </c>
    </row>
    <row r="32" spans="1:24">
      <c r="A32" t="s">
        <v>19</v>
      </c>
      <c r="B32">
        <v>324.12999999999965</v>
      </c>
      <c r="C32">
        <v>319.12999999999965</v>
      </c>
      <c r="D32">
        <v>294.12999999999965</v>
      </c>
      <c r="E32">
        <v>304.92999999999984</v>
      </c>
      <c r="F32">
        <v>262.73</v>
      </c>
      <c r="G32">
        <v>208.32999999999993</v>
      </c>
      <c r="H32">
        <v>226.52999999999975</v>
      </c>
      <c r="I32">
        <v>252.12999999999965</v>
      </c>
      <c r="J32">
        <v>311.73</v>
      </c>
      <c r="K32">
        <v>336.32999999999993</v>
      </c>
      <c r="L32">
        <v>388.12999999999965</v>
      </c>
      <c r="M32">
        <v>406.73</v>
      </c>
      <c r="N32">
        <v>244.32999999999993</v>
      </c>
      <c r="O32">
        <v>161.92999999999984</v>
      </c>
      <c r="P32">
        <v>70.329999999999927</v>
      </c>
      <c r="Q32">
        <v>-12.870000000000346</v>
      </c>
      <c r="R32">
        <v>22.329999999999927</v>
      </c>
      <c r="S32">
        <v>39.730000000000018</v>
      </c>
      <c r="T32">
        <v>55.329999999999927</v>
      </c>
      <c r="U32">
        <v>93.129999999999654</v>
      </c>
      <c r="V32">
        <v>53.329999999999927</v>
      </c>
      <c r="W32">
        <v>-8.6700000000000728</v>
      </c>
      <c r="X32">
        <v>-7.3400000000001455</v>
      </c>
    </row>
    <row r="33" spans="1:24">
      <c r="A33" t="s">
        <v>39</v>
      </c>
      <c r="B33">
        <v>397.89000000000033</v>
      </c>
      <c r="C33">
        <v>379.89000000000033</v>
      </c>
      <c r="D33">
        <v>354.89000000000033</v>
      </c>
      <c r="E33">
        <v>381.09000000000015</v>
      </c>
      <c r="F33">
        <v>347.89000000000033</v>
      </c>
      <c r="G33">
        <v>281.69000000000051</v>
      </c>
      <c r="H33">
        <v>340.29000000000042</v>
      </c>
      <c r="I33">
        <v>342.29000000000042</v>
      </c>
      <c r="J33">
        <v>430.89000000000033</v>
      </c>
      <c r="K33">
        <v>469.29000000000042</v>
      </c>
      <c r="L33">
        <v>524.29000000000042</v>
      </c>
      <c r="M33">
        <v>608.69000000000005</v>
      </c>
      <c r="N33">
        <v>393.09000000000015</v>
      </c>
      <c r="O33">
        <v>366.89000000000033</v>
      </c>
      <c r="P33">
        <v>270.09000000000015</v>
      </c>
      <c r="Q33">
        <v>125.89000000000033</v>
      </c>
      <c r="R33">
        <v>119.49000000000069</v>
      </c>
      <c r="S33">
        <v>150.49000000000069</v>
      </c>
      <c r="T33">
        <v>109.89000000000033</v>
      </c>
      <c r="U33">
        <v>122.28999999999996</v>
      </c>
      <c r="V33">
        <v>74.690000000000509</v>
      </c>
      <c r="W33">
        <v>-7.9099999999998545</v>
      </c>
      <c r="X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3"/>
  <sheetViews>
    <sheetView workbookViewId="0">
      <selection activeCell="I40" sqref="I40"/>
    </sheetView>
  </sheetViews>
  <sheetFormatPr defaultRowHeight="13.5"/>
  <sheetData>
    <row r="1" spans="1:23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</row>
    <row r="2" spans="1:23">
      <c r="A2" t="s">
        <v>5</v>
      </c>
      <c r="B2">
        <v>-2</v>
      </c>
      <c r="C2">
        <v>-77.5</v>
      </c>
      <c r="D2">
        <v>-84</v>
      </c>
      <c r="E2">
        <v>-80.5</v>
      </c>
      <c r="F2">
        <v>-97</v>
      </c>
      <c r="G2">
        <v>-111</v>
      </c>
      <c r="H2">
        <v>-55</v>
      </c>
      <c r="I2">
        <v>-121</v>
      </c>
      <c r="J2">
        <v>-91</v>
      </c>
      <c r="K2">
        <v>-74</v>
      </c>
      <c r="L2">
        <v>-81</v>
      </c>
      <c r="M2">
        <v>-92</v>
      </c>
      <c r="N2">
        <v>-121</v>
      </c>
      <c r="O2">
        <v>-125.5</v>
      </c>
      <c r="P2">
        <v>-96.5</v>
      </c>
      <c r="Q2">
        <v>-94.5</v>
      </c>
      <c r="R2">
        <v>-39.5</v>
      </c>
      <c r="S2">
        <v>20</v>
      </c>
      <c r="T2">
        <v>106.5</v>
      </c>
      <c r="U2">
        <v>96.5</v>
      </c>
      <c r="V2">
        <v>68</v>
      </c>
      <c r="W2">
        <v>74.5</v>
      </c>
    </row>
    <row r="3" spans="1:23">
      <c r="A3" t="s">
        <v>7</v>
      </c>
      <c r="B3">
        <v>83.5</v>
      </c>
      <c r="C3">
        <v>61.5</v>
      </c>
      <c r="D3">
        <v>50</v>
      </c>
      <c r="E3">
        <v>50</v>
      </c>
      <c r="F3">
        <v>41</v>
      </c>
      <c r="G3">
        <v>16.5</v>
      </c>
      <c r="H3">
        <v>31</v>
      </c>
      <c r="I3">
        <v>53</v>
      </c>
      <c r="J3">
        <v>55.5</v>
      </c>
      <c r="K3">
        <v>66.5</v>
      </c>
      <c r="L3">
        <v>62.5</v>
      </c>
      <c r="M3">
        <v>65</v>
      </c>
      <c r="N3">
        <v>56.5</v>
      </c>
      <c r="O3">
        <v>57.5</v>
      </c>
      <c r="P3">
        <v>68.5</v>
      </c>
      <c r="Q3">
        <v>58.5</v>
      </c>
      <c r="R3">
        <v>40</v>
      </c>
      <c r="S3">
        <v>67</v>
      </c>
      <c r="T3">
        <v>42.5</v>
      </c>
      <c r="U3">
        <v>39</v>
      </c>
      <c r="V3">
        <v>94.5</v>
      </c>
      <c r="W3">
        <v>98.5</v>
      </c>
    </row>
    <row r="4" spans="1:23">
      <c r="A4" t="s">
        <v>4</v>
      </c>
      <c r="B4">
        <v>65.600000000000023</v>
      </c>
      <c r="C4">
        <v>69</v>
      </c>
      <c r="D4">
        <v>81.399999999999977</v>
      </c>
      <c r="E4">
        <v>89.600000000000023</v>
      </c>
      <c r="F4">
        <v>105.60000000000002</v>
      </c>
      <c r="G4">
        <v>111.39999999999998</v>
      </c>
      <c r="H4">
        <v>118.60000000000002</v>
      </c>
      <c r="I4">
        <v>124.60000000000002</v>
      </c>
      <c r="J4">
        <v>130</v>
      </c>
      <c r="K4">
        <v>130.39999999999998</v>
      </c>
      <c r="L4">
        <v>136</v>
      </c>
      <c r="M4">
        <v>132</v>
      </c>
      <c r="N4">
        <v>132.60000000000002</v>
      </c>
      <c r="O4">
        <v>130.19999999999993</v>
      </c>
      <c r="P4">
        <v>145.60000000000002</v>
      </c>
      <c r="Q4">
        <v>143.19999999999993</v>
      </c>
      <c r="R4">
        <v>141.39999999999998</v>
      </c>
      <c r="S4">
        <v>135</v>
      </c>
      <c r="T4">
        <v>131.39999999999998</v>
      </c>
      <c r="U4">
        <v>130</v>
      </c>
      <c r="V4">
        <v>113.39999999999998</v>
      </c>
      <c r="W4">
        <v>118.39999999999998</v>
      </c>
    </row>
    <row r="5" spans="1:23">
      <c r="A5" t="s">
        <v>20</v>
      </c>
      <c r="B5">
        <v>22.5</v>
      </c>
      <c r="C5">
        <v>9</v>
      </c>
      <c r="D5">
        <v>7</v>
      </c>
      <c r="E5">
        <v>10.100000000000023</v>
      </c>
      <c r="F5">
        <v>13.200000000000045</v>
      </c>
      <c r="G5">
        <v>5.8999999999999773</v>
      </c>
      <c r="H5">
        <v>-1.7000000000000455</v>
      </c>
      <c r="I5">
        <v>0.20000000000004547</v>
      </c>
      <c r="J5">
        <v>0.20000000000004547</v>
      </c>
      <c r="K5">
        <v>15.200000000000045</v>
      </c>
      <c r="L5">
        <v>10.899999999999977</v>
      </c>
      <c r="M5">
        <v>9.3999999999999773</v>
      </c>
      <c r="N5">
        <v>8.3999999999999773</v>
      </c>
      <c r="O5">
        <v>5.3999999999999773</v>
      </c>
      <c r="P5">
        <v>-4.3999999999999773</v>
      </c>
      <c r="Q5">
        <v>6.1000000000000227</v>
      </c>
      <c r="R5">
        <v>2.7999999999999545</v>
      </c>
      <c r="S5">
        <v>9.2000000000000455</v>
      </c>
      <c r="T5">
        <v>-9.6000000000000227</v>
      </c>
      <c r="U5">
        <v>-9.6000000000000227</v>
      </c>
      <c r="V5">
        <v>-12.799999999999955</v>
      </c>
      <c r="W5">
        <v>-6.3999999999999773</v>
      </c>
    </row>
    <row r="6" spans="1:23">
      <c r="A6" t="s">
        <v>12</v>
      </c>
      <c r="B6">
        <v>380</v>
      </c>
      <c r="C6">
        <v>346</v>
      </c>
      <c r="D6">
        <v>356</v>
      </c>
      <c r="E6">
        <v>355</v>
      </c>
      <c r="F6">
        <v>343</v>
      </c>
      <c r="G6">
        <v>316</v>
      </c>
      <c r="H6">
        <v>165</v>
      </c>
      <c r="I6">
        <v>257</v>
      </c>
      <c r="J6">
        <v>215</v>
      </c>
      <c r="K6">
        <v>228</v>
      </c>
      <c r="L6">
        <v>244</v>
      </c>
      <c r="M6">
        <v>254</v>
      </c>
      <c r="N6">
        <v>220</v>
      </c>
      <c r="O6">
        <v>231</v>
      </c>
      <c r="P6">
        <v>228</v>
      </c>
      <c r="Q6">
        <v>210</v>
      </c>
      <c r="R6">
        <v>226</v>
      </c>
      <c r="S6">
        <v>258</v>
      </c>
      <c r="T6">
        <v>251</v>
      </c>
      <c r="U6">
        <v>247</v>
      </c>
      <c r="V6">
        <v>227</v>
      </c>
      <c r="W6">
        <v>235</v>
      </c>
    </row>
    <row r="7" spans="1:23">
      <c r="A7" t="s">
        <v>9</v>
      </c>
      <c r="B7">
        <v>145</v>
      </c>
      <c r="C7">
        <v>167</v>
      </c>
      <c r="D7">
        <v>187</v>
      </c>
      <c r="E7">
        <v>188</v>
      </c>
      <c r="F7">
        <v>183</v>
      </c>
      <c r="G7">
        <v>190</v>
      </c>
      <c r="H7">
        <v>270</v>
      </c>
      <c r="I7">
        <v>221</v>
      </c>
      <c r="J7">
        <v>162</v>
      </c>
      <c r="K7">
        <v>165</v>
      </c>
      <c r="L7">
        <v>165</v>
      </c>
      <c r="M7">
        <v>168</v>
      </c>
      <c r="N7">
        <v>152</v>
      </c>
      <c r="O7">
        <v>155</v>
      </c>
      <c r="P7">
        <v>155</v>
      </c>
      <c r="Q7">
        <v>155</v>
      </c>
      <c r="R7">
        <v>155</v>
      </c>
      <c r="S7">
        <v>182</v>
      </c>
      <c r="T7">
        <v>227</v>
      </c>
      <c r="U7">
        <v>227</v>
      </c>
      <c r="V7">
        <v>254</v>
      </c>
      <c r="W7">
        <v>254</v>
      </c>
    </row>
    <row r="8" spans="1:23">
      <c r="A8" t="s">
        <v>31</v>
      </c>
      <c r="B8">
        <v>-1160</v>
      </c>
      <c r="C8">
        <v>-1150</v>
      </c>
      <c r="D8">
        <v>-1145</v>
      </c>
      <c r="E8">
        <v>-1155</v>
      </c>
      <c r="F8">
        <v>-1295</v>
      </c>
      <c r="G8">
        <v>-1295</v>
      </c>
      <c r="H8">
        <v>-1295</v>
      </c>
      <c r="I8">
        <v>-1375</v>
      </c>
      <c r="J8">
        <v>-1350</v>
      </c>
      <c r="K8">
        <v>-1290</v>
      </c>
      <c r="L8">
        <v>-1390</v>
      </c>
      <c r="M8">
        <v>-1380</v>
      </c>
      <c r="N8">
        <v>-1380</v>
      </c>
      <c r="O8">
        <v>-1570</v>
      </c>
      <c r="P8">
        <v>-1570</v>
      </c>
      <c r="Q8">
        <v>-1630</v>
      </c>
      <c r="R8">
        <v>-1835</v>
      </c>
      <c r="S8">
        <v>-1765</v>
      </c>
      <c r="T8">
        <v>-1855</v>
      </c>
      <c r="U8">
        <v>-1995</v>
      </c>
      <c r="V8">
        <v>-2060</v>
      </c>
      <c r="W8">
        <v>-2055</v>
      </c>
    </row>
    <row r="9" spans="1:23">
      <c r="A9" t="s">
        <v>17</v>
      </c>
      <c r="B9">
        <v>-29</v>
      </c>
      <c r="C9">
        <v>-43</v>
      </c>
      <c r="D9">
        <v>-43</v>
      </c>
      <c r="E9">
        <v>-39</v>
      </c>
      <c r="F9">
        <v>-39</v>
      </c>
      <c r="G9">
        <v>-69</v>
      </c>
      <c r="H9">
        <v>-69</v>
      </c>
      <c r="I9">
        <v>-42</v>
      </c>
      <c r="J9">
        <v>-52</v>
      </c>
      <c r="K9">
        <v>-35</v>
      </c>
      <c r="L9">
        <v>-30</v>
      </c>
      <c r="M9">
        <v>-45</v>
      </c>
      <c r="N9">
        <v>-59</v>
      </c>
      <c r="O9">
        <v>-75</v>
      </c>
      <c r="P9">
        <v>-71</v>
      </c>
      <c r="Q9">
        <v>-71</v>
      </c>
      <c r="R9">
        <v>-73</v>
      </c>
      <c r="S9">
        <v>-56</v>
      </c>
      <c r="T9">
        <v>-63</v>
      </c>
      <c r="U9">
        <v>-73</v>
      </c>
      <c r="V9">
        <v>-76</v>
      </c>
      <c r="W9">
        <v>-52</v>
      </c>
    </row>
    <row r="10" spans="1:23">
      <c r="A10" t="s">
        <v>32</v>
      </c>
      <c r="B10">
        <v>-35</v>
      </c>
      <c r="C10">
        <v>-155</v>
      </c>
      <c r="D10">
        <v>-125</v>
      </c>
      <c r="E10">
        <v>-65</v>
      </c>
      <c r="F10">
        <v>-45</v>
      </c>
      <c r="G10">
        <v>-95</v>
      </c>
      <c r="H10">
        <v>-10</v>
      </c>
      <c r="I10">
        <v>-115</v>
      </c>
      <c r="J10">
        <v>-125</v>
      </c>
      <c r="K10">
        <v>-120</v>
      </c>
      <c r="L10">
        <v>-25</v>
      </c>
      <c r="M10">
        <v>-85</v>
      </c>
      <c r="N10">
        <v>-130</v>
      </c>
      <c r="O10">
        <v>-155</v>
      </c>
      <c r="P10">
        <v>-65</v>
      </c>
      <c r="Q10">
        <v>-125</v>
      </c>
      <c r="R10">
        <v>-150</v>
      </c>
      <c r="S10">
        <v>-20</v>
      </c>
      <c r="T10">
        <v>-205</v>
      </c>
      <c r="U10">
        <v>-140</v>
      </c>
      <c r="V10">
        <v>-160</v>
      </c>
      <c r="W10">
        <v>-315</v>
      </c>
    </row>
    <row r="11" spans="1:23">
      <c r="A11" t="s">
        <v>21</v>
      </c>
      <c r="B11">
        <v>-150</v>
      </c>
      <c r="C11">
        <v>-50</v>
      </c>
      <c r="D11">
        <v>-45</v>
      </c>
      <c r="E11">
        <v>-30</v>
      </c>
      <c r="F11">
        <v>-45</v>
      </c>
      <c r="G11">
        <v>0</v>
      </c>
      <c r="H11">
        <v>85</v>
      </c>
      <c r="I11">
        <v>50</v>
      </c>
      <c r="J11">
        <v>120</v>
      </c>
      <c r="K11">
        <v>115</v>
      </c>
      <c r="L11">
        <v>90</v>
      </c>
      <c r="M11">
        <v>85</v>
      </c>
      <c r="N11">
        <v>95</v>
      </c>
      <c r="O11">
        <v>125</v>
      </c>
      <c r="P11">
        <v>100</v>
      </c>
      <c r="Q11">
        <v>45</v>
      </c>
      <c r="R11">
        <v>67</v>
      </c>
      <c r="S11">
        <v>60</v>
      </c>
      <c r="T11">
        <v>60</v>
      </c>
      <c r="U11">
        <v>140</v>
      </c>
      <c r="V11">
        <v>35</v>
      </c>
      <c r="W11">
        <v>-50</v>
      </c>
    </row>
    <row r="12" spans="1:23">
      <c r="A12" t="s">
        <v>33</v>
      </c>
      <c r="B12">
        <v>-216</v>
      </c>
      <c r="C12">
        <v>-155</v>
      </c>
      <c r="D12">
        <v>-165</v>
      </c>
      <c r="E12">
        <v>-117</v>
      </c>
      <c r="F12">
        <v>-143</v>
      </c>
      <c r="G12">
        <v>-148</v>
      </c>
      <c r="H12">
        <v>-129</v>
      </c>
      <c r="I12">
        <v>-111</v>
      </c>
      <c r="J12">
        <v>-45</v>
      </c>
      <c r="K12">
        <v>-49</v>
      </c>
      <c r="L12">
        <v>-47</v>
      </c>
      <c r="M12">
        <v>-47</v>
      </c>
      <c r="N12">
        <v>-59</v>
      </c>
      <c r="O12">
        <v>-54</v>
      </c>
      <c r="P12">
        <v>-16</v>
      </c>
      <c r="Q12">
        <v>-75</v>
      </c>
      <c r="R12">
        <v>-42</v>
      </c>
      <c r="S12">
        <v>-59</v>
      </c>
      <c r="T12">
        <v>-32</v>
      </c>
      <c r="U12">
        <v>0</v>
      </c>
      <c r="V12">
        <v>-53</v>
      </c>
      <c r="W12">
        <v>-135</v>
      </c>
    </row>
    <row r="13" spans="1:23">
      <c r="A13" t="s">
        <v>13</v>
      </c>
      <c r="B13">
        <v>306</v>
      </c>
      <c r="C13">
        <v>342</v>
      </c>
      <c r="D13">
        <v>239</v>
      </c>
      <c r="E13">
        <v>263</v>
      </c>
      <c r="F13">
        <v>287</v>
      </c>
      <c r="G13">
        <v>312</v>
      </c>
      <c r="H13">
        <v>298</v>
      </c>
      <c r="I13">
        <v>309</v>
      </c>
      <c r="J13">
        <v>86</v>
      </c>
      <c r="K13">
        <v>98</v>
      </c>
      <c r="L13">
        <v>78</v>
      </c>
      <c r="M13">
        <v>46</v>
      </c>
      <c r="N13">
        <v>30</v>
      </c>
      <c r="O13">
        <v>38</v>
      </c>
      <c r="P13">
        <v>-6</v>
      </c>
      <c r="Q13">
        <v>-19</v>
      </c>
      <c r="R13">
        <v>0</v>
      </c>
      <c r="S13">
        <v>14</v>
      </c>
      <c r="T13">
        <v>-35</v>
      </c>
      <c r="U13">
        <v>-65</v>
      </c>
      <c r="V13">
        <v>-34</v>
      </c>
      <c r="W13">
        <v>-35</v>
      </c>
    </row>
    <row r="14" spans="1:23">
      <c r="A14" t="s">
        <v>26</v>
      </c>
      <c r="B14">
        <v>-56</v>
      </c>
      <c r="C14">
        <v>-92</v>
      </c>
      <c r="D14">
        <v>-106</v>
      </c>
      <c r="E14">
        <v>-120</v>
      </c>
      <c r="F14">
        <v>-106</v>
      </c>
      <c r="G14">
        <v>-116</v>
      </c>
      <c r="H14">
        <v>-104</v>
      </c>
      <c r="I14">
        <v>-46</v>
      </c>
      <c r="J14">
        <v>-18</v>
      </c>
      <c r="K14">
        <v>-28</v>
      </c>
      <c r="L14">
        <v>-48</v>
      </c>
      <c r="M14">
        <v>-88</v>
      </c>
      <c r="N14">
        <v>-122</v>
      </c>
      <c r="O14">
        <v>-216</v>
      </c>
      <c r="P14">
        <v>-210</v>
      </c>
      <c r="Q14">
        <v>-268</v>
      </c>
      <c r="R14">
        <v>-332</v>
      </c>
      <c r="S14">
        <v>-326</v>
      </c>
      <c r="T14">
        <v>-350</v>
      </c>
      <c r="U14">
        <v>-340</v>
      </c>
      <c r="V14">
        <v>-376</v>
      </c>
      <c r="W14">
        <v>-516</v>
      </c>
    </row>
    <row r="15" spans="1:23">
      <c r="A15" t="s">
        <v>6</v>
      </c>
      <c r="B15">
        <v>-86</v>
      </c>
      <c r="C15">
        <v>-71</v>
      </c>
      <c r="D15">
        <v>0</v>
      </c>
      <c r="E15">
        <v>39</v>
      </c>
      <c r="F15">
        <v>50</v>
      </c>
      <c r="G15">
        <v>91</v>
      </c>
      <c r="H15">
        <v>68</v>
      </c>
      <c r="I15">
        <v>159</v>
      </c>
      <c r="J15">
        <v>164</v>
      </c>
      <c r="K15">
        <v>169</v>
      </c>
      <c r="L15">
        <v>160</v>
      </c>
      <c r="M15">
        <v>128</v>
      </c>
      <c r="N15">
        <v>113</v>
      </c>
      <c r="O15">
        <v>117</v>
      </c>
      <c r="P15">
        <v>113</v>
      </c>
      <c r="Q15">
        <v>236</v>
      </c>
      <c r="R15">
        <v>250</v>
      </c>
      <c r="S15">
        <v>288</v>
      </c>
      <c r="T15">
        <v>283</v>
      </c>
      <c r="U15">
        <v>265</v>
      </c>
      <c r="V15">
        <v>345</v>
      </c>
      <c r="W15">
        <v>356</v>
      </c>
    </row>
    <row r="16" spans="1:23">
      <c r="A16" t="s">
        <v>15</v>
      </c>
      <c r="B16">
        <v>-100</v>
      </c>
      <c r="C16">
        <v>-105</v>
      </c>
      <c r="D16">
        <v>-97</v>
      </c>
      <c r="E16">
        <v>-87</v>
      </c>
      <c r="F16">
        <v>-73</v>
      </c>
      <c r="G16">
        <v>-60</v>
      </c>
      <c r="H16">
        <v>-46</v>
      </c>
      <c r="I16">
        <v>-32</v>
      </c>
      <c r="J16">
        <v>15</v>
      </c>
      <c r="K16">
        <v>18</v>
      </c>
      <c r="L16">
        <v>23</v>
      </c>
      <c r="M16">
        <v>24</v>
      </c>
      <c r="N16">
        <v>44</v>
      </c>
      <c r="O16">
        <v>63</v>
      </c>
      <c r="P16">
        <v>75</v>
      </c>
      <c r="Q16">
        <v>79</v>
      </c>
      <c r="R16">
        <v>96</v>
      </c>
      <c r="S16">
        <v>93</v>
      </c>
      <c r="T16">
        <v>43</v>
      </c>
      <c r="U16">
        <v>38</v>
      </c>
      <c r="V16">
        <v>40</v>
      </c>
      <c r="W16">
        <v>43</v>
      </c>
    </row>
    <row r="17" spans="1:23">
      <c r="A17" t="s">
        <v>11</v>
      </c>
      <c r="B17">
        <v>203</v>
      </c>
      <c r="C17">
        <v>161</v>
      </c>
      <c r="D17">
        <v>119</v>
      </c>
      <c r="E17">
        <v>112</v>
      </c>
      <c r="F17">
        <v>134</v>
      </c>
      <c r="G17">
        <v>127</v>
      </c>
      <c r="H17">
        <v>89</v>
      </c>
      <c r="I17">
        <v>0</v>
      </c>
      <c r="J17">
        <v>83</v>
      </c>
      <c r="K17">
        <v>99</v>
      </c>
      <c r="L17">
        <v>55</v>
      </c>
      <c r="M17">
        <v>96</v>
      </c>
      <c r="N17">
        <v>82</v>
      </c>
      <c r="O17">
        <v>81</v>
      </c>
      <c r="P17">
        <v>79</v>
      </c>
      <c r="Q17">
        <v>84</v>
      </c>
      <c r="R17">
        <v>91</v>
      </c>
      <c r="S17">
        <v>85</v>
      </c>
      <c r="T17">
        <v>60</v>
      </c>
      <c r="U17">
        <v>62</v>
      </c>
      <c r="V17">
        <v>37</v>
      </c>
      <c r="W17">
        <v>69</v>
      </c>
    </row>
    <row r="18" spans="1:23">
      <c r="A18" t="s">
        <v>23</v>
      </c>
      <c r="B18">
        <v>36</v>
      </c>
      <c r="C18">
        <v>32</v>
      </c>
      <c r="D18">
        <v>-7</v>
      </c>
      <c r="E18">
        <v>-3</v>
      </c>
      <c r="F18">
        <v>-2</v>
      </c>
      <c r="G18">
        <v>1</v>
      </c>
      <c r="H18">
        <v>-7</v>
      </c>
      <c r="I18">
        <v>-147</v>
      </c>
      <c r="J18">
        <v>-85</v>
      </c>
      <c r="K18">
        <v>-75</v>
      </c>
      <c r="L18">
        <v>-80</v>
      </c>
      <c r="M18">
        <v>-43</v>
      </c>
      <c r="N18">
        <v>-38</v>
      </c>
      <c r="O18">
        <v>-36</v>
      </c>
      <c r="P18">
        <v>-37</v>
      </c>
      <c r="Q18">
        <v>-33</v>
      </c>
      <c r="R18">
        <v>-47</v>
      </c>
      <c r="S18">
        <v>-53</v>
      </c>
      <c r="T18">
        <v>-53</v>
      </c>
      <c r="U18">
        <v>-61</v>
      </c>
      <c r="V18">
        <v>-49</v>
      </c>
      <c r="W18">
        <v>-62</v>
      </c>
    </row>
    <row r="19" spans="1:23">
      <c r="A19" t="s">
        <v>14</v>
      </c>
      <c r="B19">
        <v>137</v>
      </c>
      <c r="C19">
        <v>114</v>
      </c>
      <c r="D19">
        <v>119</v>
      </c>
      <c r="E19">
        <v>101</v>
      </c>
      <c r="F19">
        <v>104</v>
      </c>
      <c r="G19">
        <v>100</v>
      </c>
      <c r="H19">
        <v>90</v>
      </c>
      <c r="I19">
        <v>84</v>
      </c>
      <c r="J19">
        <v>87</v>
      </c>
      <c r="K19">
        <v>100</v>
      </c>
      <c r="L19">
        <v>87</v>
      </c>
      <c r="M19">
        <v>79</v>
      </c>
      <c r="N19">
        <v>75</v>
      </c>
      <c r="O19">
        <v>76</v>
      </c>
      <c r="P19">
        <v>75</v>
      </c>
      <c r="Q19">
        <v>73</v>
      </c>
      <c r="R19">
        <v>66</v>
      </c>
      <c r="S19">
        <v>64</v>
      </c>
      <c r="T19">
        <v>80</v>
      </c>
      <c r="U19">
        <v>75</v>
      </c>
      <c r="V19">
        <v>75</v>
      </c>
      <c r="W19">
        <v>74</v>
      </c>
    </row>
    <row r="20" spans="1:23">
      <c r="A20" t="s">
        <v>8</v>
      </c>
      <c r="B20">
        <v>88</v>
      </c>
      <c r="C20">
        <v>116</v>
      </c>
      <c r="D20">
        <v>113</v>
      </c>
      <c r="E20">
        <v>116</v>
      </c>
      <c r="F20">
        <v>117</v>
      </c>
      <c r="G20">
        <v>59</v>
      </c>
      <c r="H20">
        <v>58</v>
      </c>
      <c r="I20">
        <v>58</v>
      </c>
      <c r="J20">
        <v>57</v>
      </c>
      <c r="K20">
        <v>76</v>
      </c>
      <c r="L20">
        <v>53</v>
      </c>
      <c r="M20">
        <v>48</v>
      </c>
      <c r="N20">
        <v>41</v>
      </c>
      <c r="O20">
        <v>39</v>
      </c>
      <c r="P20">
        <v>46</v>
      </c>
      <c r="Q20">
        <v>51</v>
      </c>
      <c r="R20">
        <v>59</v>
      </c>
      <c r="S20">
        <v>54</v>
      </c>
      <c r="T20">
        <v>87</v>
      </c>
      <c r="U20">
        <v>84</v>
      </c>
      <c r="V20">
        <v>80</v>
      </c>
      <c r="W20">
        <v>114</v>
      </c>
    </row>
    <row r="21" spans="1:23">
      <c r="A21" t="s">
        <v>34</v>
      </c>
      <c r="B21">
        <v>-186</v>
      </c>
      <c r="C21">
        <v>-210</v>
      </c>
      <c r="D21">
        <v>-224</v>
      </c>
      <c r="E21">
        <v>-216</v>
      </c>
      <c r="F21">
        <v>-178</v>
      </c>
      <c r="G21">
        <v>-194</v>
      </c>
      <c r="H21">
        <v>-222</v>
      </c>
      <c r="I21">
        <v>-216</v>
      </c>
      <c r="J21">
        <v>-190</v>
      </c>
      <c r="K21">
        <v>-200</v>
      </c>
      <c r="L21">
        <v>-196</v>
      </c>
      <c r="M21">
        <v>-178</v>
      </c>
      <c r="N21">
        <v>-234</v>
      </c>
      <c r="O21">
        <v>-206</v>
      </c>
      <c r="P21">
        <v>-268</v>
      </c>
      <c r="Q21">
        <v>-282</v>
      </c>
      <c r="R21">
        <v>-246</v>
      </c>
      <c r="S21">
        <v>-310</v>
      </c>
      <c r="T21">
        <v>-344</v>
      </c>
      <c r="U21">
        <v>-306</v>
      </c>
      <c r="V21">
        <v>-354</v>
      </c>
      <c r="W21">
        <v>-334</v>
      </c>
    </row>
    <row r="22" spans="1:23">
      <c r="A22" t="s">
        <v>25</v>
      </c>
      <c r="B22">
        <v>-88</v>
      </c>
      <c r="C22">
        <v>-32</v>
      </c>
      <c r="D22">
        <v>-70</v>
      </c>
      <c r="E22">
        <v>-62</v>
      </c>
      <c r="F22">
        <v>-66</v>
      </c>
      <c r="G22">
        <v>-80</v>
      </c>
      <c r="H22">
        <v>-122</v>
      </c>
      <c r="I22">
        <v>-100</v>
      </c>
      <c r="J22">
        <v>-126</v>
      </c>
      <c r="K22">
        <v>-148</v>
      </c>
      <c r="L22">
        <v>-162</v>
      </c>
      <c r="M22">
        <v>-110</v>
      </c>
      <c r="N22">
        <v>-150</v>
      </c>
      <c r="O22">
        <v>-136</v>
      </c>
      <c r="P22">
        <v>-144</v>
      </c>
      <c r="Q22">
        <v>-146</v>
      </c>
      <c r="R22">
        <v>-154</v>
      </c>
      <c r="S22">
        <v>-180</v>
      </c>
      <c r="T22">
        <v>-164</v>
      </c>
      <c r="U22">
        <v>-166</v>
      </c>
      <c r="V22">
        <v>-164</v>
      </c>
      <c r="W22">
        <v>-158</v>
      </c>
    </row>
    <row r="23" spans="1:23">
      <c r="A23" t="s">
        <v>16</v>
      </c>
      <c r="B23">
        <v>-42</v>
      </c>
      <c r="C23">
        <v>-94</v>
      </c>
      <c r="D23">
        <v>-146</v>
      </c>
      <c r="E23">
        <v>-124</v>
      </c>
      <c r="F23">
        <v>-1116</v>
      </c>
      <c r="G23">
        <v>-108</v>
      </c>
      <c r="H23">
        <v>-98</v>
      </c>
      <c r="I23">
        <v>8</v>
      </c>
      <c r="J23">
        <v>8</v>
      </c>
      <c r="K23">
        <v>-40</v>
      </c>
      <c r="L23">
        <v>-44</v>
      </c>
      <c r="M23">
        <v>-46</v>
      </c>
      <c r="N23">
        <v>-80</v>
      </c>
      <c r="O23">
        <v>-76</v>
      </c>
      <c r="P23">
        <v>-78</v>
      </c>
      <c r="Q23">
        <v>-108</v>
      </c>
      <c r="R23">
        <v>-78</v>
      </c>
      <c r="S23">
        <v>-150</v>
      </c>
      <c r="T23">
        <v>-170</v>
      </c>
      <c r="U23">
        <v>-130</v>
      </c>
      <c r="V23">
        <v>-146</v>
      </c>
      <c r="W23">
        <v>-124</v>
      </c>
    </row>
    <row r="24" spans="1:23">
      <c r="A24" t="s">
        <v>10</v>
      </c>
      <c r="B24">
        <v>134</v>
      </c>
      <c r="C24">
        <v>280</v>
      </c>
      <c r="D24">
        <v>286</v>
      </c>
      <c r="E24">
        <v>304</v>
      </c>
      <c r="F24">
        <v>175</v>
      </c>
      <c r="G24">
        <v>153</v>
      </c>
      <c r="H24">
        <v>161</v>
      </c>
      <c r="I24">
        <v>202</v>
      </c>
      <c r="J24">
        <v>178</v>
      </c>
      <c r="K24">
        <v>153</v>
      </c>
      <c r="L24">
        <v>144</v>
      </c>
      <c r="M24">
        <v>197</v>
      </c>
      <c r="N24">
        <v>156</v>
      </c>
      <c r="O24">
        <v>178</v>
      </c>
      <c r="P24">
        <v>156</v>
      </c>
      <c r="Q24">
        <v>155</v>
      </c>
      <c r="R24">
        <v>213</v>
      </c>
      <c r="S24">
        <v>206</v>
      </c>
      <c r="T24">
        <v>195</v>
      </c>
      <c r="U24">
        <v>246</v>
      </c>
      <c r="V24">
        <v>248</v>
      </c>
      <c r="W24">
        <v>227</v>
      </c>
    </row>
    <row r="25" spans="1:23">
      <c r="A25" t="s">
        <v>35</v>
      </c>
      <c r="B25">
        <v>-360</v>
      </c>
      <c r="C25">
        <v>-180</v>
      </c>
      <c r="D25">
        <v>-255</v>
      </c>
      <c r="E25">
        <v>-195</v>
      </c>
      <c r="F25">
        <v>-215</v>
      </c>
      <c r="G25">
        <v>-260</v>
      </c>
      <c r="H25">
        <v>-95</v>
      </c>
      <c r="I25">
        <v>5</v>
      </c>
      <c r="J25">
        <v>80</v>
      </c>
      <c r="K25">
        <v>135</v>
      </c>
      <c r="L25">
        <v>115</v>
      </c>
      <c r="M25">
        <v>105</v>
      </c>
      <c r="N25">
        <v>60</v>
      </c>
      <c r="O25">
        <v>-50</v>
      </c>
      <c r="P25">
        <v>-45</v>
      </c>
      <c r="Q25">
        <v>-70</v>
      </c>
      <c r="R25">
        <v>-175</v>
      </c>
      <c r="S25">
        <v>-135</v>
      </c>
      <c r="T25">
        <v>-160</v>
      </c>
      <c r="U25">
        <v>-225</v>
      </c>
      <c r="V25">
        <v>-365</v>
      </c>
      <c r="W25">
        <v>-480</v>
      </c>
    </row>
    <row r="26" spans="1:23">
      <c r="A26" t="s">
        <v>24</v>
      </c>
      <c r="B26">
        <v>-400</v>
      </c>
      <c r="C26">
        <v>-195</v>
      </c>
      <c r="D26">
        <v>-300</v>
      </c>
      <c r="E26">
        <v>-300</v>
      </c>
      <c r="F26">
        <v>-300</v>
      </c>
      <c r="G26">
        <v>-300</v>
      </c>
      <c r="H26">
        <v>-145</v>
      </c>
      <c r="I26">
        <v>-145</v>
      </c>
      <c r="J26">
        <v>-145</v>
      </c>
      <c r="K26">
        <v>-95</v>
      </c>
      <c r="L26">
        <v>-95</v>
      </c>
      <c r="M26">
        <v>-95</v>
      </c>
      <c r="N26">
        <v>-95</v>
      </c>
      <c r="O26">
        <v>-95</v>
      </c>
      <c r="P26">
        <v>105</v>
      </c>
      <c r="Q26">
        <v>105</v>
      </c>
      <c r="R26">
        <v>-95</v>
      </c>
      <c r="S26">
        <v>-220</v>
      </c>
      <c r="T26">
        <v>-55</v>
      </c>
      <c r="U26">
        <v>-335</v>
      </c>
      <c r="V26">
        <v>-350</v>
      </c>
      <c r="W26">
        <v>-350</v>
      </c>
    </row>
    <row r="27" spans="1:23">
      <c r="A27" t="s">
        <v>36</v>
      </c>
      <c r="B27">
        <v>-460</v>
      </c>
      <c r="C27">
        <v>-440</v>
      </c>
      <c r="D27">
        <v>-250</v>
      </c>
      <c r="E27">
        <v>-240</v>
      </c>
      <c r="F27">
        <v>-460</v>
      </c>
      <c r="G27">
        <v>-730</v>
      </c>
      <c r="H27">
        <v>-400</v>
      </c>
      <c r="I27">
        <v>-850</v>
      </c>
      <c r="J27">
        <v>-940</v>
      </c>
      <c r="K27">
        <v>-230</v>
      </c>
      <c r="L27">
        <v>-480</v>
      </c>
      <c r="M27">
        <v>-330</v>
      </c>
      <c r="N27">
        <v>-360</v>
      </c>
      <c r="O27">
        <v>-460</v>
      </c>
      <c r="P27">
        <v>-410</v>
      </c>
      <c r="Q27">
        <v>-430</v>
      </c>
      <c r="R27">
        <v>-710</v>
      </c>
      <c r="S27">
        <v>-140</v>
      </c>
      <c r="T27">
        <v>-540</v>
      </c>
      <c r="U27">
        <v>-480</v>
      </c>
      <c r="V27">
        <v>-200</v>
      </c>
      <c r="W27">
        <v>-240</v>
      </c>
    </row>
    <row r="28" spans="1:23">
      <c r="A28" t="s">
        <v>22</v>
      </c>
      <c r="B28">
        <v>-280</v>
      </c>
      <c r="C28">
        <v>-260</v>
      </c>
      <c r="D28">
        <v>-260</v>
      </c>
      <c r="E28">
        <v>-275</v>
      </c>
      <c r="F28">
        <v>-355</v>
      </c>
      <c r="G28">
        <v>-425</v>
      </c>
      <c r="H28">
        <v>-380</v>
      </c>
      <c r="I28">
        <v>80</v>
      </c>
      <c r="J28">
        <v>110</v>
      </c>
      <c r="K28">
        <v>-175</v>
      </c>
      <c r="L28">
        <v>-390</v>
      </c>
      <c r="M28">
        <v>-255</v>
      </c>
      <c r="N28">
        <v>-215</v>
      </c>
      <c r="O28">
        <v>-165</v>
      </c>
      <c r="P28">
        <v>-130</v>
      </c>
      <c r="Q28">
        <v>-230</v>
      </c>
      <c r="R28">
        <v>-190</v>
      </c>
      <c r="S28">
        <v>-185</v>
      </c>
      <c r="T28">
        <v>-210</v>
      </c>
      <c r="U28">
        <v>-180</v>
      </c>
      <c r="V28">
        <v>-180</v>
      </c>
      <c r="W28">
        <v>-175</v>
      </c>
    </row>
    <row r="29" spans="1:23">
      <c r="A29" t="s">
        <v>37</v>
      </c>
      <c r="B29">
        <v>0</v>
      </c>
      <c r="C29">
        <v>-230</v>
      </c>
      <c r="D29">
        <v>-100</v>
      </c>
      <c r="E29">
        <v>-65</v>
      </c>
      <c r="F29">
        <v>-60</v>
      </c>
      <c r="G29">
        <v>-170</v>
      </c>
      <c r="H29">
        <v>-55</v>
      </c>
      <c r="I29">
        <v>-295</v>
      </c>
      <c r="J29">
        <v>-625</v>
      </c>
      <c r="K29">
        <v>-175</v>
      </c>
      <c r="L29">
        <v>-70</v>
      </c>
      <c r="M29">
        <v>-240</v>
      </c>
      <c r="N29">
        <v>-135</v>
      </c>
      <c r="O29">
        <v>-130</v>
      </c>
      <c r="P29">
        <v>-205</v>
      </c>
      <c r="Q29">
        <v>-185</v>
      </c>
      <c r="R29">
        <v>-200</v>
      </c>
      <c r="S29">
        <v>20</v>
      </c>
      <c r="T29">
        <v>-160</v>
      </c>
      <c r="U29">
        <v>-175</v>
      </c>
      <c r="V29">
        <v>35</v>
      </c>
      <c r="W29">
        <v>-85</v>
      </c>
    </row>
    <row r="30" spans="1:23">
      <c r="A30" t="s">
        <v>38</v>
      </c>
      <c r="B30">
        <v>-1430</v>
      </c>
      <c r="C30">
        <v>-2210</v>
      </c>
      <c r="D30">
        <v>-2200</v>
      </c>
      <c r="E30">
        <v>-1350</v>
      </c>
      <c r="F30">
        <v>-2430</v>
      </c>
      <c r="G30">
        <v>-2830</v>
      </c>
      <c r="H30">
        <v>-2190</v>
      </c>
      <c r="I30">
        <v>-3440</v>
      </c>
      <c r="J30">
        <v>-4050</v>
      </c>
      <c r="K30">
        <v>-1330</v>
      </c>
      <c r="L30">
        <v>-2790</v>
      </c>
      <c r="M30">
        <v>-1720</v>
      </c>
      <c r="N30">
        <v>-1790</v>
      </c>
      <c r="O30">
        <v>-2350</v>
      </c>
      <c r="P30">
        <v>-2210</v>
      </c>
      <c r="Q30">
        <v>-3350</v>
      </c>
      <c r="R30">
        <v>-1600</v>
      </c>
      <c r="S30">
        <v>-1440</v>
      </c>
      <c r="T30">
        <v>-2260</v>
      </c>
      <c r="U30">
        <v>-2310</v>
      </c>
      <c r="V30">
        <v>-1380</v>
      </c>
      <c r="W30">
        <v>-2980</v>
      </c>
    </row>
    <row r="31" spans="1:23">
      <c r="A31" t="s">
        <v>18</v>
      </c>
      <c r="B31">
        <v>408.89999999999964</v>
      </c>
      <c r="C31">
        <v>402.30000000000018</v>
      </c>
      <c r="D31">
        <v>364.30000000000018</v>
      </c>
      <c r="E31">
        <v>446.30000000000018</v>
      </c>
      <c r="F31">
        <v>442.89999999999964</v>
      </c>
      <c r="G31">
        <v>423.89999999999964</v>
      </c>
      <c r="H31">
        <v>592.30000000000018</v>
      </c>
      <c r="I31">
        <v>569.30000000000018</v>
      </c>
      <c r="J31">
        <v>686.30000000000018</v>
      </c>
      <c r="K31">
        <v>706.30000000000018</v>
      </c>
      <c r="L31">
        <v>756.5</v>
      </c>
      <c r="M31">
        <v>908.10000000000036</v>
      </c>
      <c r="N31">
        <v>675.30000000000018</v>
      </c>
      <c r="O31">
        <v>758.30000000000018</v>
      </c>
      <c r="P31">
        <v>728.30000000000018</v>
      </c>
      <c r="Q31">
        <v>443.30000000000018</v>
      </c>
      <c r="R31">
        <v>434.89999999999964</v>
      </c>
      <c r="S31">
        <v>443.5</v>
      </c>
      <c r="T31">
        <v>238.30000000000018</v>
      </c>
      <c r="U31">
        <v>112.30000000000018</v>
      </c>
      <c r="V31">
        <v>101.10000000000036</v>
      </c>
      <c r="W31">
        <v>5.8999999999996362</v>
      </c>
    </row>
    <row r="32" spans="1:23">
      <c r="A32" t="s">
        <v>19</v>
      </c>
      <c r="B32">
        <v>324.92999999999984</v>
      </c>
      <c r="C32">
        <v>315.73</v>
      </c>
      <c r="D32">
        <v>294.12999999999965</v>
      </c>
      <c r="E32">
        <v>304.32999999999993</v>
      </c>
      <c r="F32">
        <v>254.32999999999993</v>
      </c>
      <c r="G32">
        <v>202.73000000000002</v>
      </c>
      <c r="H32">
        <v>231.12999999999965</v>
      </c>
      <c r="I32">
        <v>264.32999999999993</v>
      </c>
      <c r="J32">
        <v>313.12999999999965</v>
      </c>
      <c r="K32">
        <v>343.12999999999965</v>
      </c>
      <c r="L32">
        <v>391.73</v>
      </c>
      <c r="M32">
        <v>409.12999999999965</v>
      </c>
      <c r="N32">
        <v>241.32999999999993</v>
      </c>
      <c r="O32">
        <v>152.12999999999965</v>
      </c>
      <c r="P32">
        <v>74.129999999999654</v>
      </c>
      <c r="Q32">
        <v>-24.070000000000164</v>
      </c>
      <c r="R32">
        <v>8.3299999999999272</v>
      </c>
      <c r="S32">
        <v>28.329999999999927</v>
      </c>
      <c r="T32">
        <v>42.329999999999927</v>
      </c>
      <c r="U32">
        <v>82.529999999999745</v>
      </c>
      <c r="V32">
        <v>39.329999999999927</v>
      </c>
      <c r="W32">
        <v>-22.470000000000255</v>
      </c>
    </row>
    <row r="33" spans="1:23">
      <c r="A33" t="s">
        <v>39</v>
      </c>
      <c r="B33">
        <v>404.09000000000015</v>
      </c>
      <c r="C33">
        <v>385.49000000000024</v>
      </c>
      <c r="D33">
        <v>363.49000000000024</v>
      </c>
      <c r="E33">
        <v>383.09000000000015</v>
      </c>
      <c r="F33">
        <v>345.89000000000033</v>
      </c>
      <c r="G33">
        <v>282.89000000000033</v>
      </c>
      <c r="H33">
        <v>342.89000000000033</v>
      </c>
      <c r="I33">
        <v>364.49000000000024</v>
      </c>
      <c r="J33">
        <v>437.49000000000024</v>
      </c>
      <c r="K33">
        <v>485.29000000000042</v>
      </c>
      <c r="L33">
        <v>534.89000000000033</v>
      </c>
      <c r="M33">
        <v>615.29000000000042</v>
      </c>
      <c r="N33">
        <v>389.29000000000042</v>
      </c>
      <c r="O33">
        <v>369.09000000000015</v>
      </c>
      <c r="P33">
        <v>269.89000000000033</v>
      </c>
      <c r="Q33">
        <v>122.28999999999996</v>
      </c>
      <c r="R33">
        <v>112.09000000000015</v>
      </c>
      <c r="S33">
        <v>147.28999999999996</v>
      </c>
      <c r="T33">
        <v>106.28999999999996</v>
      </c>
      <c r="U33">
        <v>113.69000000000051</v>
      </c>
      <c r="V33">
        <v>66.490000000000691</v>
      </c>
      <c r="W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3"/>
  <sheetViews>
    <sheetView workbookViewId="0">
      <selection activeCell="B1" sqref="B1:B1048576"/>
    </sheetView>
  </sheetViews>
  <sheetFormatPr defaultRowHeight="13.5"/>
  <cols>
    <col min="23" max="23" width="10.5" customWidth="1"/>
  </cols>
  <sheetData>
    <row r="1" spans="1:23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</row>
    <row r="2" spans="1:23">
      <c r="A2" t="s">
        <v>5</v>
      </c>
      <c r="B2">
        <v>-145</v>
      </c>
      <c r="C2">
        <v>-175</v>
      </c>
      <c r="D2">
        <v>-214</v>
      </c>
      <c r="E2">
        <v>-196</v>
      </c>
      <c r="F2">
        <v>-211.5</v>
      </c>
      <c r="G2">
        <v>-223</v>
      </c>
      <c r="H2">
        <v>-131</v>
      </c>
      <c r="I2">
        <v>-197</v>
      </c>
      <c r="J2">
        <v>-190</v>
      </c>
      <c r="K2">
        <v>-165</v>
      </c>
      <c r="L2">
        <v>-163.5</v>
      </c>
      <c r="M2">
        <v>-178</v>
      </c>
      <c r="N2">
        <v>-198.5</v>
      </c>
      <c r="O2">
        <v>-204</v>
      </c>
      <c r="P2">
        <v>-160.5</v>
      </c>
      <c r="Q2">
        <v>-141</v>
      </c>
      <c r="R2">
        <v>-87.5</v>
      </c>
      <c r="S2">
        <v>-63</v>
      </c>
      <c r="T2">
        <v>56.5</v>
      </c>
      <c r="U2">
        <v>27</v>
      </c>
      <c r="V2">
        <v>2</v>
      </c>
      <c r="W2">
        <v>6</v>
      </c>
    </row>
    <row r="3" spans="1:23">
      <c r="A3" t="s">
        <v>7</v>
      </c>
      <c r="B3">
        <v>5</v>
      </c>
      <c r="C3">
        <v>0.5</v>
      </c>
      <c r="D3">
        <v>-27.5</v>
      </c>
      <c r="E3">
        <v>-37</v>
      </c>
      <c r="F3">
        <v>-37</v>
      </c>
      <c r="G3">
        <v>-64</v>
      </c>
      <c r="H3">
        <v>-29</v>
      </c>
      <c r="I3">
        <v>-16</v>
      </c>
      <c r="J3">
        <v>-22</v>
      </c>
      <c r="K3">
        <v>-11</v>
      </c>
      <c r="L3">
        <v>-13.5</v>
      </c>
      <c r="M3">
        <v>-13</v>
      </c>
      <c r="N3">
        <v>-10.5</v>
      </c>
      <c r="O3">
        <v>-18</v>
      </c>
      <c r="P3">
        <v>-8.5</v>
      </c>
      <c r="Q3">
        <v>-4</v>
      </c>
      <c r="R3">
        <v>1</v>
      </c>
      <c r="S3">
        <v>24.5</v>
      </c>
      <c r="T3">
        <v>11</v>
      </c>
      <c r="U3">
        <v>7.5</v>
      </c>
      <c r="V3">
        <v>64.5</v>
      </c>
      <c r="W3">
        <v>52.5</v>
      </c>
    </row>
    <row r="4" spans="1:23">
      <c r="A4" t="s">
        <v>4</v>
      </c>
      <c r="B4">
        <v>60.799999999999955</v>
      </c>
      <c r="C4">
        <v>56.600000000000023</v>
      </c>
      <c r="D4">
        <v>67.600000000000023</v>
      </c>
      <c r="E4">
        <v>69</v>
      </c>
      <c r="F4">
        <v>81.399999999999977</v>
      </c>
      <c r="G4">
        <v>89.199999999999932</v>
      </c>
      <c r="H4">
        <v>86.799999999999955</v>
      </c>
      <c r="I4">
        <v>92.199999999999932</v>
      </c>
      <c r="J4">
        <v>99</v>
      </c>
      <c r="K4">
        <v>110</v>
      </c>
      <c r="L4">
        <v>111.39999999999998</v>
      </c>
      <c r="M4">
        <v>96.199999999999932</v>
      </c>
      <c r="N4">
        <v>103.19999999999993</v>
      </c>
      <c r="O4">
        <v>92.399999999999977</v>
      </c>
      <c r="P4">
        <v>91.799999999999955</v>
      </c>
      <c r="Q4">
        <v>107.39999999999998</v>
      </c>
      <c r="R4">
        <v>93.199999999999932</v>
      </c>
      <c r="S4">
        <v>99.799999999999955</v>
      </c>
      <c r="T4">
        <v>95</v>
      </c>
      <c r="U4">
        <v>95.799999999999955</v>
      </c>
      <c r="V4">
        <v>72.399999999999977</v>
      </c>
      <c r="W4">
        <v>79.799999999999955</v>
      </c>
    </row>
    <row r="5" spans="1:23">
      <c r="A5" t="s">
        <v>20</v>
      </c>
      <c r="B5">
        <v>29</v>
      </c>
      <c r="C5">
        <v>30.5</v>
      </c>
      <c r="D5">
        <v>21</v>
      </c>
      <c r="E5">
        <v>27.100000000000023</v>
      </c>
      <c r="F5">
        <v>29.700000000000045</v>
      </c>
      <c r="G5">
        <v>18.399999999999977</v>
      </c>
      <c r="H5">
        <v>18.799999999999955</v>
      </c>
      <c r="I5">
        <v>16.399999999999977</v>
      </c>
      <c r="J5">
        <v>12.799999999999955</v>
      </c>
      <c r="K5">
        <v>21.200000000000045</v>
      </c>
      <c r="L5">
        <v>23.399999999999977</v>
      </c>
      <c r="M5">
        <v>14.899999999999977</v>
      </c>
      <c r="N5">
        <v>22.899999999999977</v>
      </c>
      <c r="O5">
        <v>19.899999999999977</v>
      </c>
      <c r="P5">
        <v>26.5</v>
      </c>
      <c r="Q5">
        <v>19.600000000000023</v>
      </c>
      <c r="R5">
        <v>22.299999999999955</v>
      </c>
      <c r="S5">
        <v>24.700000000000045</v>
      </c>
      <c r="T5">
        <v>30.899999999999977</v>
      </c>
      <c r="U5">
        <v>21.399999999999977</v>
      </c>
      <c r="V5">
        <v>18.700000000000045</v>
      </c>
      <c r="W5">
        <v>21.600000000000023</v>
      </c>
    </row>
    <row r="6" spans="1:23">
      <c r="A6" t="s">
        <v>12</v>
      </c>
      <c r="B6">
        <v>232</v>
      </c>
      <c r="C6">
        <v>224</v>
      </c>
      <c r="D6">
        <v>179</v>
      </c>
      <c r="E6">
        <v>215</v>
      </c>
      <c r="F6">
        <v>234</v>
      </c>
      <c r="G6">
        <v>183</v>
      </c>
      <c r="H6">
        <v>148</v>
      </c>
      <c r="I6">
        <v>150</v>
      </c>
      <c r="J6">
        <v>67</v>
      </c>
      <c r="K6">
        <v>80</v>
      </c>
      <c r="L6">
        <v>100</v>
      </c>
      <c r="M6">
        <v>88</v>
      </c>
      <c r="N6">
        <v>73</v>
      </c>
      <c r="O6">
        <v>65</v>
      </c>
      <c r="P6">
        <v>72</v>
      </c>
      <c r="Q6">
        <v>55</v>
      </c>
      <c r="R6">
        <v>63</v>
      </c>
      <c r="S6">
        <v>58</v>
      </c>
      <c r="T6">
        <v>104</v>
      </c>
      <c r="U6">
        <v>102</v>
      </c>
      <c r="V6">
        <v>78</v>
      </c>
      <c r="W6">
        <v>76</v>
      </c>
    </row>
    <row r="7" spans="1:23">
      <c r="A7" t="s">
        <v>9</v>
      </c>
      <c r="B7">
        <v>67</v>
      </c>
      <c r="C7">
        <v>71</v>
      </c>
      <c r="D7">
        <v>64</v>
      </c>
      <c r="E7">
        <v>92</v>
      </c>
      <c r="F7">
        <v>127</v>
      </c>
      <c r="G7">
        <v>125</v>
      </c>
      <c r="H7">
        <v>235</v>
      </c>
      <c r="I7">
        <v>146</v>
      </c>
      <c r="J7">
        <v>85</v>
      </c>
      <c r="K7">
        <v>64</v>
      </c>
      <c r="L7">
        <v>104</v>
      </c>
      <c r="M7">
        <v>62</v>
      </c>
      <c r="N7">
        <v>41</v>
      </c>
      <c r="O7">
        <v>65</v>
      </c>
      <c r="P7">
        <v>77</v>
      </c>
      <c r="Q7">
        <v>48</v>
      </c>
      <c r="R7">
        <v>63</v>
      </c>
      <c r="S7">
        <v>101</v>
      </c>
      <c r="T7">
        <v>164</v>
      </c>
      <c r="U7">
        <v>167</v>
      </c>
      <c r="V7">
        <v>159</v>
      </c>
      <c r="W7">
        <v>157</v>
      </c>
    </row>
    <row r="8" spans="1:23">
      <c r="A8" t="s">
        <v>31</v>
      </c>
      <c r="B8">
        <v>-800</v>
      </c>
      <c r="C8">
        <v>-800</v>
      </c>
      <c r="D8">
        <v>-800</v>
      </c>
      <c r="E8">
        <v>-900</v>
      </c>
      <c r="F8">
        <v>-900</v>
      </c>
      <c r="G8">
        <v>-900</v>
      </c>
      <c r="H8">
        <v>-900</v>
      </c>
      <c r="I8">
        <v>-1000</v>
      </c>
      <c r="J8">
        <v>-1000</v>
      </c>
      <c r="K8">
        <v>-1000</v>
      </c>
      <c r="L8">
        <v>-1000</v>
      </c>
      <c r="M8">
        <v>-1000</v>
      </c>
      <c r="N8">
        <v>-1200</v>
      </c>
      <c r="O8">
        <v>-1200</v>
      </c>
      <c r="P8">
        <v>-1300</v>
      </c>
      <c r="Q8">
        <v>-1520</v>
      </c>
      <c r="R8">
        <v>-1500</v>
      </c>
      <c r="S8">
        <v>-1500</v>
      </c>
      <c r="T8">
        <v>-1700</v>
      </c>
      <c r="U8">
        <v>-1800</v>
      </c>
      <c r="V8">
        <v>-1800</v>
      </c>
      <c r="W8">
        <v>-1900</v>
      </c>
    </row>
    <row r="9" spans="1:23">
      <c r="A9" t="s">
        <v>17</v>
      </c>
      <c r="B9">
        <v>-7</v>
      </c>
      <c r="C9">
        <v>-16</v>
      </c>
      <c r="D9">
        <v>-20</v>
      </c>
      <c r="E9">
        <v>-14</v>
      </c>
      <c r="F9">
        <v>-8</v>
      </c>
      <c r="G9">
        <v>-35</v>
      </c>
      <c r="H9">
        <v>-13</v>
      </c>
      <c r="I9">
        <v>-1</v>
      </c>
      <c r="J9">
        <v>-5</v>
      </c>
      <c r="K9">
        <v>-1</v>
      </c>
      <c r="L9">
        <v>3</v>
      </c>
      <c r="M9">
        <v>-14</v>
      </c>
      <c r="N9">
        <v>-55</v>
      </c>
      <c r="O9">
        <v>-39</v>
      </c>
      <c r="P9">
        <v>-35</v>
      </c>
      <c r="Q9">
        <v>-41</v>
      </c>
      <c r="R9">
        <v>-21</v>
      </c>
      <c r="S9">
        <v>-18</v>
      </c>
      <c r="T9">
        <v>-26</v>
      </c>
      <c r="U9">
        <v>-39</v>
      </c>
      <c r="V9">
        <v>-45</v>
      </c>
      <c r="W9">
        <v>-38</v>
      </c>
    </row>
    <row r="10" spans="1:23">
      <c r="A10" t="s">
        <v>32</v>
      </c>
      <c r="B10">
        <v>-55</v>
      </c>
      <c r="C10">
        <v>-120</v>
      </c>
      <c r="D10">
        <v>-115</v>
      </c>
      <c r="E10">
        <v>-15</v>
      </c>
      <c r="F10">
        <v>-20</v>
      </c>
      <c r="G10">
        <v>30</v>
      </c>
      <c r="H10">
        <v>35</v>
      </c>
      <c r="I10">
        <v>110</v>
      </c>
      <c r="J10">
        <v>-70</v>
      </c>
      <c r="K10">
        <v>-65</v>
      </c>
      <c r="L10">
        <v>-65</v>
      </c>
      <c r="M10">
        <v>-75</v>
      </c>
      <c r="N10">
        <v>-65</v>
      </c>
      <c r="O10">
        <v>-140</v>
      </c>
      <c r="P10">
        <v>-125</v>
      </c>
      <c r="Q10">
        <v>-75</v>
      </c>
      <c r="R10">
        <v>-105</v>
      </c>
      <c r="S10">
        <v>-30</v>
      </c>
      <c r="T10">
        <v>-205</v>
      </c>
      <c r="U10">
        <v>-125</v>
      </c>
      <c r="V10">
        <v>-120</v>
      </c>
      <c r="W10">
        <v>-280</v>
      </c>
    </row>
    <row r="11" spans="1:23">
      <c r="A11" t="s">
        <v>21</v>
      </c>
      <c r="B11">
        <v>-150</v>
      </c>
      <c r="C11">
        <v>-200</v>
      </c>
      <c r="D11">
        <v>-200</v>
      </c>
      <c r="E11">
        <v>-150</v>
      </c>
      <c r="F11">
        <v>-150</v>
      </c>
      <c r="G11">
        <v>-140</v>
      </c>
      <c r="H11">
        <v>-70</v>
      </c>
      <c r="I11">
        <v>-100</v>
      </c>
      <c r="J11">
        <v>-70</v>
      </c>
      <c r="K11">
        <v>-70</v>
      </c>
      <c r="L11">
        <v>-70</v>
      </c>
      <c r="M11">
        <v>-170</v>
      </c>
      <c r="N11">
        <v>-85</v>
      </c>
      <c r="O11">
        <v>-40</v>
      </c>
      <c r="P11">
        <v>-70</v>
      </c>
      <c r="Q11">
        <v>-115</v>
      </c>
      <c r="R11">
        <v>-90</v>
      </c>
      <c r="S11">
        <v>-75</v>
      </c>
      <c r="T11">
        <v>-80</v>
      </c>
      <c r="U11">
        <v>-70</v>
      </c>
      <c r="V11">
        <v>-100</v>
      </c>
      <c r="W11">
        <v>-145</v>
      </c>
    </row>
    <row r="12" spans="1:23">
      <c r="A12" t="s">
        <v>33</v>
      </c>
      <c r="B12">
        <v>-135</v>
      </c>
      <c r="C12">
        <v>-150</v>
      </c>
      <c r="D12">
        <v>-181</v>
      </c>
      <c r="E12">
        <v>-100</v>
      </c>
      <c r="F12">
        <v>-100</v>
      </c>
      <c r="G12">
        <v>-129</v>
      </c>
      <c r="H12">
        <v>-132</v>
      </c>
      <c r="I12">
        <v>-125</v>
      </c>
      <c r="J12">
        <v>-70</v>
      </c>
      <c r="K12">
        <v>-75</v>
      </c>
      <c r="L12">
        <v>-75</v>
      </c>
      <c r="M12">
        <v>-74</v>
      </c>
      <c r="N12">
        <v>-75</v>
      </c>
      <c r="O12">
        <v>-75</v>
      </c>
      <c r="P12">
        <v>-65</v>
      </c>
      <c r="Q12">
        <v>-77</v>
      </c>
      <c r="R12">
        <v>-83</v>
      </c>
      <c r="S12">
        <v>-75</v>
      </c>
      <c r="T12">
        <v>-60</v>
      </c>
      <c r="U12">
        <v>-70</v>
      </c>
      <c r="V12">
        <v>-65</v>
      </c>
      <c r="W12">
        <v>-68</v>
      </c>
    </row>
    <row r="13" spans="1:23">
      <c r="A13" t="s">
        <v>13</v>
      </c>
      <c r="B13">
        <v>120</v>
      </c>
      <c r="C13">
        <v>194</v>
      </c>
      <c r="D13">
        <v>105</v>
      </c>
      <c r="E13">
        <v>115</v>
      </c>
      <c r="F13">
        <v>135</v>
      </c>
      <c r="G13">
        <v>150</v>
      </c>
      <c r="H13">
        <v>150</v>
      </c>
      <c r="I13">
        <v>150</v>
      </c>
      <c r="J13">
        <v>0</v>
      </c>
      <c r="K13">
        <v>10</v>
      </c>
      <c r="L13">
        <v>10</v>
      </c>
      <c r="M13">
        <v>5</v>
      </c>
      <c r="N13">
        <v>-10</v>
      </c>
      <c r="O13">
        <v>-15</v>
      </c>
      <c r="P13">
        <v>-20</v>
      </c>
      <c r="Q13">
        <v>-41</v>
      </c>
      <c r="R13">
        <v>-45</v>
      </c>
      <c r="S13">
        <v>-60</v>
      </c>
      <c r="T13">
        <v>-75</v>
      </c>
      <c r="U13">
        <v>-75</v>
      </c>
      <c r="V13">
        <v>-60</v>
      </c>
      <c r="W13">
        <v>-45</v>
      </c>
    </row>
    <row r="14" spans="1:23">
      <c r="A14" t="s">
        <v>26</v>
      </c>
      <c r="B14">
        <v>-22</v>
      </c>
      <c r="C14">
        <v>-72</v>
      </c>
      <c r="D14">
        <v>-82</v>
      </c>
      <c r="E14">
        <v>-96</v>
      </c>
      <c r="F14">
        <v>-76</v>
      </c>
      <c r="G14">
        <v>-90</v>
      </c>
      <c r="H14">
        <v>-68</v>
      </c>
      <c r="I14">
        <v>-24</v>
      </c>
      <c r="J14">
        <v>-8</v>
      </c>
      <c r="K14">
        <v>4</v>
      </c>
      <c r="L14">
        <v>-8</v>
      </c>
      <c r="M14">
        <v>-60</v>
      </c>
      <c r="N14">
        <v>-122</v>
      </c>
      <c r="O14">
        <v>-164</v>
      </c>
      <c r="P14">
        <v>-154</v>
      </c>
      <c r="Q14">
        <v>-202</v>
      </c>
      <c r="R14">
        <v>-308</v>
      </c>
      <c r="S14">
        <v>-274</v>
      </c>
      <c r="T14">
        <v>-292</v>
      </c>
      <c r="U14">
        <v>-286</v>
      </c>
      <c r="V14">
        <v>-342</v>
      </c>
      <c r="W14">
        <v>-512</v>
      </c>
    </row>
    <row r="15" spans="1:23">
      <c r="A15" t="s">
        <v>6</v>
      </c>
      <c r="B15">
        <v>-64</v>
      </c>
      <c r="C15">
        <v>-41</v>
      </c>
      <c r="D15">
        <v>-17</v>
      </c>
      <c r="E15">
        <v>23</v>
      </c>
      <c r="F15">
        <v>26</v>
      </c>
      <c r="G15">
        <v>-47</v>
      </c>
      <c r="H15">
        <v>8</v>
      </c>
      <c r="I15">
        <v>20</v>
      </c>
      <c r="J15">
        <v>100</v>
      </c>
      <c r="K15">
        <v>82</v>
      </c>
      <c r="L15">
        <v>86</v>
      </c>
      <c r="M15">
        <v>9</v>
      </c>
      <c r="N15">
        <v>24</v>
      </c>
      <c r="O15">
        <v>7</v>
      </c>
      <c r="P15">
        <v>32</v>
      </c>
      <c r="Q15">
        <v>167</v>
      </c>
      <c r="R15">
        <v>199</v>
      </c>
      <c r="S15">
        <v>213</v>
      </c>
      <c r="T15">
        <v>232</v>
      </c>
      <c r="U15">
        <v>231</v>
      </c>
      <c r="V15">
        <v>253</v>
      </c>
      <c r="W15">
        <v>278</v>
      </c>
    </row>
    <row r="16" spans="1:23">
      <c r="A16" t="s">
        <v>15</v>
      </c>
      <c r="B16">
        <v>-32</v>
      </c>
      <c r="C16">
        <v>-80</v>
      </c>
      <c r="D16">
        <v>-20</v>
      </c>
      <c r="E16">
        <v>-10</v>
      </c>
      <c r="F16">
        <v>19</v>
      </c>
      <c r="G16">
        <v>12</v>
      </c>
      <c r="H16">
        <v>26</v>
      </c>
      <c r="I16">
        <v>56</v>
      </c>
      <c r="J16">
        <v>100</v>
      </c>
      <c r="K16">
        <v>96</v>
      </c>
      <c r="L16">
        <v>90</v>
      </c>
      <c r="M16">
        <v>89</v>
      </c>
      <c r="N16">
        <v>126</v>
      </c>
      <c r="O16">
        <v>135</v>
      </c>
      <c r="P16">
        <v>147</v>
      </c>
      <c r="Q16">
        <v>157</v>
      </c>
      <c r="R16">
        <v>186</v>
      </c>
      <c r="S16">
        <v>186</v>
      </c>
      <c r="T16">
        <v>114</v>
      </c>
      <c r="U16">
        <v>126</v>
      </c>
      <c r="V16">
        <v>117</v>
      </c>
      <c r="W16">
        <v>127</v>
      </c>
    </row>
    <row r="17" spans="1:23">
      <c r="A17" t="s">
        <v>11</v>
      </c>
      <c r="B17">
        <v>154</v>
      </c>
      <c r="C17">
        <v>86</v>
      </c>
      <c r="D17">
        <v>55</v>
      </c>
      <c r="E17">
        <v>67</v>
      </c>
      <c r="F17">
        <v>91</v>
      </c>
      <c r="G17">
        <v>88</v>
      </c>
      <c r="H17">
        <v>54</v>
      </c>
      <c r="I17">
        <v>69</v>
      </c>
      <c r="J17">
        <v>65</v>
      </c>
      <c r="K17">
        <v>74</v>
      </c>
      <c r="L17">
        <v>55</v>
      </c>
      <c r="M17">
        <v>57</v>
      </c>
      <c r="N17">
        <v>57</v>
      </c>
      <c r="O17">
        <v>54</v>
      </c>
      <c r="P17">
        <v>55</v>
      </c>
      <c r="Q17">
        <v>59</v>
      </c>
      <c r="R17">
        <v>70</v>
      </c>
      <c r="S17">
        <v>52</v>
      </c>
      <c r="T17">
        <v>33</v>
      </c>
      <c r="U17">
        <v>55</v>
      </c>
      <c r="V17">
        <v>26</v>
      </c>
      <c r="W17">
        <v>65</v>
      </c>
    </row>
    <row r="18" spans="1:23">
      <c r="A18" t="s">
        <v>23</v>
      </c>
      <c r="B18">
        <v>0</v>
      </c>
      <c r="C18">
        <v>0</v>
      </c>
      <c r="D18">
        <v>-30</v>
      </c>
      <c r="E18">
        <v>-30</v>
      </c>
      <c r="F18">
        <v>-30</v>
      </c>
      <c r="G18">
        <v>-30</v>
      </c>
      <c r="H18">
        <v>-33</v>
      </c>
      <c r="I18">
        <v>-172</v>
      </c>
      <c r="J18">
        <v>-91</v>
      </c>
      <c r="K18">
        <v>-87</v>
      </c>
      <c r="L18">
        <v>-86</v>
      </c>
      <c r="M18">
        <v>-49</v>
      </c>
      <c r="N18">
        <v>-47</v>
      </c>
      <c r="O18">
        <v>-68</v>
      </c>
      <c r="P18">
        <v>-26</v>
      </c>
      <c r="Q18">
        <v>-36</v>
      </c>
      <c r="R18">
        <v>-27</v>
      </c>
      <c r="S18">
        <v>-34</v>
      </c>
      <c r="T18">
        <v>-48</v>
      </c>
      <c r="U18">
        <v>-39</v>
      </c>
      <c r="V18">
        <v>-65</v>
      </c>
      <c r="W18">
        <v>-47</v>
      </c>
    </row>
    <row r="19" spans="1:23">
      <c r="A19" t="s">
        <v>14</v>
      </c>
      <c r="B19">
        <v>75</v>
      </c>
      <c r="C19">
        <v>57</v>
      </c>
      <c r="D19">
        <v>68</v>
      </c>
      <c r="E19">
        <v>63</v>
      </c>
      <c r="F19">
        <v>64</v>
      </c>
      <c r="G19">
        <v>43</v>
      </c>
      <c r="H19">
        <v>58</v>
      </c>
      <c r="I19">
        <v>54</v>
      </c>
      <c r="J19">
        <v>70</v>
      </c>
      <c r="K19">
        <v>68</v>
      </c>
      <c r="L19">
        <v>50</v>
      </c>
      <c r="M19">
        <v>44</v>
      </c>
      <c r="N19">
        <v>43</v>
      </c>
      <c r="O19">
        <v>43</v>
      </c>
      <c r="P19">
        <v>57</v>
      </c>
      <c r="Q19">
        <v>53</v>
      </c>
      <c r="R19">
        <v>47</v>
      </c>
      <c r="S19">
        <v>50</v>
      </c>
      <c r="T19">
        <v>62</v>
      </c>
      <c r="U19">
        <v>60</v>
      </c>
      <c r="V19">
        <v>55</v>
      </c>
      <c r="W19">
        <v>59</v>
      </c>
    </row>
    <row r="20" spans="1:23">
      <c r="A20" t="s">
        <v>8</v>
      </c>
      <c r="B20">
        <v>106</v>
      </c>
      <c r="C20">
        <v>106</v>
      </c>
      <c r="D20">
        <v>146</v>
      </c>
      <c r="E20">
        <v>135</v>
      </c>
      <c r="F20">
        <v>132</v>
      </c>
      <c r="G20">
        <v>77</v>
      </c>
      <c r="H20">
        <v>90</v>
      </c>
      <c r="I20">
        <v>85</v>
      </c>
      <c r="J20">
        <v>113</v>
      </c>
      <c r="K20">
        <v>106</v>
      </c>
      <c r="L20">
        <v>77</v>
      </c>
      <c r="M20">
        <v>79</v>
      </c>
      <c r="N20">
        <v>76</v>
      </c>
      <c r="O20">
        <v>72</v>
      </c>
      <c r="P20">
        <v>97</v>
      </c>
      <c r="Q20">
        <v>95</v>
      </c>
      <c r="R20">
        <v>106</v>
      </c>
      <c r="S20">
        <v>104</v>
      </c>
      <c r="T20">
        <v>131</v>
      </c>
      <c r="U20">
        <v>133</v>
      </c>
      <c r="V20">
        <v>130</v>
      </c>
      <c r="W20">
        <v>163</v>
      </c>
    </row>
    <row r="21" spans="1:23">
      <c r="A21" t="s">
        <v>34</v>
      </c>
      <c r="B21">
        <v>-18</v>
      </c>
      <c r="C21">
        <v>-52</v>
      </c>
      <c r="D21">
        <v>-66</v>
      </c>
      <c r="E21">
        <v>-66</v>
      </c>
      <c r="F21">
        <v>-32</v>
      </c>
      <c r="G21">
        <v>-50</v>
      </c>
      <c r="H21">
        <v>-66</v>
      </c>
      <c r="I21">
        <v>-28</v>
      </c>
      <c r="J21">
        <v>-38</v>
      </c>
      <c r="K21">
        <v>-58</v>
      </c>
      <c r="L21">
        <v>-38</v>
      </c>
      <c r="M21">
        <v>-44</v>
      </c>
      <c r="N21">
        <v>-62</v>
      </c>
      <c r="O21">
        <v>-66</v>
      </c>
      <c r="P21">
        <v>-124</v>
      </c>
      <c r="Q21">
        <v>-132</v>
      </c>
      <c r="R21">
        <v>-166</v>
      </c>
      <c r="S21">
        <v>-172</v>
      </c>
      <c r="T21">
        <v>-196</v>
      </c>
      <c r="U21">
        <v>-178</v>
      </c>
      <c r="V21">
        <v>-200</v>
      </c>
      <c r="W21">
        <v>-210</v>
      </c>
    </row>
    <row r="22" spans="1:23">
      <c r="A22" t="s">
        <v>25</v>
      </c>
      <c r="B22">
        <v>-76</v>
      </c>
      <c r="C22">
        <v>-72</v>
      </c>
      <c r="D22">
        <v>-98</v>
      </c>
      <c r="E22">
        <v>-78</v>
      </c>
      <c r="F22">
        <v>-74</v>
      </c>
      <c r="G22">
        <v>-60</v>
      </c>
      <c r="H22">
        <v>-74</v>
      </c>
      <c r="I22">
        <v>-64</v>
      </c>
      <c r="J22">
        <v>-78</v>
      </c>
      <c r="K22">
        <v>-108</v>
      </c>
      <c r="L22">
        <v>-76</v>
      </c>
      <c r="M22">
        <v>-60</v>
      </c>
      <c r="N22">
        <v>-78</v>
      </c>
      <c r="O22">
        <v>-80</v>
      </c>
      <c r="P22">
        <v>-82</v>
      </c>
      <c r="Q22">
        <v>-74</v>
      </c>
      <c r="R22">
        <v>-104</v>
      </c>
      <c r="S22">
        <v>-104</v>
      </c>
      <c r="T22">
        <v>-96</v>
      </c>
      <c r="U22">
        <v>-102</v>
      </c>
      <c r="V22">
        <v>-102</v>
      </c>
      <c r="W22">
        <v>-100</v>
      </c>
    </row>
    <row r="23" spans="1:23">
      <c r="A23" t="s">
        <v>16</v>
      </c>
      <c r="B23">
        <v>218</v>
      </c>
      <c r="C23">
        <v>156</v>
      </c>
      <c r="D23">
        <v>122</v>
      </c>
      <c r="E23">
        <v>140</v>
      </c>
      <c r="F23">
        <v>-858</v>
      </c>
      <c r="G23">
        <v>154</v>
      </c>
      <c r="H23">
        <v>194</v>
      </c>
      <c r="I23">
        <v>166</v>
      </c>
      <c r="J23">
        <v>288</v>
      </c>
      <c r="K23">
        <v>212</v>
      </c>
      <c r="L23">
        <v>226</v>
      </c>
      <c r="M23">
        <v>196</v>
      </c>
      <c r="N23">
        <v>202</v>
      </c>
      <c r="O23">
        <v>162</v>
      </c>
      <c r="P23">
        <v>154</v>
      </c>
      <c r="Q23">
        <v>172</v>
      </c>
      <c r="R23">
        <v>98</v>
      </c>
      <c r="S23">
        <v>92</v>
      </c>
      <c r="T23">
        <v>70</v>
      </c>
      <c r="U23">
        <v>112</v>
      </c>
      <c r="V23">
        <v>80</v>
      </c>
      <c r="W23">
        <v>90</v>
      </c>
    </row>
    <row r="24" spans="1:23">
      <c r="A24" t="s">
        <v>10</v>
      </c>
      <c r="B24">
        <v>88</v>
      </c>
      <c r="C24">
        <v>235</v>
      </c>
      <c r="D24">
        <v>235</v>
      </c>
      <c r="E24">
        <v>255</v>
      </c>
      <c r="F24">
        <v>114</v>
      </c>
      <c r="G24">
        <v>111</v>
      </c>
      <c r="H24">
        <v>125</v>
      </c>
      <c r="I24">
        <v>178</v>
      </c>
      <c r="J24">
        <v>159</v>
      </c>
      <c r="K24">
        <v>126</v>
      </c>
      <c r="L24">
        <v>140</v>
      </c>
      <c r="M24">
        <v>153</v>
      </c>
      <c r="N24">
        <v>145</v>
      </c>
      <c r="O24">
        <v>150</v>
      </c>
      <c r="P24">
        <v>135</v>
      </c>
      <c r="Q24">
        <v>142</v>
      </c>
      <c r="R24">
        <v>3</v>
      </c>
      <c r="S24">
        <v>204</v>
      </c>
      <c r="T24">
        <v>135</v>
      </c>
      <c r="U24">
        <v>209</v>
      </c>
      <c r="V24">
        <v>209</v>
      </c>
      <c r="W24">
        <v>163</v>
      </c>
    </row>
    <row r="25" spans="1:23">
      <c r="A25" t="s">
        <v>35</v>
      </c>
      <c r="B25">
        <v>115</v>
      </c>
      <c r="C25">
        <v>325</v>
      </c>
      <c r="D25">
        <v>230</v>
      </c>
      <c r="E25">
        <v>275</v>
      </c>
      <c r="F25">
        <v>265</v>
      </c>
      <c r="G25">
        <v>220</v>
      </c>
      <c r="H25">
        <v>400</v>
      </c>
      <c r="I25">
        <v>435</v>
      </c>
      <c r="J25">
        <v>530</v>
      </c>
      <c r="K25">
        <v>555</v>
      </c>
      <c r="L25">
        <v>530</v>
      </c>
      <c r="M25">
        <v>520</v>
      </c>
      <c r="N25">
        <v>435</v>
      </c>
      <c r="O25">
        <v>395</v>
      </c>
      <c r="P25">
        <v>390</v>
      </c>
      <c r="Q25">
        <v>355</v>
      </c>
      <c r="R25">
        <v>240</v>
      </c>
      <c r="S25">
        <v>265</v>
      </c>
      <c r="T25">
        <v>260</v>
      </c>
      <c r="U25">
        <v>175</v>
      </c>
      <c r="V25">
        <v>5</v>
      </c>
      <c r="W25">
        <v>-65</v>
      </c>
    </row>
    <row r="26" spans="1:23">
      <c r="A26" t="s">
        <v>24</v>
      </c>
      <c r="B26">
        <v>-120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-55</v>
      </c>
      <c r="K26">
        <v>-170</v>
      </c>
      <c r="L26">
        <v>-450</v>
      </c>
      <c r="M26">
        <v>-275</v>
      </c>
      <c r="N26">
        <v>-350</v>
      </c>
      <c r="O26">
        <v>-360</v>
      </c>
      <c r="P26">
        <v>-425</v>
      </c>
      <c r="Q26">
        <v>-125</v>
      </c>
      <c r="R26">
        <v>-475</v>
      </c>
      <c r="S26">
        <v>-405</v>
      </c>
      <c r="T26">
        <v>-430</v>
      </c>
      <c r="U26">
        <v>-485</v>
      </c>
      <c r="V26">
        <v>-435</v>
      </c>
      <c r="W26">
        <v>-510</v>
      </c>
    </row>
    <row r="27" spans="1:23">
      <c r="A27" t="s">
        <v>36</v>
      </c>
      <c r="B27">
        <v>-130</v>
      </c>
      <c r="C27">
        <v>-180</v>
      </c>
      <c r="D27">
        <v>-210</v>
      </c>
      <c r="E27">
        <v>0</v>
      </c>
      <c r="F27">
        <v>-100</v>
      </c>
      <c r="G27">
        <v>-200</v>
      </c>
      <c r="H27">
        <v>1870</v>
      </c>
      <c r="I27">
        <v>1220</v>
      </c>
      <c r="J27">
        <v>1180</v>
      </c>
      <c r="K27">
        <v>620</v>
      </c>
      <c r="L27">
        <v>250</v>
      </c>
      <c r="M27">
        <v>260</v>
      </c>
      <c r="N27">
        <v>80</v>
      </c>
      <c r="O27">
        <v>190</v>
      </c>
      <c r="P27">
        <v>80</v>
      </c>
      <c r="Q27">
        <v>20</v>
      </c>
      <c r="R27">
        <v>-40</v>
      </c>
      <c r="S27">
        <v>-40</v>
      </c>
      <c r="T27">
        <v>-290</v>
      </c>
      <c r="U27">
        <v>300</v>
      </c>
      <c r="V27">
        <v>-60</v>
      </c>
      <c r="W27">
        <v>-100</v>
      </c>
    </row>
    <row r="28" spans="1:23">
      <c r="A28" t="s">
        <v>22</v>
      </c>
      <c r="B28">
        <v>-225</v>
      </c>
      <c r="C28">
        <v>-170</v>
      </c>
      <c r="D28">
        <v>-150</v>
      </c>
      <c r="E28">
        <v>-185</v>
      </c>
      <c r="F28">
        <v>-245</v>
      </c>
      <c r="G28">
        <v>-235</v>
      </c>
      <c r="H28">
        <v>-240</v>
      </c>
      <c r="I28">
        <v>-490</v>
      </c>
      <c r="J28">
        <v>-150</v>
      </c>
      <c r="K28">
        <v>-30</v>
      </c>
      <c r="L28">
        <v>-320</v>
      </c>
      <c r="M28">
        <v>-180</v>
      </c>
      <c r="N28">
        <v>-185</v>
      </c>
      <c r="O28">
        <v>-50</v>
      </c>
      <c r="P28">
        <v>-105</v>
      </c>
      <c r="Q28">
        <v>-105</v>
      </c>
      <c r="R28">
        <v>-105</v>
      </c>
      <c r="S28">
        <v>-145</v>
      </c>
      <c r="T28">
        <v>-145</v>
      </c>
      <c r="U28">
        <v>-35</v>
      </c>
      <c r="V28">
        <v>-140</v>
      </c>
      <c r="W28">
        <v>-75</v>
      </c>
    </row>
    <row r="29" spans="1:23">
      <c r="A29" t="s">
        <v>37</v>
      </c>
      <c r="B29">
        <v>-25</v>
      </c>
      <c r="C29">
        <v>-60</v>
      </c>
      <c r="D29">
        <v>-80</v>
      </c>
      <c r="E29">
        <v>-35</v>
      </c>
      <c r="F29">
        <v>-15</v>
      </c>
      <c r="G29">
        <v>-85</v>
      </c>
      <c r="H29">
        <v>460</v>
      </c>
      <c r="I29">
        <v>200</v>
      </c>
      <c r="J29">
        <v>430</v>
      </c>
      <c r="K29">
        <v>10</v>
      </c>
      <c r="L29">
        <v>40</v>
      </c>
      <c r="M29">
        <v>40</v>
      </c>
      <c r="N29">
        <v>50</v>
      </c>
      <c r="O29">
        <v>150</v>
      </c>
      <c r="P29">
        <v>20</v>
      </c>
      <c r="Q29">
        <v>5</v>
      </c>
      <c r="R29">
        <v>-30</v>
      </c>
      <c r="S29">
        <v>15</v>
      </c>
      <c r="T29">
        <v>-160</v>
      </c>
      <c r="U29">
        <v>70</v>
      </c>
      <c r="V29">
        <v>60</v>
      </c>
      <c r="W29">
        <v>-40</v>
      </c>
    </row>
    <row r="30" spans="1:23">
      <c r="A30" t="s">
        <v>38</v>
      </c>
      <c r="B30">
        <v>-340</v>
      </c>
      <c r="C30">
        <v>-450</v>
      </c>
      <c r="D30">
        <v>-1900</v>
      </c>
      <c r="E30">
        <v>-500</v>
      </c>
      <c r="F30">
        <v>-600</v>
      </c>
      <c r="G30">
        <v>-1430</v>
      </c>
      <c r="H30">
        <v>-930</v>
      </c>
      <c r="I30">
        <v>-950</v>
      </c>
      <c r="J30">
        <v>-720</v>
      </c>
      <c r="K30">
        <v>-670</v>
      </c>
      <c r="L30">
        <v>-280</v>
      </c>
      <c r="M30">
        <v>-680</v>
      </c>
      <c r="N30">
        <v>-400</v>
      </c>
      <c r="O30">
        <v>-410</v>
      </c>
      <c r="P30">
        <v>-590</v>
      </c>
      <c r="Q30">
        <v>-1260</v>
      </c>
      <c r="R30">
        <v>-500</v>
      </c>
      <c r="S30">
        <v>-1020</v>
      </c>
      <c r="T30">
        <v>-1310</v>
      </c>
      <c r="U30">
        <v>290</v>
      </c>
      <c r="V30">
        <v>-1260</v>
      </c>
      <c r="W30">
        <v>-1080</v>
      </c>
    </row>
    <row r="31" spans="1:23">
      <c r="A31" t="s">
        <v>18</v>
      </c>
      <c r="B31">
        <v>40.920000000000073</v>
      </c>
      <c r="C31">
        <v>47.159999999999854</v>
      </c>
      <c r="D31">
        <v>19.760000000000218</v>
      </c>
      <c r="E31">
        <v>36.349999999999454</v>
      </c>
      <c r="F31">
        <v>33.579999999999927</v>
      </c>
      <c r="G31">
        <v>52.090000000000146</v>
      </c>
      <c r="H31">
        <v>69.390000000000327</v>
      </c>
      <c r="I31">
        <v>4.3800000000001091</v>
      </c>
      <c r="J31">
        <v>11.609999999999673</v>
      </c>
      <c r="K31">
        <v>5.5100000000002183</v>
      </c>
      <c r="L31">
        <v>6.4799999999995634</v>
      </c>
      <c r="M31">
        <v>16.25</v>
      </c>
      <c r="N31">
        <v>-3.3099999999994907</v>
      </c>
      <c r="O31">
        <v>17.720000000000255</v>
      </c>
      <c r="P31">
        <v>9.999999999308784E-3</v>
      </c>
      <c r="Q31">
        <v>11.289999999999964</v>
      </c>
      <c r="R31">
        <v>13.699999999999818</v>
      </c>
      <c r="S31">
        <v>-6.7900000000008731</v>
      </c>
      <c r="T31">
        <v>15.869999999999891</v>
      </c>
      <c r="U31">
        <v>-7.7799999999997453</v>
      </c>
      <c r="V31">
        <v>6.6100000000005821</v>
      </c>
      <c r="W31">
        <v>-0.68000000000029104</v>
      </c>
    </row>
    <row r="32" spans="1:23">
      <c r="A32" t="s">
        <v>19</v>
      </c>
      <c r="B32">
        <v>-0.51999999999998181</v>
      </c>
      <c r="C32">
        <v>1.069999999999709</v>
      </c>
      <c r="D32">
        <v>4.9099999999998545</v>
      </c>
      <c r="E32">
        <v>2.1100000000001273</v>
      </c>
      <c r="F32">
        <v>-2.2699999999999818</v>
      </c>
      <c r="G32">
        <v>2.8200000000001637</v>
      </c>
      <c r="H32">
        <v>4.6999999999998181</v>
      </c>
      <c r="I32">
        <v>1.2200000000002547</v>
      </c>
      <c r="J32">
        <v>-1.1500000000000909</v>
      </c>
      <c r="K32">
        <v>5.4400000000000546</v>
      </c>
      <c r="L32">
        <v>9.9000000000000909</v>
      </c>
      <c r="M32">
        <v>8.6799999999998363</v>
      </c>
      <c r="N32">
        <v>-4.4100000000003092</v>
      </c>
      <c r="O32">
        <v>-3.4200000000000728</v>
      </c>
      <c r="P32">
        <v>-16.420000000000073</v>
      </c>
      <c r="Q32">
        <v>-7.4099999999998545</v>
      </c>
      <c r="R32">
        <v>-16.570000000000164</v>
      </c>
      <c r="S32">
        <v>-7.1799999999998363</v>
      </c>
      <c r="T32">
        <v>-8.9099999999998545</v>
      </c>
      <c r="U32">
        <v>-12.820000000000164</v>
      </c>
      <c r="V32">
        <v>-13.980000000000018</v>
      </c>
      <c r="W32">
        <v>-10.569999999999709</v>
      </c>
    </row>
    <row r="33" spans="1:23">
      <c r="A33" t="s">
        <v>39</v>
      </c>
      <c r="B33">
        <v>16.360000000000127</v>
      </c>
      <c r="C33">
        <v>15.5</v>
      </c>
      <c r="D33">
        <v>11.080000000000382</v>
      </c>
      <c r="E33">
        <v>7.1399999999998727</v>
      </c>
      <c r="F33">
        <v>9.0899999999996908</v>
      </c>
      <c r="G33">
        <v>20.509999999999764</v>
      </c>
      <c r="H33">
        <v>21.590000000000146</v>
      </c>
      <c r="I33">
        <v>4.9600000000000364</v>
      </c>
      <c r="J33">
        <v>3.8600000000001273</v>
      </c>
      <c r="K33">
        <v>10.419999999999618</v>
      </c>
      <c r="L33">
        <v>14.809999999999945</v>
      </c>
      <c r="M33">
        <v>18.650000000000091</v>
      </c>
      <c r="N33">
        <v>-4.6399999999998727</v>
      </c>
      <c r="O33">
        <v>6.7200000000002547</v>
      </c>
      <c r="P33">
        <v>-2.2299999999995634</v>
      </c>
      <c r="Q33">
        <v>5.9600000000000364</v>
      </c>
      <c r="R33">
        <v>-17.149999999999636</v>
      </c>
      <c r="S33">
        <v>-7.6700000000000728</v>
      </c>
      <c r="T33">
        <v>-7.0200000000004366</v>
      </c>
      <c r="U33">
        <v>-20.329999999999927</v>
      </c>
      <c r="V33">
        <v>-8.6899999999995998</v>
      </c>
      <c r="W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workbookViewId="0">
      <selection activeCell="B1" sqref="B1:B1048576"/>
    </sheetView>
  </sheetViews>
  <sheetFormatPr defaultRowHeight="13.5"/>
  <cols>
    <col min="1" max="22" width="9.125" customWidth="1"/>
    <col min="23" max="23" width="10.125" customWidth="1"/>
  </cols>
  <sheetData>
    <row r="1" spans="1:23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</row>
    <row r="2" spans="1:23">
      <c r="A2" t="s">
        <v>5</v>
      </c>
      <c r="B2">
        <v>-15</v>
      </c>
      <c r="C2">
        <v>-54.5</v>
      </c>
      <c r="D2">
        <v>-94</v>
      </c>
      <c r="E2">
        <v>-80.5</v>
      </c>
      <c r="F2">
        <v>-92</v>
      </c>
      <c r="G2">
        <v>-96.5</v>
      </c>
      <c r="H2">
        <v>-31.5</v>
      </c>
      <c r="I2">
        <v>-95.5</v>
      </c>
      <c r="J2">
        <v>-95</v>
      </c>
      <c r="K2">
        <v>-79.5</v>
      </c>
      <c r="L2">
        <v>-82.5</v>
      </c>
      <c r="M2">
        <v>-103</v>
      </c>
      <c r="N2">
        <v>-125.5</v>
      </c>
      <c r="O2">
        <v>-126</v>
      </c>
      <c r="P2">
        <v>-97</v>
      </c>
      <c r="Q2">
        <v>-58.5</v>
      </c>
      <c r="R2">
        <v>-29.5</v>
      </c>
      <c r="S2">
        <v>-4</v>
      </c>
      <c r="T2">
        <v>116</v>
      </c>
      <c r="U2">
        <v>89</v>
      </c>
      <c r="V2">
        <v>61.5</v>
      </c>
      <c r="W2">
        <v>172</v>
      </c>
    </row>
    <row r="3" spans="1:23">
      <c r="A3" t="s">
        <v>7</v>
      </c>
      <c r="B3">
        <v>84</v>
      </c>
      <c r="C3">
        <v>70.5</v>
      </c>
      <c r="D3">
        <v>47</v>
      </c>
      <c r="E3">
        <v>50</v>
      </c>
      <c r="F3">
        <v>46</v>
      </c>
      <c r="G3">
        <v>23.5</v>
      </c>
      <c r="H3">
        <v>41.5</v>
      </c>
      <c r="I3">
        <v>60</v>
      </c>
      <c r="J3">
        <v>54.5</v>
      </c>
      <c r="K3">
        <v>65.5</v>
      </c>
      <c r="L3">
        <v>69</v>
      </c>
      <c r="M3">
        <v>61</v>
      </c>
      <c r="N3">
        <v>57</v>
      </c>
      <c r="O3">
        <v>57</v>
      </c>
      <c r="P3">
        <v>61.5</v>
      </c>
      <c r="Q3">
        <v>69.5</v>
      </c>
      <c r="R3">
        <v>48</v>
      </c>
      <c r="S3">
        <v>56.5</v>
      </c>
      <c r="T3">
        <v>46</v>
      </c>
      <c r="U3">
        <v>42</v>
      </c>
      <c r="V3">
        <v>91</v>
      </c>
      <c r="W3">
        <v>94</v>
      </c>
    </row>
    <row r="4" spans="1:23">
      <c r="A4" t="s">
        <v>4</v>
      </c>
      <c r="B4">
        <v>65.399999999999977</v>
      </c>
      <c r="C4">
        <v>69</v>
      </c>
      <c r="D4">
        <v>82</v>
      </c>
      <c r="E4">
        <v>89.600000000000023</v>
      </c>
      <c r="F4">
        <v>105.79999999999995</v>
      </c>
      <c r="G4">
        <v>114</v>
      </c>
      <c r="H4">
        <v>118.19999999999993</v>
      </c>
      <c r="I4">
        <v>124.79999999999995</v>
      </c>
      <c r="J4">
        <v>126.39999999999998</v>
      </c>
      <c r="K4">
        <v>131.19999999999993</v>
      </c>
      <c r="L4">
        <v>133.60000000000002</v>
      </c>
      <c r="M4">
        <v>129</v>
      </c>
      <c r="N4">
        <v>132.60000000000002</v>
      </c>
      <c r="O4">
        <v>127.79999999999995</v>
      </c>
      <c r="P4">
        <v>127.60000000000002</v>
      </c>
      <c r="Q4">
        <v>146.79999999999995</v>
      </c>
      <c r="R4">
        <v>135.19999999999993</v>
      </c>
      <c r="S4">
        <v>137</v>
      </c>
      <c r="T4">
        <v>130.79999999999995</v>
      </c>
      <c r="U4">
        <v>131.19999999999993</v>
      </c>
      <c r="V4">
        <v>113.60000000000002</v>
      </c>
      <c r="W4">
        <v>115.39999999999998</v>
      </c>
    </row>
    <row r="5" spans="1:23">
      <c r="A5" t="s">
        <v>20</v>
      </c>
      <c r="B5">
        <v>20</v>
      </c>
      <c r="C5">
        <v>9</v>
      </c>
      <c r="D5">
        <v>7</v>
      </c>
      <c r="E5">
        <v>10.100000000000023</v>
      </c>
      <c r="F5">
        <v>8.7000000000000455</v>
      </c>
      <c r="G5">
        <v>5.8999999999999773</v>
      </c>
      <c r="H5">
        <v>8.7999999999999545</v>
      </c>
      <c r="I5">
        <v>2.3999999999999773</v>
      </c>
      <c r="J5">
        <v>1.2999999999999545</v>
      </c>
      <c r="K5">
        <v>15.200000000000045</v>
      </c>
      <c r="L5">
        <v>10.899999999999977</v>
      </c>
      <c r="M5">
        <v>7.3999999999999773</v>
      </c>
      <c r="N5">
        <v>8.3999999999999773</v>
      </c>
      <c r="O5">
        <v>0.89999999999997726</v>
      </c>
      <c r="P5">
        <v>2</v>
      </c>
      <c r="Q5">
        <v>6.1000000000000227</v>
      </c>
      <c r="R5">
        <v>3.2999999999999545</v>
      </c>
      <c r="S5">
        <v>-12.799999999999955</v>
      </c>
      <c r="T5">
        <v>-9.6000000000000227</v>
      </c>
      <c r="U5">
        <v>-9.6000000000000227</v>
      </c>
      <c r="V5">
        <v>-12.799999999999955</v>
      </c>
      <c r="W5">
        <v>1.2000000000000455</v>
      </c>
    </row>
    <row r="6" spans="1:23">
      <c r="A6" t="s">
        <v>12</v>
      </c>
      <c r="B6">
        <v>367</v>
      </c>
      <c r="C6">
        <v>372</v>
      </c>
      <c r="D6">
        <v>345</v>
      </c>
      <c r="E6">
        <v>355</v>
      </c>
      <c r="F6">
        <v>361</v>
      </c>
      <c r="G6">
        <v>312</v>
      </c>
      <c r="H6">
        <v>249</v>
      </c>
      <c r="I6">
        <v>257</v>
      </c>
      <c r="J6">
        <v>207</v>
      </c>
      <c r="K6">
        <v>217</v>
      </c>
      <c r="L6">
        <v>245</v>
      </c>
      <c r="M6">
        <v>226</v>
      </c>
      <c r="N6">
        <v>217</v>
      </c>
      <c r="O6">
        <v>227</v>
      </c>
      <c r="P6">
        <v>227</v>
      </c>
      <c r="Q6">
        <v>219</v>
      </c>
      <c r="R6">
        <v>237</v>
      </c>
      <c r="S6">
        <v>236</v>
      </c>
      <c r="T6">
        <v>257</v>
      </c>
      <c r="U6">
        <v>250</v>
      </c>
      <c r="V6">
        <v>234</v>
      </c>
      <c r="W6">
        <v>263</v>
      </c>
    </row>
    <row r="7" spans="1:23">
      <c r="A7" t="s">
        <v>9</v>
      </c>
      <c r="B7">
        <v>150</v>
      </c>
      <c r="C7">
        <v>177</v>
      </c>
      <c r="D7">
        <v>141</v>
      </c>
      <c r="E7">
        <v>188</v>
      </c>
      <c r="F7">
        <v>208</v>
      </c>
      <c r="G7">
        <v>208</v>
      </c>
      <c r="H7">
        <v>272</v>
      </c>
      <c r="I7">
        <v>162</v>
      </c>
      <c r="J7">
        <v>162</v>
      </c>
      <c r="K7">
        <v>165</v>
      </c>
      <c r="L7">
        <v>165</v>
      </c>
      <c r="M7">
        <v>152</v>
      </c>
      <c r="N7">
        <v>152</v>
      </c>
      <c r="O7">
        <v>155</v>
      </c>
      <c r="P7">
        <v>155</v>
      </c>
      <c r="Q7">
        <v>155</v>
      </c>
      <c r="R7">
        <v>182</v>
      </c>
      <c r="S7">
        <v>184</v>
      </c>
      <c r="T7">
        <v>227</v>
      </c>
      <c r="U7">
        <v>243</v>
      </c>
      <c r="V7">
        <v>254</v>
      </c>
      <c r="W7">
        <v>214</v>
      </c>
    </row>
    <row r="8" spans="1:23">
      <c r="A8" t="s">
        <v>31</v>
      </c>
      <c r="B8">
        <v>-1165</v>
      </c>
      <c r="C8">
        <v>-1150</v>
      </c>
      <c r="D8">
        <v>-1155</v>
      </c>
      <c r="E8">
        <v>-1275</v>
      </c>
      <c r="F8">
        <v>-1295</v>
      </c>
      <c r="G8">
        <v>-1290</v>
      </c>
      <c r="H8">
        <v>-1280</v>
      </c>
      <c r="I8">
        <v>-1390</v>
      </c>
      <c r="J8">
        <v>-1380</v>
      </c>
      <c r="K8">
        <v>-1380</v>
      </c>
      <c r="L8">
        <v>-1380</v>
      </c>
      <c r="M8">
        <v>-1360</v>
      </c>
      <c r="N8">
        <v>-1590</v>
      </c>
      <c r="O8">
        <v>-1575</v>
      </c>
      <c r="P8">
        <v>-1675</v>
      </c>
      <c r="Q8">
        <v>-1855</v>
      </c>
      <c r="R8">
        <v>-1845</v>
      </c>
      <c r="S8">
        <v>-1835</v>
      </c>
      <c r="T8">
        <v>-2055</v>
      </c>
      <c r="U8">
        <v>-2055</v>
      </c>
      <c r="V8">
        <v>-2060</v>
      </c>
      <c r="W8">
        <v>-2215</v>
      </c>
    </row>
    <row r="9" spans="1:23">
      <c r="A9" t="s">
        <v>17</v>
      </c>
      <c r="B9">
        <v>-30</v>
      </c>
      <c r="C9">
        <v>-40</v>
      </c>
      <c r="D9">
        <v>-45</v>
      </c>
      <c r="E9">
        <v>-39</v>
      </c>
      <c r="F9">
        <v>-36</v>
      </c>
      <c r="G9">
        <v>-65</v>
      </c>
      <c r="H9">
        <v>-52</v>
      </c>
      <c r="I9">
        <v>-48</v>
      </c>
      <c r="J9">
        <v>-48</v>
      </c>
      <c r="K9">
        <v>-38</v>
      </c>
      <c r="L9">
        <v>-40</v>
      </c>
      <c r="M9">
        <v>-55</v>
      </c>
      <c r="N9">
        <v>-89</v>
      </c>
      <c r="O9">
        <v>-73</v>
      </c>
      <c r="P9">
        <v>-69</v>
      </c>
      <c r="Q9">
        <v>-73</v>
      </c>
      <c r="R9">
        <v>-63</v>
      </c>
      <c r="S9">
        <v>-61</v>
      </c>
      <c r="T9">
        <v>-64</v>
      </c>
      <c r="U9">
        <v>-70</v>
      </c>
      <c r="V9">
        <v>-70</v>
      </c>
      <c r="W9">
        <v>-49</v>
      </c>
    </row>
    <row r="10" spans="1:23">
      <c r="A10" t="s">
        <v>32</v>
      </c>
      <c r="B10">
        <v>-105</v>
      </c>
      <c r="C10">
        <v>-170</v>
      </c>
      <c r="D10">
        <v>-140</v>
      </c>
      <c r="E10">
        <v>-65</v>
      </c>
      <c r="F10">
        <v>-60</v>
      </c>
      <c r="G10">
        <v>-40</v>
      </c>
      <c r="H10">
        <v>-5</v>
      </c>
      <c r="I10">
        <v>60</v>
      </c>
      <c r="J10">
        <v>-120</v>
      </c>
      <c r="K10">
        <v>-115</v>
      </c>
      <c r="L10">
        <v>-95</v>
      </c>
      <c r="M10">
        <v>-100</v>
      </c>
      <c r="N10">
        <v>-85</v>
      </c>
      <c r="O10">
        <v>-150</v>
      </c>
      <c r="P10">
        <v>-150</v>
      </c>
      <c r="Q10">
        <v>-120</v>
      </c>
      <c r="R10">
        <v>-165</v>
      </c>
      <c r="S10">
        <v>-75</v>
      </c>
      <c r="T10">
        <v>-245</v>
      </c>
      <c r="U10">
        <v>-160</v>
      </c>
      <c r="V10">
        <v>-175</v>
      </c>
      <c r="W10">
        <v>-335</v>
      </c>
    </row>
    <row r="11" spans="1:23">
      <c r="A11" t="s">
        <v>21</v>
      </c>
      <c r="B11">
        <v>-90</v>
      </c>
      <c r="C11">
        <v>-80</v>
      </c>
      <c r="D11">
        <v>-55</v>
      </c>
      <c r="E11">
        <v>-30</v>
      </c>
      <c r="F11">
        <v>-40</v>
      </c>
      <c r="G11">
        <v>15</v>
      </c>
      <c r="H11">
        <v>90</v>
      </c>
      <c r="I11">
        <v>85</v>
      </c>
      <c r="J11">
        <v>110</v>
      </c>
      <c r="K11">
        <v>110</v>
      </c>
      <c r="L11">
        <v>90</v>
      </c>
      <c r="M11">
        <v>15</v>
      </c>
      <c r="N11">
        <v>80</v>
      </c>
      <c r="O11">
        <v>115</v>
      </c>
      <c r="P11">
        <v>100</v>
      </c>
      <c r="Q11">
        <v>40</v>
      </c>
      <c r="R11">
        <v>35</v>
      </c>
      <c r="S11">
        <v>55</v>
      </c>
      <c r="T11">
        <v>65</v>
      </c>
      <c r="U11">
        <v>70</v>
      </c>
      <c r="V11">
        <v>30</v>
      </c>
      <c r="W11">
        <v>65</v>
      </c>
    </row>
    <row r="12" spans="1:23">
      <c r="A12" t="s">
        <v>33</v>
      </c>
      <c r="B12">
        <v>-190</v>
      </c>
      <c r="C12">
        <v>-165</v>
      </c>
      <c r="D12">
        <v>-173</v>
      </c>
      <c r="E12">
        <v>-106</v>
      </c>
      <c r="F12">
        <v>-111</v>
      </c>
      <c r="G12">
        <v>-142</v>
      </c>
      <c r="H12">
        <v>-115</v>
      </c>
      <c r="I12">
        <v>-113</v>
      </c>
      <c r="J12">
        <v>-43</v>
      </c>
      <c r="K12">
        <v>-53</v>
      </c>
      <c r="L12">
        <v>-60</v>
      </c>
      <c r="M12">
        <v>-52</v>
      </c>
      <c r="N12">
        <v>-66</v>
      </c>
      <c r="O12">
        <v>-48</v>
      </c>
      <c r="P12">
        <v>-17</v>
      </c>
      <c r="Q12">
        <v>-40</v>
      </c>
      <c r="R12">
        <v>-67</v>
      </c>
      <c r="S12">
        <v>-62</v>
      </c>
      <c r="T12">
        <v>-24</v>
      </c>
      <c r="U12">
        <v>-51</v>
      </c>
      <c r="V12">
        <v>-44</v>
      </c>
      <c r="W12">
        <v>18</v>
      </c>
    </row>
    <row r="13" spans="1:23">
      <c r="A13" t="s">
        <v>13</v>
      </c>
      <c r="B13">
        <v>282</v>
      </c>
      <c r="C13">
        <v>352</v>
      </c>
      <c r="D13">
        <v>243</v>
      </c>
      <c r="E13">
        <v>263</v>
      </c>
      <c r="F13">
        <v>289</v>
      </c>
      <c r="G13">
        <v>324</v>
      </c>
      <c r="H13">
        <v>302</v>
      </c>
      <c r="I13">
        <v>262</v>
      </c>
      <c r="J13">
        <v>84</v>
      </c>
      <c r="K13">
        <v>84</v>
      </c>
      <c r="L13">
        <v>58</v>
      </c>
      <c r="M13">
        <v>37</v>
      </c>
      <c r="N13">
        <v>26</v>
      </c>
      <c r="O13">
        <v>15</v>
      </c>
      <c r="P13">
        <v>6</v>
      </c>
      <c r="Q13">
        <v>-9</v>
      </c>
      <c r="R13">
        <v>-7</v>
      </c>
      <c r="S13">
        <v>-12</v>
      </c>
      <c r="T13">
        <v>-53</v>
      </c>
      <c r="U13">
        <v>-67</v>
      </c>
      <c r="V13">
        <v>-52</v>
      </c>
      <c r="W13">
        <v>-38</v>
      </c>
    </row>
    <row r="14" spans="1:23">
      <c r="A14" t="s">
        <v>26</v>
      </c>
      <c r="B14">
        <v>-52</v>
      </c>
      <c r="C14">
        <v>-100</v>
      </c>
      <c r="D14">
        <v>-106</v>
      </c>
      <c r="E14">
        <v>-120</v>
      </c>
      <c r="F14">
        <v>-96</v>
      </c>
      <c r="G14">
        <v>-114</v>
      </c>
      <c r="H14">
        <v>-86</v>
      </c>
      <c r="I14">
        <v>-40</v>
      </c>
      <c r="J14">
        <v>-36</v>
      </c>
      <c r="K14">
        <v>-42</v>
      </c>
      <c r="L14">
        <v>-68</v>
      </c>
      <c r="M14">
        <v>-110</v>
      </c>
      <c r="N14">
        <v>-174</v>
      </c>
      <c r="O14">
        <v>-220</v>
      </c>
      <c r="P14">
        <v>-206</v>
      </c>
      <c r="Q14">
        <v>-248</v>
      </c>
      <c r="R14">
        <v>-360</v>
      </c>
      <c r="S14">
        <v>-322</v>
      </c>
      <c r="T14">
        <v>-342</v>
      </c>
      <c r="U14">
        <v>-334</v>
      </c>
      <c r="V14">
        <v>-390</v>
      </c>
      <c r="W14">
        <v>-508</v>
      </c>
    </row>
    <row r="15" spans="1:23">
      <c r="A15" t="s">
        <v>6</v>
      </c>
      <c r="B15">
        <v>-83</v>
      </c>
      <c r="C15">
        <v>-34</v>
      </c>
      <c r="D15">
        <v>-2</v>
      </c>
      <c r="E15">
        <v>39</v>
      </c>
      <c r="F15">
        <v>52</v>
      </c>
      <c r="G15">
        <v>26</v>
      </c>
      <c r="H15">
        <v>89</v>
      </c>
      <c r="I15">
        <v>97</v>
      </c>
      <c r="J15">
        <v>172</v>
      </c>
      <c r="K15">
        <v>167</v>
      </c>
      <c r="L15">
        <v>168</v>
      </c>
      <c r="M15">
        <v>111</v>
      </c>
      <c r="N15">
        <v>121</v>
      </c>
      <c r="O15">
        <v>102</v>
      </c>
      <c r="P15">
        <v>127</v>
      </c>
      <c r="Q15">
        <v>252</v>
      </c>
      <c r="R15">
        <v>275</v>
      </c>
      <c r="S15">
        <v>290</v>
      </c>
      <c r="T15">
        <v>310</v>
      </c>
      <c r="U15">
        <v>313</v>
      </c>
      <c r="V15">
        <v>348</v>
      </c>
      <c r="W15">
        <v>580</v>
      </c>
    </row>
    <row r="16" spans="1:23">
      <c r="A16" t="s">
        <v>15</v>
      </c>
      <c r="B16">
        <v>-76</v>
      </c>
      <c r="C16">
        <v>-128</v>
      </c>
      <c r="D16">
        <v>-91</v>
      </c>
      <c r="E16">
        <v>-87</v>
      </c>
      <c r="F16">
        <v>-57</v>
      </c>
      <c r="G16">
        <v>-66</v>
      </c>
      <c r="H16">
        <v>-44</v>
      </c>
      <c r="I16">
        <v>-11</v>
      </c>
      <c r="J16">
        <v>26</v>
      </c>
      <c r="K16">
        <v>22</v>
      </c>
      <c r="L16">
        <v>22</v>
      </c>
      <c r="M16">
        <v>20</v>
      </c>
      <c r="N16">
        <v>59</v>
      </c>
      <c r="O16">
        <v>65</v>
      </c>
      <c r="P16">
        <v>74</v>
      </c>
      <c r="Q16">
        <v>81</v>
      </c>
      <c r="R16">
        <v>95</v>
      </c>
      <c r="S16">
        <v>98</v>
      </c>
      <c r="T16">
        <v>41</v>
      </c>
      <c r="U16">
        <v>48</v>
      </c>
      <c r="V16">
        <v>35</v>
      </c>
      <c r="W16">
        <v>201</v>
      </c>
    </row>
    <row r="17" spans="1:23">
      <c r="A17" t="s">
        <v>11</v>
      </c>
      <c r="B17">
        <v>222</v>
      </c>
      <c r="C17">
        <v>150</v>
      </c>
      <c r="D17">
        <v>117</v>
      </c>
      <c r="E17">
        <v>112</v>
      </c>
      <c r="F17">
        <v>139</v>
      </c>
      <c r="G17">
        <v>122</v>
      </c>
      <c r="H17">
        <v>87</v>
      </c>
      <c r="I17">
        <v>105</v>
      </c>
      <c r="J17">
        <v>87</v>
      </c>
      <c r="K17">
        <v>98</v>
      </c>
      <c r="L17">
        <v>81</v>
      </c>
      <c r="M17">
        <v>84</v>
      </c>
      <c r="N17">
        <v>83</v>
      </c>
      <c r="O17">
        <v>82</v>
      </c>
      <c r="P17">
        <v>76</v>
      </c>
      <c r="Q17">
        <v>79</v>
      </c>
      <c r="R17">
        <v>86</v>
      </c>
      <c r="S17">
        <v>76</v>
      </c>
      <c r="T17">
        <v>55</v>
      </c>
      <c r="U17">
        <v>71</v>
      </c>
      <c r="V17">
        <v>39</v>
      </c>
      <c r="W17">
        <v>103</v>
      </c>
    </row>
    <row r="18" spans="1:23">
      <c r="A18" t="s">
        <v>23</v>
      </c>
      <c r="B18">
        <v>39</v>
      </c>
      <c r="C18">
        <v>31</v>
      </c>
      <c r="D18">
        <v>-3</v>
      </c>
      <c r="E18">
        <v>-3</v>
      </c>
      <c r="F18">
        <v>-4</v>
      </c>
      <c r="G18">
        <v>-4</v>
      </c>
      <c r="H18">
        <v>-8</v>
      </c>
      <c r="I18">
        <v>-145</v>
      </c>
      <c r="J18">
        <v>-85</v>
      </c>
      <c r="K18">
        <v>-78</v>
      </c>
      <c r="L18">
        <v>-80</v>
      </c>
      <c r="M18">
        <v>-45</v>
      </c>
      <c r="N18">
        <v>-40</v>
      </c>
      <c r="O18">
        <v>-64</v>
      </c>
      <c r="P18">
        <v>-29</v>
      </c>
      <c r="Q18">
        <v>-38</v>
      </c>
      <c r="R18">
        <v>-33</v>
      </c>
      <c r="S18">
        <v>-40</v>
      </c>
      <c r="T18">
        <v>-56</v>
      </c>
      <c r="U18">
        <v>-48</v>
      </c>
      <c r="V18">
        <v>-78</v>
      </c>
      <c r="W18">
        <v>-40</v>
      </c>
    </row>
    <row r="19" spans="1:23">
      <c r="A19" t="s">
        <v>14</v>
      </c>
      <c r="B19">
        <v>142</v>
      </c>
      <c r="C19">
        <v>103</v>
      </c>
      <c r="D19">
        <v>116</v>
      </c>
      <c r="E19">
        <v>101</v>
      </c>
      <c r="F19">
        <v>103</v>
      </c>
      <c r="G19">
        <v>84</v>
      </c>
      <c r="H19">
        <v>90</v>
      </c>
      <c r="I19">
        <v>84</v>
      </c>
      <c r="J19">
        <v>99</v>
      </c>
      <c r="K19">
        <v>96</v>
      </c>
      <c r="L19">
        <v>83</v>
      </c>
      <c r="M19">
        <v>79</v>
      </c>
      <c r="N19">
        <v>76</v>
      </c>
      <c r="O19">
        <v>70</v>
      </c>
      <c r="P19">
        <v>78</v>
      </c>
      <c r="Q19">
        <v>73</v>
      </c>
      <c r="R19">
        <v>64</v>
      </c>
      <c r="S19">
        <v>71</v>
      </c>
      <c r="T19">
        <v>79</v>
      </c>
      <c r="U19">
        <v>76</v>
      </c>
      <c r="V19">
        <v>74</v>
      </c>
      <c r="W19">
        <v>69</v>
      </c>
    </row>
    <row r="20" spans="1:23">
      <c r="A20" t="s">
        <v>8</v>
      </c>
      <c r="B20">
        <v>96</v>
      </c>
      <c r="C20">
        <v>93</v>
      </c>
      <c r="D20">
        <v>117</v>
      </c>
      <c r="E20">
        <v>116</v>
      </c>
      <c r="F20">
        <v>114</v>
      </c>
      <c r="G20">
        <v>62</v>
      </c>
      <c r="H20">
        <v>59</v>
      </c>
      <c r="I20">
        <v>54</v>
      </c>
      <c r="J20">
        <v>75</v>
      </c>
      <c r="K20">
        <v>67</v>
      </c>
      <c r="L20">
        <v>46</v>
      </c>
      <c r="M20">
        <v>49</v>
      </c>
      <c r="N20">
        <v>42</v>
      </c>
      <c r="O20">
        <v>37</v>
      </c>
      <c r="P20">
        <v>53</v>
      </c>
      <c r="Q20">
        <v>51</v>
      </c>
      <c r="R20">
        <v>59</v>
      </c>
      <c r="S20">
        <v>64</v>
      </c>
      <c r="T20">
        <v>82</v>
      </c>
      <c r="U20">
        <v>85</v>
      </c>
      <c r="V20">
        <v>80</v>
      </c>
      <c r="W20">
        <v>114</v>
      </c>
    </row>
    <row r="21" spans="1:23">
      <c r="A21" t="s">
        <v>34</v>
      </c>
      <c r="B21">
        <v>-172</v>
      </c>
      <c r="C21">
        <v>-212</v>
      </c>
      <c r="D21">
        <v>-212</v>
      </c>
      <c r="E21">
        <v>-216</v>
      </c>
      <c r="F21">
        <v>-180</v>
      </c>
      <c r="G21">
        <v>-198</v>
      </c>
      <c r="H21">
        <v>-210</v>
      </c>
      <c r="I21">
        <v>-174</v>
      </c>
      <c r="J21">
        <v>-182</v>
      </c>
      <c r="K21">
        <v>-194</v>
      </c>
      <c r="L21">
        <v>-176</v>
      </c>
      <c r="M21">
        <v>-188</v>
      </c>
      <c r="N21">
        <v>-208</v>
      </c>
      <c r="O21">
        <v>-208</v>
      </c>
      <c r="P21">
        <v>-264</v>
      </c>
      <c r="Q21">
        <v>-276</v>
      </c>
      <c r="R21">
        <v>-306</v>
      </c>
      <c r="S21">
        <v>-316</v>
      </c>
      <c r="T21">
        <v>-340</v>
      </c>
      <c r="U21">
        <v>-320</v>
      </c>
      <c r="V21">
        <v>-340</v>
      </c>
      <c r="W21">
        <v>-342</v>
      </c>
    </row>
    <row r="22" spans="1:23">
      <c r="A22" t="s">
        <v>25</v>
      </c>
      <c r="B22">
        <v>-68</v>
      </c>
      <c r="C22">
        <v>-58</v>
      </c>
      <c r="D22">
        <v>-76</v>
      </c>
      <c r="E22">
        <v>-62</v>
      </c>
      <c r="F22">
        <v>-70</v>
      </c>
      <c r="G22">
        <v>-82</v>
      </c>
      <c r="H22">
        <v>-98</v>
      </c>
      <c r="I22">
        <v>-106</v>
      </c>
      <c r="J22">
        <v>-118</v>
      </c>
      <c r="K22">
        <v>-146</v>
      </c>
      <c r="L22">
        <v>-122</v>
      </c>
      <c r="M22">
        <v>-108</v>
      </c>
      <c r="N22">
        <v>-130</v>
      </c>
      <c r="O22">
        <v>-138</v>
      </c>
      <c r="P22">
        <v>-140</v>
      </c>
      <c r="Q22">
        <v>-146</v>
      </c>
      <c r="R22">
        <v>-178</v>
      </c>
      <c r="S22">
        <v>-186</v>
      </c>
      <c r="T22">
        <v>-170</v>
      </c>
      <c r="U22">
        <v>-176</v>
      </c>
      <c r="V22">
        <v>-172</v>
      </c>
      <c r="W22">
        <v>-210</v>
      </c>
    </row>
    <row r="23" spans="1:23">
      <c r="A23" t="s">
        <v>16</v>
      </c>
      <c r="B23">
        <v>-38</v>
      </c>
      <c r="C23">
        <v>-86</v>
      </c>
      <c r="D23">
        <v>-134</v>
      </c>
      <c r="E23">
        <v>-124</v>
      </c>
      <c r="F23">
        <v>-1130</v>
      </c>
      <c r="G23">
        <v>-114</v>
      </c>
      <c r="H23">
        <v>-78</v>
      </c>
      <c r="I23">
        <v>-100</v>
      </c>
      <c r="J23">
        <v>24</v>
      </c>
      <c r="K23">
        <v>-42</v>
      </c>
      <c r="L23">
        <v>-36</v>
      </c>
      <c r="M23">
        <v>-52</v>
      </c>
      <c r="N23">
        <v>-58</v>
      </c>
      <c r="O23">
        <v>-100</v>
      </c>
      <c r="P23">
        <v>-100</v>
      </c>
      <c r="Q23">
        <v>-78</v>
      </c>
      <c r="R23">
        <v>-132</v>
      </c>
      <c r="S23">
        <v>-142</v>
      </c>
      <c r="T23">
        <v>-168</v>
      </c>
      <c r="U23">
        <v>-130</v>
      </c>
      <c r="V23">
        <v>-138</v>
      </c>
      <c r="W23">
        <v>40</v>
      </c>
    </row>
    <row r="24" spans="1:23">
      <c r="A24" t="s">
        <v>10</v>
      </c>
      <c r="B24">
        <v>108</v>
      </c>
      <c r="C24">
        <v>272</v>
      </c>
      <c r="D24">
        <v>280</v>
      </c>
      <c r="E24">
        <v>304</v>
      </c>
      <c r="F24">
        <v>164</v>
      </c>
      <c r="G24">
        <v>159</v>
      </c>
      <c r="H24">
        <v>169</v>
      </c>
      <c r="I24">
        <v>197</v>
      </c>
      <c r="J24">
        <v>174</v>
      </c>
      <c r="K24">
        <v>140</v>
      </c>
      <c r="L24">
        <v>152</v>
      </c>
      <c r="M24">
        <v>176</v>
      </c>
      <c r="N24">
        <v>168</v>
      </c>
      <c r="O24">
        <v>168</v>
      </c>
      <c r="P24">
        <v>152</v>
      </c>
      <c r="Q24">
        <v>163</v>
      </c>
      <c r="R24">
        <v>21</v>
      </c>
      <c r="S24">
        <v>223</v>
      </c>
      <c r="T24">
        <v>180</v>
      </c>
      <c r="U24">
        <v>248</v>
      </c>
      <c r="V24">
        <v>252</v>
      </c>
      <c r="W24">
        <v>255</v>
      </c>
    </row>
    <row r="25" spans="1:23">
      <c r="A25" t="s">
        <v>35</v>
      </c>
      <c r="B25">
        <v>-365</v>
      </c>
      <c r="C25">
        <v>-145</v>
      </c>
      <c r="D25">
        <v>-240</v>
      </c>
      <c r="E25">
        <v>-195</v>
      </c>
      <c r="F25">
        <v>-205</v>
      </c>
      <c r="G25">
        <v>-260</v>
      </c>
      <c r="H25">
        <v>-65</v>
      </c>
      <c r="I25">
        <v>-25</v>
      </c>
      <c r="J25">
        <v>65</v>
      </c>
      <c r="K25">
        <v>100</v>
      </c>
      <c r="L25">
        <v>80</v>
      </c>
      <c r="M25">
        <v>70</v>
      </c>
      <c r="N25">
        <v>-15</v>
      </c>
      <c r="O25">
        <v>-55</v>
      </c>
      <c r="P25">
        <v>-50</v>
      </c>
      <c r="Q25">
        <v>-85</v>
      </c>
      <c r="R25">
        <v>-190</v>
      </c>
      <c r="S25">
        <v>-155</v>
      </c>
      <c r="T25">
        <v>-155</v>
      </c>
      <c r="U25">
        <v>-235</v>
      </c>
      <c r="V25">
        <v>-410</v>
      </c>
      <c r="W25">
        <v>-465</v>
      </c>
    </row>
    <row r="26" spans="1:23">
      <c r="A26" t="s">
        <v>24</v>
      </c>
      <c r="B26">
        <v>-250</v>
      </c>
      <c r="C26">
        <v>-400</v>
      </c>
      <c r="D26">
        <v>-300</v>
      </c>
      <c r="E26">
        <v>-300</v>
      </c>
      <c r="F26">
        <v>-300</v>
      </c>
      <c r="G26">
        <v>-320</v>
      </c>
      <c r="H26">
        <v>-145</v>
      </c>
      <c r="I26">
        <v>-145</v>
      </c>
      <c r="J26">
        <v>-220</v>
      </c>
      <c r="K26">
        <v>-95</v>
      </c>
      <c r="L26">
        <v>-95</v>
      </c>
      <c r="M26">
        <v>-95</v>
      </c>
      <c r="N26">
        <v>-95</v>
      </c>
      <c r="O26">
        <v>-95</v>
      </c>
      <c r="P26">
        <v>-95</v>
      </c>
      <c r="Q26">
        <v>105</v>
      </c>
      <c r="R26">
        <v>-95</v>
      </c>
      <c r="S26">
        <v>-220</v>
      </c>
      <c r="T26">
        <v>-55</v>
      </c>
      <c r="U26">
        <v>-350</v>
      </c>
      <c r="V26">
        <v>-350</v>
      </c>
      <c r="W26">
        <v>-350</v>
      </c>
    </row>
    <row r="27" spans="1:23">
      <c r="A27" t="s">
        <v>36</v>
      </c>
      <c r="B27">
        <v>-360</v>
      </c>
      <c r="C27">
        <v>-420</v>
      </c>
      <c r="D27">
        <v>-450</v>
      </c>
      <c r="E27">
        <v>-240</v>
      </c>
      <c r="F27">
        <v>-350</v>
      </c>
      <c r="G27">
        <v>-480</v>
      </c>
      <c r="H27">
        <v>-270</v>
      </c>
      <c r="I27">
        <v>-130</v>
      </c>
      <c r="J27">
        <v>-240</v>
      </c>
      <c r="K27">
        <v>-160</v>
      </c>
      <c r="L27">
        <v>-150</v>
      </c>
      <c r="M27">
        <v>-30</v>
      </c>
      <c r="N27">
        <v>-210</v>
      </c>
      <c r="O27">
        <v>-90</v>
      </c>
      <c r="P27">
        <v>-190</v>
      </c>
      <c r="Q27">
        <v>-260</v>
      </c>
      <c r="R27">
        <v>-240</v>
      </c>
      <c r="S27">
        <v>-270</v>
      </c>
      <c r="T27">
        <v>-490</v>
      </c>
      <c r="U27">
        <v>140</v>
      </c>
      <c r="V27">
        <v>-200</v>
      </c>
      <c r="W27">
        <v>10</v>
      </c>
    </row>
    <row r="28" spans="1:23">
      <c r="A28" t="s">
        <v>22</v>
      </c>
      <c r="B28">
        <v>-310</v>
      </c>
      <c r="C28">
        <v>-265</v>
      </c>
      <c r="D28">
        <v>-240</v>
      </c>
      <c r="E28">
        <v>-275</v>
      </c>
      <c r="F28">
        <v>-335</v>
      </c>
      <c r="G28">
        <v>-320</v>
      </c>
      <c r="H28">
        <v>-285</v>
      </c>
      <c r="I28">
        <v>-350</v>
      </c>
      <c r="J28">
        <v>-230</v>
      </c>
      <c r="K28">
        <v>-180</v>
      </c>
      <c r="L28">
        <v>-330</v>
      </c>
      <c r="M28">
        <v>-285</v>
      </c>
      <c r="N28">
        <v>-270</v>
      </c>
      <c r="O28">
        <v>-135</v>
      </c>
      <c r="P28">
        <v>-185</v>
      </c>
      <c r="Q28">
        <v>-190</v>
      </c>
      <c r="R28">
        <v>-190</v>
      </c>
      <c r="S28">
        <v>-230</v>
      </c>
      <c r="T28">
        <v>-235</v>
      </c>
      <c r="U28">
        <v>-105</v>
      </c>
      <c r="V28">
        <v>-230</v>
      </c>
      <c r="W28">
        <v>-310</v>
      </c>
    </row>
    <row r="29" spans="1:23">
      <c r="A29" t="s">
        <v>37</v>
      </c>
      <c r="B29">
        <v>-55</v>
      </c>
      <c r="C29">
        <v>-110</v>
      </c>
      <c r="D29">
        <v>-145</v>
      </c>
      <c r="E29">
        <v>-65</v>
      </c>
      <c r="F29">
        <v>-45</v>
      </c>
      <c r="G29">
        <v>-120</v>
      </c>
      <c r="H29">
        <v>-25</v>
      </c>
      <c r="I29">
        <v>-85</v>
      </c>
      <c r="J29">
        <v>-110</v>
      </c>
      <c r="K29">
        <v>-90</v>
      </c>
      <c r="L29">
        <v>-10</v>
      </c>
      <c r="M29">
        <v>-50</v>
      </c>
      <c r="N29">
        <v>-80</v>
      </c>
      <c r="O29">
        <v>15</v>
      </c>
      <c r="P29">
        <v>-80</v>
      </c>
      <c r="Q29">
        <v>-65</v>
      </c>
      <c r="R29">
        <v>-60</v>
      </c>
      <c r="S29">
        <v>-25</v>
      </c>
      <c r="T29">
        <v>-185</v>
      </c>
      <c r="U29">
        <v>40</v>
      </c>
      <c r="V29">
        <v>15</v>
      </c>
      <c r="W29">
        <v>-40</v>
      </c>
    </row>
    <row r="30" spans="1:23">
      <c r="A30" t="s">
        <v>38</v>
      </c>
      <c r="B30">
        <v>-1180</v>
      </c>
      <c r="C30">
        <v>-1320</v>
      </c>
      <c r="D30">
        <v>-2700</v>
      </c>
      <c r="E30">
        <v>-1350</v>
      </c>
      <c r="F30">
        <v>-1380</v>
      </c>
      <c r="G30">
        <v>-2220</v>
      </c>
      <c r="H30">
        <v>-1700</v>
      </c>
      <c r="I30">
        <v>-1630</v>
      </c>
      <c r="J30">
        <v>-1440</v>
      </c>
      <c r="K30">
        <v>-1330</v>
      </c>
      <c r="L30">
        <v>-990</v>
      </c>
      <c r="M30">
        <v>-1500</v>
      </c>
      <c r="N30">
        <v>-1160</v>
      </c>
      <c r="O30">
        <v>-1220</v>
      </c>
      <c r="P30">
        <v>-1570</v>
      </c>
      <c r="Q30">
        <v>-2220</v>
      </c>
      <c r="R30">
        <v>-1350</v>
      </c>
      <c r="S30">
        <v>-1810</v>
      </c>
      <c r="T30">
        <v>-2190</v>
      </c>
      <c r="U30">
        <v>-480</v>
      </c>
      <c r="V30">
        <v>-2000</v>
      </c>
      <c r="W30">
        <v>-6780</v>
      </c>
    </row>
    <row r="31" spans="1:23">
      <c r="A31" t="s">
        <v>18</v>
      </c>
      <c r="B31">
        <v>73.920000000000073</v>
      </c>
      <c r="C31">
        <v>83.159999999999854</v>
      </c>
      <c r="D31">
        <v>50.5600000000004</v>
      </c>
      <c r="E31">
        <v>67.75</v>
      </c>
      <c r="F31">
        <v>61.979999999999563</v>
      </c>
      <c r="G31">
        <v>83.489999999999782</v>
      </c>
      <c r="H31">
        <v>94.390000000000327</v>
      </c>
      <c r="I31">
        <v>53.380000000000109</v>
      </c>
      <c r="J31">
        <v>48.8100000000004</v>
      </c>
      <c r="K31">
        <v>33.3100000000004</v>
      </c>
      <c r="L31">
        <v>28.079999999999927</v>
      </c>
      <c r="M31">
        <v>37.849999999999454</v>
      </c>
      <c r="N31">
        <v>20.690000000000509</v>
      </c>
      <c r="O31">
        <v>39.520000000000437</v>
      </c>
      <c r="P31">
        <v>21.409999999999854</v>
      </c>
      <c r="Q31">
        <v>39.489999999999782</v>
      </c>
      <c r="R31">
        <v>29.699999999999818</v>
      </c>
      <c r="S31">
        <v>3.0099999999993088</v>
      </c>
      <c r="T31">
        <v>35.869999999999891</v>
      </c>
      <c r="U31">
        <v>13.420000000000073</v>
      </c>
      <c r="V31">
        <v>13.610000000000582</v>
      </c>
      <c r="W31">
        <v>-20.469999999999345</v>
      </c>
    </row>
    <row r="32" spans="1:23">
      <c r="A32" t="s">
        <v>19</v>
      </c>
      <c r="B32">
        <v>1.0799999999999272</v>
      </c>
      <c r="C32">
        <v>-0.32999999999992724</v>
      </c>
      <c r="D32">
        <v>4.7100000000000364</v>
      </c>
      <c r="E32">
        <v>1.5100000000002183</v>
      </c>
      <c r="F32">
        <v>-5.6700000000000728</v>
      </c>
      <c r="G32">
        <v>2.4200000000000728</v>
      </c>
      <c r="H32">
        <v>2.0999999999999091</v>
      </c>
      <c r="I32">
        <v>8.6199999999998909</v>
      </c>
      <c r="J32">
        <v>0.84999999999990905</v>
      </c>
      <c r="K32">
        <v>6.8400000000001455</v>
      </c>
      <c r="L32">
        <v>11.900000000000091</v>
      </c>
      <c r="M32">
        <v>12.679999999999836</v>
      </c>
      <c r="N32">
        <v>-8.6100000000001273</v>
      </c>
      <c r="O32">
        <v>-10.619999999999891</v>
      </c>
      <c r="P32">
        <v>-26.420000000000073</v>
      </c>
      <c r="Q32">
        <v>-17.210000000000036</v>
      </c>
      <c r="R32">
        <v>-27.970000000000255</v>
      </c>
      <c r="S32">
        <v>-19.779999999999745</v>
      </c>
      <c r="T32">
        <v>-18.509999999999764</v>
      </c>
      <c r="U32">
        <v>-25.820000000000164</v>
      </c>
      <c r="V32">
        <v>-25.580000000000382</v>
      </c>
      <c r="W32">
        <v>-8.5499999999997272</v>
      </c>
    </row>
    <row r="33" spans="1:23">
      <c r="A33" t="s">
        <v>39</v>
      </c>
      <c r="B33">
        <v>20.760000000000218</v>
      </c>
      <c r="C33">
        <v>20.700000000000273</v>
      </c>
      <c r="D33">
        <v>18.480000000000018</v>
      </c>
      <c r="E33">
        <v>9.1399999999998727</v>
      </c>
      <c r="F33">
        <v>4.8899999999998727</v>
      </c>
      <c r="G33">
        <v>21.709999999999582</v>
      </c>
      <c r="H33">
        <v>20.190000000000055</v>
      </c>
      <c r="I33">
        <v>29.360000000000127</v>
      </c>
      <c r="J33">
        <v>16.860000000000127</v>
      </c>
      <c r="K33">
        <v>20.819999999999709</v>
      </c>
      <c r="L33">
        <v>28.210000000000036</v>
      </c>
      <c r="M33">
        <v>26.050000000000182</v>
      </c>
      <c r="N33">
        <v>-9.8400000000001455</v>
      </c>
      <c r="O33">
        <v>0.92000000000007276</v>
      </c>
      <c r="P33">
        <v>-7.6299999999991996</v>
      </c>
      <c r="Q33">
        <v>2.5600000000004002</v>
      </c>
      <c r="R33">
        <v>-21.75</v>
      </c>
      <c r="S33">
        <v>-15.869999999999891</v>
      </c>
      <c r="T33">
        <v>-13.220000000000255</v>
      </c>
      <c r="U33">
        <v>-28.730000000000473</v>
      </c>
      <c r="V33">
        <v>-18.489999999999782</v>
      </c>
      <c r="W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4"/>
  <sheetViews>
    <sheetView workbookViewId="0">
      <selection activeCell="O23" sqref="O23"/>
    </sheetView>
  </sheetViews>
  <sheetFormatPr defaultRowHeight="13.5"/>
  <sheetData>
    <row r="1" spans="1:22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 t="s">
        <v>123</v>
      </c>
      <c r="C2" t="s">
        <v>159</v>
      </c>
      <c r="D2" t="s">
        <v>338</v>
      </c>
      <c r="E2" t="s">
        <v>319</v>
      </c>
      <c r="F2" t="s">
        <v>123</v>
      </c>
      <c r="G2" t="s">
        <v>282</v>
      </c>
      <c r="H2" t="s">
        <v>264</v>
      </c>
      <c r="I2" t="s">
        <v>245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204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</row>
    <row r="3" spans="1:22">
      <c r="A3" t="str">
        <f>IF(手动输入表!$F3="","",手动输入表!$F3)</f>
        <v>焦煤</v>
      </c>
      <c r="B3" t="s">
        <v>122</v>
      </c>
      <c r="C3" t="s">
        <v>147</v>
      </c>
      <c r="D3" t="s">
        <v>339</v>
      </c>
      <c r="E3" t="s">
        <v>320</v>
      </c>
      <c r="F3" t="s">
        <v>122</v>
      </c>
      <c r="G3" t="s">
        <v>283</v>
      </c>
      <c r="H3" t="s">
        <v>265</v>
      </c>
      <c r="I3" t="s">
        <v>246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205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</row>
    <row r="4" spans="1:22">
      <c r="A4" t="str">
        <f>IF(手动输入表!$F4="","",手动输入表!$F4)</f>
        <v>动力煤</v>
      </c>
      <c r="B4" t="s">
        <v>112</v>
      </c>
      <c r="C4" t="s">
        <v>167</v>
      </c>
      <c r="D4" t="s">
        <v>340</v>
      </c>
      <c r="E4" t="s">
        <v>321</v>
      </c>
      <c r="F4" t="s">
        <v>112</v>
      </c>
      <c r="G4" t="s">
        <v>284</v>
      </c>
      <c r="H4" t="s">
        <v>266</v>
      </c>
      <c r="I4" t="s">
        <v>247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206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</row>
    <row r="5" spans="1:22">
      <c r="A5" t="str">
        <f>IF(手动输入表!$F5="","",手动输入表!$F5)</f>
        <v>铁矿石</v>
      </c>
      <c r="B5" t="s">
        <v>129</v>
      </c>
      <c r="C5" t="s">
        <v>149</v>
      </c>
      <c r="D5" t="s">
        <v>341</v>
      </c>
      <c r="E5" t="s">
        <v>322</v>
      </c>
      <c r="F5" t="s">
        <v>129</v>
      </c>
      <c r="G5" t="s">
        <v>285</v>
      </c>
      <c r="H5" t="s">
        <v>267</v>
      </c>
      <c r="I5" t="s">
        <v>248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207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</row>
    <row r="6" spans="1:22">
      <c r="A6" t="str">
        <f>IF(手动输入表!$F6="","",手动输入表!$F6)</f>
        <v>螺纹钢</v>
      </c>
      <c r="B6" t="s">
        <v>113</v>
      </c>
      <c r="C6" t="s">
        <v>169</v>
      </c>
      <c r="D6" t="s">
        <v>342</v>
      </c>
      <c r="E6" t="s">
        <v>323</v>
      </c>
      <c r="F6" t="s">
        <v>113</v>
      </c>
      <c r="G6" t="s">
        <v>286</v>
      </c>
      <c r="H6" t="s">
        <v>268</v>
      </c>
      <c r="I6" t="s">
        <v>249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208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</row>
    <row r="7" spans="1:22">
      <c r="A7" t="str">
        <f>IF(手动输入表!$F7="","",手动输入表!$F7)</f>
        <v>热卷</v>
      </c>
      <c r="B7" t="s">
        <v>113</v>
      </c>
      <c r="C7" t="s">
        <v>169</v>
      </c>
      <c r="D7" t="s">
        <v>342</v>
      </c>
      <c r="E7" t="s">
        <v>323</v>
      </c>
      <c r="F7" t="s">
        <v>113</v>
      </c>
      <c r="G7" t="s">
        <v>286</v>
      </c>
      <c r="H7" t="s">
        <v>268</v>
      </c>
      <c r="I7" t="s">
        <v>249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208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</row>
    <row r="8" spans="1:22">
      <c r="A8" t="str">
        <f>IF(手动输入表!$F8="","",手动输入表!$F8)</f>
        <v>天胶</v>
      </c>
      <c r="B8" t="s">
        <v>113</v>
      </c>
      <c r="C8" t="s">
        <v>169</v>
      </c>
      <c r="D8" t="s">
        <v>342</v>
      </c>
      <c r="E8" t="s">
        <v>323</v>
      </c>
      <c r="F8" t="s">
        <v>113</v>
      </c>
      <c r="G8" t="s">
        <v>286</v>
      </c>
      <c r="H8" t="s">
        <v>268</v>
      </c>
      <c r="I8" t="s">
        <v>249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208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</row>
    <row r="9" spans="1:22">
      <c r="A9" t="str">
        <f>IF(手动输入表!$F9="","",手动输入表!$F9)</f>
        <v>玻璃</v>
      </c>
      <c r="B9" t="s">
        <v>117</v>
      </c>
      <c r="C9" t="s">
        <v>151</v>
      </c>
      <c r="D9" t="s">
        <v>343</v>
      </c>
      <c r="E9" t="s">
        <v>324</v>
      </c>
      <c r="F9" t="s">
        <v>117</v>
      </c>
      <c r="G9" t="s">
        <v>287</v>
      </c>
      <c r="H9" t="s">
        <v>269</v>
      </c>
      <c r="I9" t="s">
        <v>250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209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</row>
    <row r="10" spans="1:22">
      <c r="A10" t="str">
        <f>IF(手动输入表!$F10="","",手动输入表!$F10)</f>
        <v>PVC</v>
      </c>
      <c r="B10" t="s">
        <v>124</v>
      </c>
      <c r="C10" t="s">
        <v>142</v>
      </c>
      <c r="D10" t="s">
        <v>344</v>
      </c>
      <c r="E10" t="s">
        <v>325</v>
      </c>
      <c r="F10" t="s">
        <v>124</v>
      </c>
      <c r="G10" t="s">
        <v>288</v>
      </c>
      <c r="H10" t="s">
        <v>270</v>
      </c>
      <c r="I10" t="s">
        <v>251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210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</row>
    <row r="11" spans="1:22">
      <c r="A11" t="str">
        <f>IF(手动输入表!$F11="","",手动输入表!$F11)</f>
        <v>LLDPE</v>
      </c>
      <c r="B11" t="s">
        <v>118</v>
      </c>
      <c r="C11" t="s">
        <v>153</v>
      </c>
      <c r="D11" t="s">
        <v>345</v>
      </c>
      <c r="E11" t="s">
        <v>326</v>
      </c>
      <c r="F11" t="s">
        <v>118</v>
      </c>
      <c r="G11" t="s">
        <v>289</v>
      </c>
      <c r="H11" t="s">
        <v>271</v>
      </c>
      <c r="I11" t="s">
        <v>252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211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</row>
    <row r="12" spans="1:22">
      <c r="A12" t="str">
        <f>IF(手动输入表!$F12="","",手动输入表!$F12)</f>
        <v>PP</v>
      </c>
      <c r="B12" t="s">
        <v>124</v>
      </c>
      <c r="C12" t="s">
        <v>142</v>
      </c>
      <c r="D12" t="s">
        <v>344</v>
      </c>
      <c r="E12" t="s">
        <v>325</v>
      </c>
      <c r="F12" t="s">
        <v>124</v>
      </c>
      <c r="G12" t="s">
        <v>288</v>
      </c>
      <c r="H12" t="s">
        <v>270</v>
      </c>
      <c r="I12" t="s">
        <v>251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210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</row>
    <row r="13" spans="1:22">
      <c r="A13" t="str">
        <f>IF(手动输入表!$F13="","",手动输入表!$F13)</f>
        <v>PTA</v>
      </c>
      <c r="B13" t="s">
        <v>124</v>
      </c>
      <c r="C13" t="s">
        <v>142</v>
      </c>
      <c r="D13" t="s">
        <v>344</v>
      </c>
      <c r="E13" t="s">
        <v>325</v>
      </c>
      <c r="F13" t="s">
        <v>124</v>
      </c>
      <c r="G13" t="s">
        <v>288</v>
      </c>
      <c r="H13" t="s">
        <v>270</v>
      </c>
      <c r="I13" t="s">
        <v>251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210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</row>
    <row r="14" spans="1:22">
      <c r="A14" t="str">
        <f>IF(手动输入表!$F14="","",手动输入表!$F14)</f>
        <v>沥青</v>
      </c>
      <c r="B14" t="s">
        <v>124</v>
      </c>
      <c r="C14" t="s">
        <v>142</v>
      </c>
      <c r="D14" t="s">
        <v>344</v>
      </c>
      <c r="E14" t="s">
        <v>325</v>
      </c>
      <c r="F14" t="s">
        <v>124</v>
      </c>
      <c r="G14" t="s">
        <v>288</v>
      </c>
      <c r="H14" t="s">
        <v>270</v>
      </c>
      <c r="I14" t="s">
        <v>251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210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</row>
    <row r="15" spans="1:22">
      <c r="A15" t="str">
        <f>IF(手动输入表!$F15="","",手动输入表!$F15)</f>
        <v>甲醇</v>
      </c>
      <c r="B15" t="s">
        <v>110</v>
      </c>
      <c r="C15" t="s">
        <v>337</v>
      </c>
      <c r="D15" t="s">
        <v>346</v>
      </c>
      <c r="E15" t="s">
        <v>327</v>
      </c>
      <c r="F15" t="s">
        <v>110</v>
      </c>
      <c r="G15" t="s">
        <v>290</v>
      </c>
      <c r="H15" t="s">
        <v>272</v>
      </c>
      <c r="I15" t="s">
        <v>253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212</v>
      </c>
      <c r="R15" t="s">
        <v>184</v>
      </c>
      <c r="S15" t="s">
        <v>184</v>
      </c>
      <c r="T15" t="s">
        <v>184</v>
      </c>
      <c r="U15" t="s">
        <v>110</v>
      </c>
      <c r="V15" t="s">
        <v>110</v>
      </c>
    </row>
    <row r="16" spans="1:22">
      <c r="A16" t="str">
        <f>IF(手动输入表!$F16="","",手动输入表!$F16)</f>
        <v>豆一</v>
      </c>
      <c r="B16" t="s">
        <v>114</v>
      </c>
      <c r="C16" t="s">
        <v>155</v>
      </c>
      <c r="D16" t="s">
        <v>347</v>
      </c>
      <c r="E16" t="s">
        <v>328</v>
      </c>
      <c r="F16" t="s">
        <v>114</v>
      </c>
      <c r="G16" t="s">
        <v>291</v>
      </c>
      <c r="H16" t="s">
        <v>273</v>
      </c>
      <c r="I16" t="s">
        <v>254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213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</row>
    <row r="17" spans="1:22">
      <c r="A17" t="str">
        <f>IF(手动输入表!$F17="","",手动输入表!$F17)</f>
        <v>豆粕</v>
      </c>
      <c r="B17" t="s">
        <v>120</v>
      </c>
      <c r="C17" t="s">
        <v>156</v>
      </c>
      <c r="D17" t="s">
        <v>348</v>
      </c>
      <c r="E17" t="s">
        <v>329</v>
      </c>
      <c r="F17" t="s">
        <v>120</v>
      </c>
      <c r="G17" t="s">
        <v>292</v>
      </c>
      <c r="H17" t="s">
        <v>274</v>
      </c>
      <c r="I17" t="s">
        <v>255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214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</row>
    <row r="18" spans="1:22">
      <c r="A18" t="str">
        <f>IF(手动输入表!$F18="","",手动输入表!$F18)</f>
        <v>菜粕</v>
      </c>
      <c r="B18" t="s">
        <v>120</v>
      </c>
      <c r="C18" t="s">
        <v>156</v>
      </c>
      <c r="D18" t="s">
        <v>348</v>
      </c>
      <c r="E18" t="s">
        <v>329</v>
      </c>
      <c r="F18" t="s">
        <v>120</v>
      </c>
      <c r="G18" t="s">
        <v>292</v>
      </c>
      <c r="H18" t="s">
        <v>274</v>
      </c>
      <c r="I18" t="s">
        <v>255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214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</row>
    <row r="19" spans="1:22">
      <c r="A19" t="str">
        <f>IF(手动输入表!$F19="","",手动输入表!$F19)</f>
        <v>玉米</v>
      </c>
      <c r="B19" t="s">
        <v>121</v>
      </c>
      <c r="C19" t="s">
        <v>157</v>
      </c>
      <c r="D19" t="s">
        <v>349</v>
      </c>
      <c r="E19" t="s">
        <v>330</v>
      </c>
      <c r="F19" t="s">
        <v>121</v>
      </c>
      <c r="G19" t="s">
        <v>293</v>
      </c>
      <c r="H19" t="s">
        <v>275</v>
      </c>
      <c r="I19" t="s">
        <v>256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215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</row>
    <row r="20" spans="1:22">
      <c r="A20" t="str">
        <f>IF(手动输入表!$F20="","",手动输入表!$F20)</f>
        <v>淀粉</v>
      </c>
      <c r="B20" t="s">
        <v>111</v>
      </c>
      <c r="C20" t="s">
        <v>177</v>
      </c>
      <c r="D20" t="s">
        <v>350</v>
      </c>
      <c r="E20" t="s">
        <v>331</v>
      </c>
      <c r="F20" t="s">
        <v>111</v>
      </c>
      <c r="G20" t="s">
        <v>294</v>
      </c>
      <c r="H20" t="s">
        <v>276</v>
      </c>
      <c r="I20" t="s">
        <v>257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216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</row>
    <row r="21" spans="1:22">
      <c r="A21" t="str">
        <f>IF(手动输入表!$F21="","",手动输入表!$F21)</f>
        <v>豆油</v>
      </c>
      <c r="B21" t="s">
        <v>123</v>
      </c>
      <c r="C21" t="s">
        <v>159</v>
      </c>
      <c r="D21" t="s">
        <v>338</v>
      </c>
      <c r="E21" t="s">
        <v>319</v>
      </c>
      <c r="F21" t="s">
        <v>123</v>
      </c>
      <c r="G21" t="s">
        <v>295</v>
      </c>
      <c r="H21" t="s">
        <v>277</v>
      </c>
      <c r="I21" t="s">
        <v>258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217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</row>
    <row r="22" spans="1:22">
      <c r="A22" t="str">
        <f>IF(手动输入表!$F22="","",手动输入表!$F22)</f>
        <v>棕榈油</v>
      </c>
      <c r="B22" t="s">
        <v>119</v>
      </c>
      <c r="C22" t="s">
        <v>146</v>
      </c>
      <c r="D22" t="s">
        <v>351</v>
      </c>
      <c r="E22" t="s">
        <v>332</v>
      </c>
      <c r="F22" t="s">
        <v>119</v>
      </c>
      <c r="G22" t="s">
        <v>282</v>
      </c>
      <c r="H22" t="s">
        <v>264</v>
      </c>
      <c r="I22" t="s">
        <v>245</v>
      </c>
      <c r="J22" t="s">
        <v>116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218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</row>
    <row r="23" spans="1:22">
      <c r="A23" t="str">
        <f>IF(手动输入表!$F23="","",手动输入表!$F23)</f>
        <v>菜油</v>
      </c>
      <c r="B23" t="s">
        <v>127</v>
      </c>
      <c r="C23" t="s">
        <v>161</v>
      </c>
      <c r="D23" t="s">
        <v>352</v>
      </c>
      <c r="E23" t="s">
        <v>333</v>
      </c>
      <c r="F23" t="s">
        <v>127</v>
      </c>
      <c r="G23" t="s">
        <v>296</v>
      </c>
      <c r="H23" t="s">
        <v>278</v>
      </c>
      <c r="I23" t="s">
        <v>259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219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</row>
    <row r="24" spans="1:22">
      <c r="A24" t="str">
        <f>IF(手动输入表!$F24="","",手动输入表!$F24)</f>
        <v>白糖</v>
      </c>
      <c r="B24" t="s">
        <v>243</v>
      </c>
      <c r="C24" t="s">
        <v>223</v>
      </c>
      <c r="D24" t="s">
        <v>353</v>
      </c>
      <c r="E24" t="s">
        <v>334</v>
      </c>
      <c r="F24" t="s">
        <v>243</v>
      </c>
      <c r="G24" t="s">
        <v>297</v>
      </c>
      <c r="H24" t="s">
        <v>279</v>
      </c>
      <c r="I24" t="s">
        <v>260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220</v>
      </c>
      <c r="R24" t="s">
        <v>115</v>
      </c>
      <c r="S24" t="s">
        <v>115</v>
      </c>
      <c r="T24" t="s">
        <v>115</v>
      </c>
      <c r="U24" t="s">
        <v>115</v>
      </c>
      <c r="V24" t="s">
        <v>115</v>
      </c>
    </row>
    <row r="25" spans="1:22">
      <c r="A25" t="str">
        <f>IF(手动输入表!$F25="","",手动输入表!$F25)</f>
        <v>棉花</v>
      </c>
      <c r="B25" t="s">
        <v>125</v>
      </c>
      <c r="C25" t="s">
        <v>163</v>
      </c>
      <c r="D25" t="s">
        <v>354</v>
      </c>
      <c r="E25" t="s">
        <v>335</v>
      </c>
      <c r="F25" t="s">
        <v>125</v>
      </c>
      <c r="G25" t="s">
        <v>298</v>
      </c>
      <c r="H25" t="s">
        <v>280</v>
      </c>
      <c r="I25" t="s">
        <v>261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221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</row>
    <row r="26" spans="1:22">
      <c r="A26" t="str">
        <f>IF(手动输入表!$F26="","",手动输入表!$F26)</f>
        <v>棉纱</v>
      </c>
      <c r="B26" t="s">
        <v>126</v>
      </c>
      <c r="C26" t="s">
        <v>183</v>
      </c>
      <c r="D26" t="s">
        <v>355</v>
      </c>
      <c r="E26" t="s">
        <v>336</v>
      </c>
      <c r="F26" t="s">
        <v>126</v>
      </c>
      <c r="G26" t="s">
        <v>299</v>
      </c>
      <c r="H26" t="s">
        <v>281</v>
      </c>
      <c r="I26" t="s">
        <v>262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222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</row>
    <row r="27" spans="1:22">
      <c r="A27" t="str">
        <f>IF(手动输入表!$F27="","",手动输入表!$F27)</f>
        <v>铜</v>
      </c>
      <c r="B27" t="s">
        <v>113</v>
      </c>
      <c r="C27" t="s">
        <v>169</v>
      </c>
      <c r="D27" t="s">
        <v>342</v>
      </c>
      <c r="E27" t="s">
        <v>323</v>
      </c>
      <c r="F27" t="s">
        <v>113</v>
      </c>
      <c r="G27" t="s">
        <v>286</v>
      </c>
      <c r="H27" t="s">
        <v>268</v>
      </c>
      <c r="I27" t="s">
        <v>263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208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</row>
    <row r="28" spans="1:22">
      <c r="A28" t="str">
        <f>IF(手动输入表!$F28="","",手动输入表!$F28)</f>
        <v>铝</v>
      </c>
      <c r="B28" t="s">
        <v>113</v>
      </c>
      <c r="C28" t="s">
        <v>169</v>
      </c>
      <c r="D28" t="s">
        <v>342</v>
      </c>
      <c r="E28" t="s">
        <v>323</v>
      </c>
      <c r="F28" t="s">
        <v>113</v>
      </c>
      <c r="G28" t="s">
        <v>286</v>
      </c>
      <c r="H28" t="s">
        <v>268</v>
      </c>
      <c r="I28" t="s">
        <v>263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208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</row>
    <row r="29" spans="1:22">
      <c r="A29" t="str">
        <f>IF(手动输入表!$F29="","",手动输入表!$F29)</f>
        <v>锌</v>
      </c>
      <c r="B29" t="s">
        <v>113</v>
      </c>
      <c r="C29" t="s">
        <v>169</v>
      </c>
      <c r="D29" t="s">
        <v>342</v>
      </c>
      <c r="E29" t="s">
        <v>323</v>
      </c>
      <c r="F29" t="s">
        <v>113</v>
      </c>
      <c r="G29" t="s">
        <v>286</v>
      </c>
      <c r="H29" t="s">
        <v>268</v>
      </c>
      <c r="I29" t="s">
        <v>263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208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</row>
    <row r="30" spans="1:22">
      <c r="A30" t="str">
        <f>IF(手动输入表!$F30="","",手动输入表!$F30)</f>
        <v>镍</v>
      </c>
      <c r="B30" t="s">
        <v>113</v>
      </c>
      <c r="C30" t="s">
        <v>169</v>
      </c>
      <c r="D30" t="s">
        <v>342</v>
      </c>
      <c r="E30" t="s">
        <v>323</v>
      </c>
      <c r="F30" t="s">
        <v>113</v>
      </c>
      <c r="G30" t="s">
        <v>286</v>
      </c>
      <c r="H30" t="s">
        <v>268</v>
      </c>
      <c r="I30" t="s">
        <v>263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208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32"/>
  <sheetViews>
    <sheetView workbookViewId="0">
      <selection activeCell="J18" sqref="J18"/>
    </sheetView>
  </sheetViews>
  <sheetFormatPr defaultRowHeight="13.5"/>
  <sheetData>
    <row r="1" spans="1:22">
      <c r="A1" t="s">
        <v>98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-200</v>
      </c>
      <c r="V15">
        <v>-200</v>
      </c>
    </row>
    <row r="16" spans="1:2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</row>
    <row r="17" spans="1:2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</row>
    <row r="22" spans="1:2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</row>
    <row r="24" spans="1:2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37"/>
  <sheetViews>
    <sheetView workbookViewId="0">
      <selection activeCell="D9" sqref="D9"/>
    </sheetView>
  </sheetViews>
  <sheetFormatPr defaultRowHeight="13.5"/>
  <sheetData>
    <row r="1" spans="1:22">
      <c r="A1" t="s">
        <v>98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 t="s">
        <v>389</v>
      </c>
      <c r="C2" t="s">
        <v>123</v>
      </c>
      <c r="D2" t="s">
        <v>356</v>
      </c>
      <c r="E2" t="s">
        <v>123</v>
      </c>
      <c r="F2" t="s">
        <v>123</v>
      </c>
      <c r="G2" t="s">
        <v>300</v>
      </c>
      <c r="H2" t="s">
        <v>119</v>
      </c>
      <c r="I2" t="s">
        <v>119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224</v>
      </c>
      <c r="R2" t="s">
        <v>185</v>
      </c>
      <c r="S2" t="s">
        <v>119</v>
      </c>
      <c r="T2" t="s">
        <v>119</v>
      </c>
      <c r="U2" t="s">
        <v>165</v>
      </c>
      <c r="V2" t="s">
        <v>146</v>
      </c>
    </row>
    <row r="3" spans="1:22">
      <c r="A3" t="str">
        <f>IF(手动输入表!$F3="","",手动输入表!$F3)</f>
        <v>焦煤</v>
      </c>
      <c r="B3" t="s">
        <v>390</v>
      </c>
      <c r="C3" t="s">
        <v>122</v>
      </c>
      <c r="D3" t="s">
        <v>357</v>
      </c>
      <c r="E3" t="s">
        <v>122</v>
      </c>
      <c r="F3" t="s">
        <v>122</v>
      </c>
      <c r="G3" t="s">
        <v>301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225</v>
      </c>
      <c r="R3" t="s">
        <v>186</v>
      </c>
      <c r="S3" t="s">
        <v>122</v>
      </c>
      <c r="T3" t="s">
        <v>122</v>
      </c>
      <c r="U3" t="s">
        <v>166</v>
      </c>
      <c r="V3" t="s">
        <v>147</v>
      </c>
    </row>
    <row r="4" spans="1:22">
      <c r="A4" t="str">
        <f>IF(手动输入表!$F4="","",手动输入表!$F4)</f>
        <v>动力煤</v>
      </c>
      <c r="B4" t="s">
        <v>391</v>
      </c>
      <c r="C4" t="s">
        <v>112</v>
      </c>
      <c r="D4" t="s">
        <v>358</v>
      </c>
      <c r="E4" t="s">
        <v>112</v>
      </c>
      <c r="F4" t="s">
        <v>112</v>
      </c>
      <c r="G4" t="s">
        <v>302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226</v>
      </c>
      <c r="R4" t="s">
        <v>187</v>
      </c>
      <c r="S4" t="s">
        <v>112</v>
      </c>
      <c r="T4" t="s">
        <v>112</v>
      </c>
      <c r="U4" t="s">
        <v>167</v>
      </c>
      <c r="V4" t="s">
        <v>148</v>
      </c>
    </row>
    <row r="5" spans="1:22">
      <c r="A5" t="str">
        <f>IF(手动输入表!$F5="","",手动输入表!$F5)</f>
        <v>铁矿石</v>
      </c>
      <c r="B5" t="s">
        <v>392</v>
      </c>
      <c r="C5" t="s">
        <v>129</v>
      </c>
      <c r="D5" t="s">
        <v>359</v>
      </c>
      <c r="E5" t="s">
        <v>129</v>
      </c>
      <c r="F5" t="s">
        <v>129</v>
      </c>
      <c r="G5" t="s">
        <v>303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227</v>
      </c>
      <c r="R5" t="s">
        <v>188</v>
      </c>
      <c r="S5" t="s">
        <v>129</v>
      </c>
      <c r="T5" t="s">
        <v>129</v>
      </c>
      <c r="U5" t="s">
        <v>168</v>
      </c>
      <c r="V5" t="s">
        <v>149</v>
      </c>
    </row>
    <row r="6" spans="1:22">
      <c r="A6" t="str">
        <f>IF(手动输入表!$F6="","",手动输入表!$F6)</f>
        <v>螺纹钢</v>
      </c>
      <c r="B6" t="s">
        <v>393</v>
      </c>
      <c r="C6" t="s">
        <v>113</v>
      </c>
      <c r="D6" t="s">
        <v>360</v>
      </c>
      <c r="E6" t="s">
        <v>113</v>
      </c>
      <c r="F6" t="s">
        <v>113</v>
      </c>
      <c r="G6" t="s">
        <v>304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228</v>
      </c>
      <c r="R6" t="s">
        <v>189</v>
      </c>
      <c r="S6" t="s">
        <v>113</v>
      </c>
      <c r="T6" t="s">
        <v>113</v>
      </c>
      <c r="U6" t="s">
        <v>169</v>
      </c>
      <c r="V6" t="s">
        <v>150</v>
      </c>
    </row>
    <row r="7" spans="1:22">
      <c r="A7" t="str">
        <f>IF(手动输入表!$F7="","",手动输入表!$F7)</f>
        <v>热卷</v>
      </c>
      <c r="B7" t="s">
        <v>393</v>
      </c>
      <c r="C7" t="s">
        <v>113</v>
      </c>
      <c r="D7" t="s">
        <v>360</v>
      </c>
      <c r="E7" t="s">
        <v>113</v>
      </c>
      <c r="F7" t="s">
        <v>113</v>
      </c>
      <c r="G7" t="s">
        <v>304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228</v>
      </c>
      <c r="R7" t="s">
        <v>189</v>
      </c>
      <c r="S7" t="s">
        <v>113</v>
      </c>
      <c r="T7" t="s">
        <v>113</v>
      </c>
      <c r="U7" t="s">
        <v>169</v>
      </c>
      <c r="V7" t="s">
        <v>150</v>
      </c>
    </row>
    <row r="8" spans="1:22">
      <c r="A8" t="str">
        <f>IF(手动输入表!$F8="","",手动输入表!$F8)</f>
        <v>天胶</v>
      </c>
      <c r="B8" t="s">
        <v>393</v>
      </c>
      <c r="C8" t="s">
        <v>113</v>
      </c>
      <c r="D8" t="s">
        <v>360</v>
      </c>
      <c r="E8" t="s">
        <v>113</v>
      </c>
      <c r="F8" t="s">
        <v>113</v>
      </c>
      <c r="G8" t="s">
        <v>304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228</v>
      </c>
      <c r="R8" t="s">
        <v>189</v>
      </c>
      <c r="S8" t="s">
        <v>113</v>
      </c>
      <c r="T8" t="s">
        <v>113</v>
      </c>
      <c r="U8" t="s">
        <v>169</v>
      </c>
      <c r="V8" t="s">
        <v>150</v>
      </c>
    </row>
    <row r="9" spans="1:22">
      <c r="A9" t="str">
        <f>IF(手动输入表!$F9="","",手动输入表!$F9)</f>
        <v>玻璃</v>
      </c>
      <c r="B9" t="s">
        <v>394</v>
      </c>
      <c r="C9" t="s">
        <v>117</v>
      </c>
      <c r="D9" t="s">
        <v>361</v>
      </c>
      <c r="E9" t="s">
        <v>117</v>
      </c>
      <c r="F9" t="s">
        <v>117</v>
      </c>
      <c r="G9" t="s">
        <v>305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229</v>
      </c>
      <c r="R9" t="s">
        <v>190</v>
      </c>
      <c r="S9" t="s">
        <v>117</v>
      </c>
      <c r="T9" t="s">
        <v>117</v>
      </c>
      <c r="U9" t="s">
        <v>170</v>
      </c>
      <c r="V9" t="s">
        <v>151</v>
      </c>
    </row>
    <row r="10" spans="1:22">
      <c r="A10" t="str">
        <f>IF(手动输入表!$F10="","",手动输入表!$F10)</f>
        <v>PVC</v>
      </c>
      <c r="B10" t="s">
        <v>395</v>
      </c>
      <c r="C10" t="s">
        <v>124</v>
      </c>
      <c r="D10" t="s">
        <v>362</v>
      </c>
      <c r="E10" t="s">
        <v>124</v>
      </c>
      <c r="F10" t="s">
        <v>124</v>
      </c>
      <c r="G10" t="s">
        <v>306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230</v>
      </c>
      <c r="R10" t="s">
        <v>191</v>
      </c>
      <c r="S10" t="s">
        <v>124</v>
      </c>
      <c r="T10" t="s">
        <v>124</v>
      </c>
      <c r="U10" t="s">
        <v>171</v>
      </c>
      <c r="V10" t="s">
        <v>152</v>
      </c>
    </row>
    <row r="11" spans="1:22">
      <c r="A11" t="str">
        <f>IF(手动输入表!$F11="","",手动输入表!$F11)</f>
        <v>LLDPE</v>
      </c>
      <c r="B11" t="s">
        <v>396</v>
      </c>
      <c r="C11" t="s">
        <v>118</v>
      </c>
      <c r="D11" t="s">
        <v>363</v>
      </c>
      <c r="E11" t="s">
        <v>118</v>
      </c>
      <c r="F11" t="s">
        <v>118</v>
      </c>
      <c r="G11" t="s">
        <v>307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231</v>
      </c>
      <c r="R11" t="s">
        <v>192</v>
      </c>
      <c r="S11" t="s">
        <v>118</v>
      </c>
      <c r="T11" t="s">
        <v>118</v>
      </c>
      <c r="U11" t="s">
        <v>172</v>
      </c>
      <c r="V11" t="s">
        <v>153</v>
      </c>
    </row>
    <row r="12" spans="1:22">
      <c r="A12" t="str">
        <f>IF(手动输入表!$F12="","",手动输入表!$F12)</f>
        <v>PP</v>
      </c>
      <c r="B12" t="s">
        <v>395</v>
      </c>
      <c r="C12" t="s">
        <v>124</v>
      </c>
      <c r="D12" t="s">
        <v>362</v>
      </c>
      <c r="E12" t="s">
        <v>124</v>
      </c>
      <c r="F12" t="s">
        <v>124</v>
      </c>
      <c r="G12" t="s">
        <v>306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230</v>
      </c>
      <c r="R12" t="s">
        <v>191</v>
      </c>
      <c r="S12" t="s">
        <v>124</v>
      </c>
      <c r="T12" t="s">
        <v>124</v>
      </c>
      <c r="U12" t="s">
        <v>171</v>
      </c>
      <c r="V12" t="s">
        <v>152</v>
      </c>
    </row>
    <row r="13" spans="1:22">
      <c r="A13" t="str">
        <f>IF(手动输入表!$F13="","",手动输入表!$F13)</f>
        <v>PTA</v>
      </c>
      <c r="B13" t="s">
        <v>395</v>
      </c>
      <c r="C13" t="s">
        <v>124</v>
      </c>
      <c r="D13" t="s">
        <v>362</v>
      </c>
      <c r="E13" t="s">
        <v>124</v>
      </c>
      <c r="F13" t="s">
        <v>124</v>
      </c>
      <c r="G13" t="s">
        <v>306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230</v>
      </c>
      <c r="R13" t="s">
        <v>191</v>
      </c>
      <c r="S13" t="s">
        <v>124</v>
      </c>
      <c r="T13" t="s">
        <v>124</v>
      </c>
      <c r="U13" t="s">
        <v>171</v>
      </c>
      <c r="V13" t="s">
        <v>152</v>
      </c>
    </row>
    <row r="14" spans="1:22">
      <c r="A14" t="str">
        <f>IF(手动输入表!$F14="","",手动输入表!$F14)</f>
        <v>沥青</v>
      </c>
      <c r="B14" t="s">
        <v>395</v>
      </c>
      <c r="C14" t="s">
        <v>124</v>
      </c>
      <c r="D14" t="s">
        <v>362</v>
      </c>
      <c r="E14" t="s">
        <v>124</v>
      </c>
      <c r="F14" t="s">
        <v>124</v>
      </c>
      <c r="G14" t="s">
        <v>306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230</v>
      </c>
      <c r="R14" t="s">
        <v>191</v>
      </c>
      <c r="S14" t="s">
        <v>124</v>
      </c>
      <c r="T14" t="s">
        <v>124</v>
      </c>
      <c r="U14" t="s">
        <v>171</v>
      </c>
      <c r="V14" t="s">
        <v>152</v>
      </c>
    </row>
    <row r="15" spans="1:22">
      <c r="A15" t="str">
        <f>IF(手动输入表!$F15="","",手动输入表!$F15)</f>
        <v>甲醇</v>
      </c>
      <c r="B15" t="s">
        <v>397</v>
      </c>
      <c r="C15" t="s">
        <v>383</v>
      </c>
      <c r="D15" t="s">
        <v>364</v>
      </c>
      <c r="E15" t="s">
        <v>110</v>
      </c>
      <c r="F15" t="s">
        <v>110</v>
      </c>
      <c r="G15" t="s">
        <v>308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232</v>
      </c>
      <c r="R15" t="s">
        <v>193</v>
      </c>
      <c r="S15" t="s">
        <v>184</v>
      </c>
      <c r="T15" t="s">
        <v>184</v>
      </c>
      <c r="U15" t="s">
        <v>173</v>
      </c>
      <c r="V15" t="s">
        <v>154</v>
      </c>
    </row>
    <row r="16" spans="1:22">
      <c r="A16" t="str">
        <f>IF(手动输入表!$F16="","",手动输入表!$F16)</f>
        <v>豆一</v>
      </c>
      <c r="B16" t="s">
        <v>398</v>
      </c>
      <c r="C16" t="s">
        <v>114</v>
      </c>
      <c r="D16" t="s">
        <v>365</v>
      </c>
      <c r="E16" t="s">
        <v>114</v>
      </c>
      <c r="F16" t="s">
        <v>114</v>
      </c>
      <c r="G16" t="s">
        <v>309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233</v>
      </c>
      <c r="R16" t="s">
        <v>194</v>
      </c>
      <c r="S16" t="s">
        <v>114</v>
      </c>
      <c r="T16" t="s">
        <v>114</v>
      </c>
      <c r="U16" t="s">
        <v>174</v>
      </c>
      <c r="V16" t="s">
        <v>155</v>
      </c>
    </row>
    <row r="17" spans="1:22">
      <c r="A17" t="str">
        <f>IF(手动输入表!$F17="","",手动输入表!$F17)</f>
        <v>豆粕</v>
      </c>
      <c r="B17" t="s">
        <v>399</v>
      </c>
      <c r="C17" t="s">
        <v>120</v>
      </c>
      <c r="D17" t="s">
        <v>366</v>
      </c>
      <c r="E17" t="s">
        <v>120</v>
      </c>
      <c r="F17" t="s">
        <v>120</v>
      </c>
      <c r="G17" t="s">
        <v>310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234</v>
      </c>
      <c r="R17" t="s">
        <v>195</v>
      </c>
      <c r="S17" t="s">
        <v>120</v>
      </c>
      <c r="T17" t="s">
        <v>120</v>
      </c>
      <c r="U17" t="s">
        <v>175</v>
      </c>
      <c r="V17" t="s">
        <v>156</v>
      </c>
    </row>
    <row r="18" spans="1:22">
      <c r="A18" t="str">
        <f>IF(手动输入表!$F18="","",手动输入表!$F18)</f>
        <v>菜粕</v>
      </c>
      <c r="B18" t="s">
        <v>399</v>
      </c>
      <c r="C18" t="s">
        <v>120</v>
      </c>
      <c r="D18" t="s">
        <v>366</v>
      </c>
      <c r="E18" t="s">
        <v>120</v>
      </c>
      <c r="F18" t="s">
        <v>120</v>
      </c>
      <c r="G18" t="s">
        <v>310</v>
      </c>
      <c r="H18" t="s">
        <v>120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234</v>
      </c>
      <c r="R18" t="s">
        <v>195</v>
      </c>
      <c r="S18" t="s">
        <v>120</v>
      </c>
      <c r="T18" t="s">
        <v>120</v>
      </c>
      <c r="U18" t="s">
        <v>175</v>
      </c>
      <c r="V18" t="s">
        <v>156</v>
      </c>
    </row>
    <row r="19" spans="1:22">
      <c r="A19" t="str">
        <f>IF(手动输入表!$F19="","",手动输入表!$F19)</f>
        <v>玉米</v>
      </c>
      <c r="B19" t="s">
        <v>400</v>
      </c>
      <c r="C19" t="s">
        <v>121</v>
      </c>
      <c r="D19" t="s">
        <v>367</v>
      </c>
      <c r="E19" t="s">
        <v>121</v>
      </c>
      <c r="F19" t="s">
        <v>121</v>
      </c>
      <c r="G19" t="s">
        <v>311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235</v>
      </c>
      <c r="R19" t="s">
        <v>196</v>
      </c>
      <c r="S19" t="s">
        <v>121</v>
      </c>
      <c r="T19" t="s">
        <v>121</v>
      </c>
      <c r="U19" t="s">
        <v>176</v>
      </c>
      <c r="V19" t="s">
        <v>157</v>
      </c>
    </row>
    <row r="20" spans="1:22">
      <c r="A20" t="str">
        <f>IF(手动输入表!$F20="","",手动输入表!$F20)</f>
        <v>淀粉</v>
      </c>
      <c r="B20" t="s">
        <v>401</v>
      </c>
      <c r="C20" t="s">
        <v>111</v>
      </c>
      <c r="D20" t="s">
        <v>368</v>
      </c>
      <c r="E20" t="s">
        <v>111</v>
      </c>
      <c r="F20" t="s">
        <v>111</v>
      </c>
      <c r="G20" t="s">
        <v>312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236</v>
      </c>
      <c r="R20" t="s">
        <v>197</v>
      </c>
      <c r="S20" t="s">
        <v>111</v>
      </c>
      <c r="T20" t="s">
        <v>111</v>
      </c>
      <c r="U20" t="s">
        <v>177</v>
      </c>
      <c r="V20" t="s">
        <v>158</v>
      </c>
    </row>
    <row r="21" spans="1:22">
      <c r="A21" t="str">
        <f>IF(手动输入表!$F21="","",手动输入表!$F21)</f>
        <v>豆油</v>
      </c>
      <c r="B21" t="s">
        <v>389</v>
      </c>
      <c r="C21" t="s">
        <v>123</v>
      </c>
      <c r="D21" t="s">
        <v>356</v>
      </c>
      <c r="E21" t="s">
        <v>123</v>
      </c>
      <c r="F21" t="s">
        <v>123</v>
      </c>
      <c r="G21" t="s">
        <v>313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237</v>
      </c>
      <c r="R21" t="s">
        <v>198</v>
      </c>
      <c r="S21" t="s">
        <v>123</v>
      </c>
      <c r="T21" t="s">
        <v>123</v>
      </c>
      <c r="U21" t="s">
        <v>178</v>
      </c>
      <c r="V21" t="s">
        <v>159</v>
      </c>
    </row>
    <row r="22" spans="1:22">
      <c r="A22" t="str">
        <f>IF(手动输入表!$F22="","",手动输入表!$F22)</f>
        <v>棕榈油</v>
      </c>
      <c r="B22" t="s">
        <v>402</v>
      </c>
      <c r="C22" t="s">
        <v>119</v>
      </c>
      <c r="D22" t="s">
        <v>369</v>
      </c>
      <c r="E22" t="s">
        <v>119</v>
      </c>
      <c r="F22" t="s">
        <v>119</v>
      </c>
      <c r="G22" t="s">
        <v>300</v>
      </c>
      <c r="H22" t="s">
        <v>119</v>
      </c>
      <c r="I22" t="s">
        <v>119</v>
      </c>
      <c r="J22" t="s">
        <v>116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238</v>
      </c>
      <c r="R22" t="s">
        <v>199</v>
      </c>
      <c r="S22" t="s">
        <v>116</v>
      </c>
      <c r="T22" t="s">
        <v>116</v>
      </c>
      <c r="U22" t="s">
        <v>179</v>
      </c>
      <c r="V22" t="s">
        <v>160</v>
      </c>
    </row>
    <row r="23" spans="1:22">
      <c r="A23" t="str">
        <f>IF(手动输入表!$F23="","",手动输入表!$F23)</f>
        <v>菜油</v>
      </c>
      <c r="B23" t="s">
        <v>403</v>
      </c>
      <c r="C23" t="s">
        <v>127</v>
      </c>
      <c r="D23" t="s">
        <v>370</v>
      </c>
      <c r="E23" t="s">
        <v>127</v>
      </c>
      <c r="F23" t="s">
        <v>127</v>
      </c>
      <c r="G23" t="s">
        <v>314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239</v>
      </c>
      <c r="R23" t="s">
        <v>200</v>
      </c>
      <c r="S23" t="s">
        <v>127</v>
      </c>
      <c r="T23" t="s">
        <v>127</v>
      </c>
      <c r="U23" t="s">
        <v>180</v>
      </c>
      <c r="V23" t="s">
        <v>161</v>
      </c>
    </row>
    <row r="24" spans="1:22">
      <c r="A24" t="str">
        <f>IF(手动输入表!$F24="","",手动输入表!$F24)</f>
        <v>白糖</v>
      </c>
      <c r="B24" t="s">
        <v>404</v>
      </c>
      <c r="C24" t="s">
        <v>243</v>
      </c>
      <c r="D24" t="s">
        <v>371</v>
      </c>
      <c r="E24" t="s">
        <v>243</v>
      </c>
      <c r="F24" t="s">
        <v>243</v>
      </c>
      <c r="G24" t="s">
        <v>315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240</v>
      </c>
      <c r="R24" t="s">
        <v>201</v>
      </c>
      <c r="S24" t="s">
        <v>115</v>
      </c>
      <c r="T24" t="s">
        <v>115</v>
      </c>
      <c r="U24" t="s">
        <v>181</v>
      </c>
      <c r="V24" t="s">
        <v>162</v>
      </c>
    </row>
    <row r="25" spans="1:22">
      <c r="A25" t="str">
        <f>IF(手动输入表!$F25="","",手动输入表!$F25)</f>
        <v>棉花</v>
      </c>
      <c r="B25" t="s">
        <v>405</v>
      </c>
      <c r="C25" t="s">
        <v>125</v>
      </c>
      <c r="D25" t="s">
        <v>372</v>
      </c>
      <c r="E25" t="s">
        <v>125</v>
      </c>
      <c r="F25" t="s">
        <v>125</v>
      </c>
      <c r="G25" t="s">
        <v>316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241</v>
      </c>
      <c r="R25" t="s">
        <v>202</v>
      </c>
      <c r="S25" t="s">
        <v>125</v>
      </c>
      <c r="T25" t="s">
        <v>125</v>
      </c>
      <c r="U25" t="s">
        <v>182</v>
      </c>
      <c r="V25" t="s">
        <v>163</v>
      </c>
    </row>
    <row r="26" spans="1:22">
      <c r="A26" t="str">
        <f>IF(手动输入表!$F26="","",手动输入表!$F26)</f>
        <v>棉纱</v>
      </c>
      <c r="B26" t="s">
        <v>406</v>
      </c>
      <c r="C26" t="s">
        <v>126</v>
      </c>
      <c r="D26" t="s">
        <v>373</v>
      </c>
      <c r="E26" t="s">
        <v>126</v>
      </c>
      <c r="F26" t="s">
        <v>126</v>
      </c>
      <c r="G26" t="s">
        <v>317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242</v>
      </c>
      <c r="R26" t="s">
        <v>203</v>
      </c>
      <c r="S26" t="s">
        <v>126</v>
      </c>
      <c r="T26" t="s">
        <v>126</v>
      </c>
      <c r="U26" t="s">
        <v>183</v>
      </c>
      <c r="V26" t="s">
        <v>164</v>
      </c>
    </row>
    <row r="27" spans="1:22">
      <c r="A27" t="str">
        <f>IF(手动输入表!$F27="","",手动输入表!$F27)</f>
        <v>铜</v>
      </c>
      <c r="B27" t="s">
        <v>393</v>
      </c>
      <c r="C27" t="s">
        <v>113</v>
      </c>
      <c r="D27" t="s">
        <v>360</v>
      </c>
      <c r="E27" t="s">
        <v>113</v>
      </c>
      <c r="F27" t="s">
        <v>113</v>
      </c>
      <c r="G27" t="s">
        <v>304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228</v>
      </c>
      <c r="R27" t="s">
        <v>189</v>
      </c>
      <c r="S27" t="s">
        <v>113</v>
      </c>
      <c r="T27" t="s">
        <v>113</v>
      </c>
      <c r="U27" t="s">
        <v>169</v>
      </c>
      <c r="V27" t="s">
        <v>150</v>
      </c>
    </row>
    <row r="28" spans="1:22">
      <c r="A28" t="str">
        <f>IF(手动输入表!$F28="","",手动输入表!$F28)</f>
        <v>铝</v>
      </c>
      <c r="B28" t="s">
        <v>393</v>
      </c>
      <c r="C28" t="s">
        <v>113</v>
      </c>
      <c r="D28" t="s">
        <v>360</v>
      </c>
      <c r="E28" t="s">
        <v>113</v>
      </c>
      <c r="F28" t="s">
        <v>113</v>
      </c>
      <c r="G28" t="s">
        <v>304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228</v>
      </c>
      <c r="R28" t="s">
        <v>189</v>
      </c>
      <c r="S28" t="s">
        <v>113</v>
      </c>
      <c r="T28" t="s">
        <v>113</v>
      </c>
      <c r="U28" t="s">
        <v>169</v>
      </c>
      <c r="V28" t="s">
        <v>150</v>
      </c>
    </row>
    <row r="29" spans="1:22">
      <c r="A29" t="str">
        <f>IF(手动输入表!$F29="","",手动输入表!$F29)</f>
        <v>锌</v>
      </c>
      <c r="B29" t="s">
        <v>393</v>
      </c>
      <c r="C29" t="s">
        <v>113</v>
      </c>
      <c r="D29" t="s">
        <v>360</v>
      </c>
      <c r="E29" t="s">
        <v>113</v>
      </c>
      <c r="F29" t="s">
        <v>113</v>
      </c>
      <c r="G29" t="s">
        <v>304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228</v>
      </c>
      <c r="R29" t="s">
        <v>189</v>
      </c>
      <c r="S29" t="s">
        <v>113</v>
      </c>
      <c r="T29" t="s">
        <v>113</v>
      </c>
      <c r="U29" t="s">
        <v>169</v>
      </c>
      <c r="V29" t="s">
        <v>150</v>
      </c>
    </row>
    <row r="30" spans="1:22">
      <c r="A30" t="str">
        <f>IF(手动输入表!$F30="","",手动输入表!$F30)</f>
        <v>镍</v>
      </c>
      <c r="B30" t="s">
        <v>393</v>
      </c>
      <c r="C30" t="s">
        <v>113</v>
      </c>
      <c r="D30" t="s">
        <v>360</v>
      </c>
      <c r="E30" t="s">
        <v>113</v>
      </c>
      <c r="F30" t="s">
        <v>113</v>
      </c>
      <c r="G30" t="s">
        <v>304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228</v>
      </c>
      <c r="R30" t="s">
        <v>189</v>
      </c>
      <c r="S30" t="s">
        <v>113</v>
      </c>
      <c r="T30" t="s">
        <v>113</v>
      </c>
      <c r="U30" t="s">
        <v>169</v>
      </c>
      <c r="V30" t="s">
        <v>150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workbookViewId="0">
      <selection activeCell="J22" sqref="J22"/>
    </sheetView>
  </sheetViews>
  <sheetFormatPr defaultRowHeight="13.5"/>
  <sheetData>
    <row r="1" spans="1:22">
      <c r="A1" t="s">
        <v>140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43140</v>
      </c>
      <c r="N1" s="11">
        <v>43139</v>
      </c>
      <c r="O1" s="11">
        <v>43138</v>
      </c>
      <c r="P1" s="11">
        <v>43137</v>
      </c>
      <c r="Q1" s="11">
        <v>43136</v>
      </c>
      <c r="R1" s="11">
        <v>43133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-260</v>
      </c>
      <c r="T15">
        <v>-260</v>
      </c>
      <c r="U15">
        <v>-260</v>
      </c>
      <c r="V15">
        <v>-200</v>
      </c>
    </row>
    <row r="16" spans="1:2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</row>
    <row r="17" spans="1:2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</row>
    <row r="22" spans="1:2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</row>
    <row r="24" spans="1:2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2018-03-05T08:28:48Z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