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<sst xmlns="http://schemas.openxmlformats.org/spreadsheetml/2006/main" count="1977" uniqueCount="224">
  <si>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</si>
  <si>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</si>
  <si>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</si>
  <si>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</si>
  <si>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</si>
  <si>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</si>
  <si>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</si>
  <si>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</si>
  <si>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</si>
  <si>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</si>
  <si>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</si>
  <si>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</si>
  <si>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</si>
  <si>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</si>
  <si>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</si>
  <si>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</si>
  <si>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</si>
  <si>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</si>
  <si>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</si>
  <si>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</si>
  <si>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</si>
  <si>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</si>
  <si>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</si>
  <si>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</si>
  <si>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</si>
  <si>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</si>
  <si>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</si>
  <si>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</si>
  <si>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</si>
  <si>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</si>
  <si>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</si>
  <si>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</si>
  <si>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</si>
  <si>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</si>
  <si>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</si>
  <si>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</si>
  <si>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</si>
  <si>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</si>
  <si>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</si>
  <si>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</si>
  <si>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</si>
  <si>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</si>
  <si>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</si>
  <si>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</si>
  <si>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</si>
  <si>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</si>
  <si>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</si>
  <si>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</si>
  <si>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</si>
  <si>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</si>
  <si>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</si>
  <si>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</si>
  <si>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</si>
  <si>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</si>
  <si>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</si>
  <si>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</si>
  <si>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</si>
  <si>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</si>
  <si>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</si>
  <si>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</si>
  <si>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</si>
  <si>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</si>
  <si>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</si>
  <si>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</si>
  <si>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</si>
  <si>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</si>
  <si>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</si>
  <si>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</si>
  <si>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</si>
  <si>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</si>
  <si>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</si>
  <si>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</si>
  <si>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</si>
  <si>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</si>
  <si>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</si>
  <si>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</si>
  <si>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</si>
  <si>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</si>
  <si>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</si>
  <si>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</si>
  <si>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</si>
  <si>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</si>
  <si>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</si>
  <si>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</si>
  <si>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</si>
  <si>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</si>
  <si>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</si>
  <si>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</si>
  <si>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</si>
  <si>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</si>
  <si>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</si>
  <si>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</si>
  <si>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</si>
  <si>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</si>
  <si>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</si>
  <si>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</si>
  <si>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</si>
  <si>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</si>
  <si>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</si>
  <si>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</si>
  <si>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</si>
  <si>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</si>
  <si>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</si>
  <si>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</si>
  <si>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</si>
  <si>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</si>
  <si>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</si>
  <si>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</si>
  <si>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</si>
  <si>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</si>
  <si>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</si>
  <si>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</si>
  <si>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</si>
  <si>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</si>
  <si>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</si>
  <si>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</si>
  <si>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</si>
  <si>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</si>
  <si>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</si>
  <si>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</si>
  <si>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</si>
  <si>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</si>
  <si>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</si>
  <si>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</si>
  <si>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</si>
  <si>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</si>
  <si>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</si>
  <si>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</si>
  <si>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</si>
  <si>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</si>
  <si>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</si>
  <si>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</si>
  <si>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</si>
  <si>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</si>
  <si>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</si>
  <si>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</si>
  <si>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</si>
  <si>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</si>
  <si>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</si>
  <si>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</si>
  <si>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</si>
  <si>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</si>
  <si>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</si>
  <si>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</si>
  <si>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</si>
  <si>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</si>
  <si>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</si>
  <si>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</si>
  <si>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</si>
  <si>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</si>
  <si>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</si>
  <si>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</si>
  <si>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</si>
  <si>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</si>
  <si>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</si>
  <si>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</si>
  <si>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</si>
  <si>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</si>
  <si>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</si>
  <si>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</si>
  <si>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</si>
  <si>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</si>
  <si>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</si>
  <si>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</si>
  <si>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</si>
  <si>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</si>
  <si>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</si>
  <si>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</si>
  <si>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</si>
  <si>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</si>
  <si>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</si>
  <si>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</si>
  <si>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</si>
  <si>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</si>
  <si>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</si>
  <si>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</si>
  <si>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</si>
  <si>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</si>
  <si>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</si>
  <si>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</si>
  <si>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</si>
  <si>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</si>
  <si>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</si>
  <si>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</si>
  <si>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</si>
  <si>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</si>
  <si>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</si>
  <si>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</si>
  <si>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</si>
  <si>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</si>
  <si>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</si>
  <si>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</si>
  <si>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</si>
  <si>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</si>
  <si>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</si>
  <si>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</si>
  <si>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</si>
  <si>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</si>
  <si>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</si>
  <si>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</si>
  <si>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</si>
  <si>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</si>
  <si>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</si>
  <si>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</si>
  <si>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</si>
  <si>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</si>
  <si>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</si>
  <si>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</si>
  <si>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</si>
  <si>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</si>
  <si>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</si>
  <si>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</si>
  <si>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</si>
  <si>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</si>
  <si>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</si>
  <si>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</si>
  <si>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</si>
  <si>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</si>
  <si>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</si>
  <si>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注4: 主力月份为沥青6月,有色金属6月,股指4月,其余5月</t>
    <phoneticPr fontId="6" type="noConversion"/>
  </si>
  <si>
    <t>内蒙古</t>
  </si>
  <si>
    <t>内蒙古</t>
    <phoneticPr fontId="2" type="noConversion"/>
  </si>
  <si>
    <t>鲅鱼圈平舱价</t>
    <phoneticPr fontId="2" type="noConversion"/>
  </si>
  <si>
    <t>2018年4月20日收盘基差表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</si>
</sst>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=""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223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甲醇</v>
      </c>
      <c r="C4" s="68">
        <f>排序表!C2</f>
        <v>3050</v>
      </c>
      <c r="D4" s="69">
        <f>排序表!D2</f>
        <v>0</v>
      </c>
      <c r="E4" s="70" t="str">
        <f>排序表!E2</f>
        <v>内蒙古</v>
      </c>
      <c r="F4" s="71">
        <f>排序表!G2</f>
        <v>225</v>
      </c>
      <c r="G4" s="69">
        <f>排序表!H2</f>
        <v>68</v>
      </c>
      <c r="H4" s="72">
        <f>排序表!I2</f>
        <v>7.9646017699115043E-2</v>
      </c>
      <c r="I4" s="71">
        <f>排序表!J2</f>
        <v>258.39999999999998</v>
      </c>
      <c r="J4" s="72">
        <f>排序表!K2</f>
        <v>9.164601769911504E-2</v>
      </c>
      <c r="K4" s="72">
        <f>排序表!R2</f>
        <v>6.886114264093833E-2</v>
      </c>
      <c r="L4" s="72"/>
    </row>
    <row r="5" spans="2:13" ht="18" customHeight="1">
      <c r="B5" s="68" t="str">
        <f>排序表!A3</f>
        <v>天胶</v>
      </c>
      <c r="C5" s="68">
        <f>排序表!C3</f>
        <v>10440</v>
      </c>
      <c r="D5" s="69">
        <f>排序表!D3</f>
        <v>-225</v>
      </c>
      <c r="E5" s="70" t="str">
        <f>排序表!E3</f>
        <v>上海</v>
      </c>
      <c r="F5" s="68">
        <f>排序表!G3</f>
        <v>-700</v>
      </c>
      <c r="G5" s="69">
        <f>排序表!H3</f>
        <v>0</v>
      </c>
      <c r="H5" s="73">
        <f>排序表!I3</f>
        <v>-6.283662477558348E-2</v>
      </c>
      <c r="I5" s="68">
        <f>排序表!J3</f>
        <v>1465.3000000000002</v>
      </c>
      <c r="J5" s="73">
        <f>排序表!K3</f>
        <v>7.316337522441653E-2</v>
      </c>
      <c r="K5" s="73">
        <f>排序表!R3</f>
        <v>-3.5915188230203378E-2</v>
      </c>
      <c r="L5" s="68"/>
    </row>
    <row r="6" spans="2:13" ht="18" customHeight="1">
      <c r="B6" s="67" t="str">
        <f>排序表!A4</f>
        <v>玉米</v>
      </c>
      <c r="C6" s="68">
        <f>排序表!C4</f>
        <v>1820</v>
      </c>
      <c r="D6" s="69">
        <f>排序表!D4</f>
        <v>0</v>
      </c>
      <c r="E6" s="70" t="str">
        <f>排序表!E4</f>
        <v>鲅鱼圈平舱价</v>
      </c>
      <c r="F6" s="71">
        <f>排序表!G4</f>
        <v>38</v>
      </c>
      <c r="G6" s="69">
        <f>排序表!H4</f>
        <v>-13</v>
      </c>
      <c r="H6" s="72">
        <f>排序表!I4</f>
        <v>2.1324354657687991E-2</v>
      </c>
      <c r="I6" s="71">
        <f>排序表!J4</f>
        <v>108</v>
      </c>
      <c r="J6" s="72">
        <f>排序表!K4</f>
        <v>6.2324354657687993E-2</v>
      </c>
      <c r="K6" s="72">
        <f>排序表!R4</f>
        <v>2.2962112514351322E-2</v>
      </c>
      <c r="L6" s="72"/>
    </row>
    <row r="7" spans="2:13" ht="18" customHeight="1">
      <c r="B7" s="68" t="str">
        <f>排序表!A5</f>
        <v>玻璃</v>
      </c>
      <c r="C7" s="68">
        <f>排序表!C5</f>
        <v>1460</v>
      </c>
      <c r="D7" s="69">
        <f>排序表!D5</f>
        <v>0</v>
      </c>
      <c r="E7" s="70" t="str">
        <f>排序表!E5</f>
        <v>沙河</v>
      </c>
      <c r="F7" s="68">
        <f>排序表!G5</f>
        <v>47</v>
      </c>
      <c r="G7" s="69">
        <f>排序表!H5</f>
        <v>16</v>
      </c>
      <c r="H7" s="73">
        <f>排序表!I5</f>
        <v>3.3262561924982309E-2</v>
      </c>
      <c r="I7" s="68">
        <f>排序表!J5</f>
        <v>47</v>
      </c>
      <c r="J7" s="73">
        <f>排序表!K5</f>
        <v>3.3262561924982309E-2</v>
      </c>
      <c r="K7" s="73">
        <f>排序表!R5</f>
        <v>2.9133284777858703E-2</v>
      </c>
      <c r="L7" s="68"/>
    </row>
    <row r="8" spans="2:13" ht="18" customHeight="1">
      <c r="B8" s="67" t="str">
        <f>排序表!A6</f>
        <v>PTA</v>
      </c>
      <c r="C8" s="68">
        <f>排序表!C6</f>
        <v>5598</v>
      </c>
      <c r="D8" s="69">
        <f>排序表!D6</f>
        <v>-2</v>
      </c>
      <c r="E8" s="70" t="str">
        <f>排序表!E6</f>
        <v>华东</v>
      </c>
      <c r="F8" s="71">
        <f>排序表!G6</f>
        <v>28</v>
      </c>
      <c r="G8" s="69">
        <f>排序表!H6</f>
        <v>38</v>
      </c>
      <c r="H8" s="72">
        <f>排序表!I6</f>
        <v>5.0269299820466786E-3</v>
      </c>
      <c r="I8" s="71">
        <f>排序表!J6</f>
        <v>115.1</v>
      </c>
      <c r="J8" s="72">
        <f>排序表!K6</f>
        <v>2.2026929982046681E-2</v>
      </c>
      <c r="K8" s="72">
        <f>排序表!R6</f>
        <v>-1.0760401721664275E-3</v>
      </c>
      <c r="L8" s="72"/>
      <c r="M8" s="29"/>
    </row>
    <row r="9" spans="2:13" ht="18" customHeight="1">
      <c r="B9" s="59" t="str">
        <f>排序表!A7</f>
        <v>沥青</v>
      </c>
      <c r="C9" s="59">
        <f>排序表!C7</f>
        <v>2760</v>
      </c>
      <c r="D9" s="60">
        <f>排序表!D7</f>
        <v>0</v>
      </c>
      <c r="E9" s="61" t="str">
        <f>排序表!E7</f>
        <v>华东</v>
      </c>
      <c r="F9" s="59">
        <f>排序表!G7</f>
        <v>-72</v>
      </c>
      <c r="G9" s="60">
        <f>排序表!H7</f>
        <v>30</v>
      </c>
      <c r="H9" s="62">
        <f>排序表!I7</f>
        <v>-2.5423728813559324E-2</v>
      </c>
      <c r="I9" s="59">
        <f>排序表!J7</f>
        <v>26</v>
      </c>
      <c r="J9" s="62">
        <f>排序表!K7</f>
        <v>1.0576271186440674E-2</v>
      </c>
      <c r="K9" s="62">
        <f>排序表!R7</f>
        <v>-2.3448275862068966E-2</v>
      </c>
      <c r="L9" s="59"/>
    </row>
    <row r="10" spans="2:13" ht="18" customHeight="1">
      <c r="B10" s="50" t="str">
        <f>排序表!A8</f>
        <v>LLDPE</v>
      </c>
      <c r="C10" s="51">
        <f>排序表!C8</f>
        <v>9200</v>
      </c>
      <c r="D10" s="52">
        <f>排序表!D8</f>
        <v>-195</v>
      </c>
      <c r="E10" s="53" t="str">
        <f>排序表!E8</f>
        <v>华北</v>
      </c>
      <c r="F10" s="54">
        <f>排序表!G8</f>
        <v>0</v>
      </c>
      <c r="G10" s="52">
        <f>排序表!H8</f>
        <v>-35</v>
      </c>
      <c r="H10" s="55">
        <f>排序表!I8</f>
        <v>0</v>
      </c>
      <c r="I10" s="54">
        <f>排序表!J8</f>
        <v>103.2</v>
      </c>
      <c r="J10" s="55">
        <f>排序表!K8</f>
        <v>0.01</v>
      </c>
      <c r="K10" s="55">
        <f>排序表!R8</f>
        <v>7.6670317634173054E-3</v>
      </c>
      <c r="L10" s="55"/>
    </row>
    <row r="11" spans="2:13" ht="18" customHeight="1">
      <c r="B11" s="51" t="str">
        <f>排序表!A9</f>
        <v>锌</v>
      </c>
      <c r="C11" s="51">
        <f>排序表!C9</f>
        <v>24600</v>
      </c>
      <c r="D11" s="52">
        <f>排序表!D9</f>
        <v>-150</v>
      </c>
      <c r="E11" s="53" t="str">
        <f>排序表!E9</f>
        <v>上海</v>
      </c>
      <c r="F11" s="51">
        <f>排序表!G9</f>
        <v>205</v>
      </c>
      <c r="G11" s="52">
        <f>排序表!H9</f>
        <v>-15</v>
      </c>
      <c r="H11" s="56">
        <f>排序表!I9</f>
        <v>8.4033613445378148E-3</v>
      </c>
      <c r="I11" s="51">
        <f>排序表!J9</f>
        <v>205</v>
      </c>
      <c r="J11" s="56">
        <f>排序表!K9</f>
        <v>8.4033613445378148E-3</v>
      </c>
      <c r="K11" s="56">
        <f>排序表!R9</f>
        <v>5.5647155812036274E-3</v>
      </c>
      <c r="L11" s="51"/>
    </row>
    <row r="12" spans="2:13" ht="18" customHeight="1">
      <c r="B12" s="50" t="str">
        <f>排序表!A10</f>
        <v>PVC</v>
      </c>
      <c r="C12" s="51">
        <f>排序表!C10</f>
        <v>6585</v>
      </c>
      <c r="D12" s="52">
        <f>排序表!D10</f>
        <v>0</v>
      </c>
      <c r="E12" s="53" t="str">
        <f>排序表!E10</f>
        <v>华东</v>
      </c>
      <c r="F12" s="54">
        <f>排序表!G10</f>
        <v>30</v>
      </c>
      <c r="G12" s="52">
        <f>排序表!H10</f>
        <v>75</v>
      </c>
      <c r="H12" s="55">
        <f>排序表!I10</f>
        <v>4.5766590389016018E-3</v>
      </c>
      <c r="I12" s="54">
        <f>排序表!J10</f>
        <v>30</v>
      </c>
      <c r="J12" s="55">
        <f>排序表!K10</f>
        <v>4.5766590389016018E-3</v>
      </c>
      <c r="K12" s="55">
        <f>排序表!R10</f>
        <v>-1.1312217194570135E-2</v>
      </c>
      <c r="L12" s="55"/>
    </row>
    <row r="13" spans="2:13" ht="18" customHeight="1">
      <c r="B13" s="51" t="str">
        <f>排序表!A11</f>
        <v>白糖</v>
      </c>
      <c r="C13" s="51">
        <f>排序表!C11</f>
        <v>5630</v>
      </c>
      <c r="D13" s="52">
        <f>排序表!D11</f>
        <v>0</v>
      </c>
      <c r="E13" s="53" t="str">
        <f>排序表!E11</f>
        <v>南宁</v>
      </c>
      <c r="F13" s="51">
        <f>排序表!G11</f>
        <v>211</v>
      </c>
      <c r="G13" s="52">
        <f>排序表!H11</f>
        <v>-33</v>
      </c>
      <c r="H13" s="56">
        <f>排序表!I11</f>
        <v>3.8937073260749216E-2</v>
      </c>
      <c r="I13" s="51">
        <f>排序表!J11</f>
        <v>-8</v>
      </c>
      <c r="J13" s="56">
        <f>排序表!K11</f>
        <v>2.9370732607492192E-3</v>
      </c>
      <c r="K13" s="56">
        <f>排序表!R11</f>
        <v>-1.4727272727272728E-2</v>
      </c>
      <c r="L13" s="51"/>
    </row>
    <row r="14" spans="2:13" ht="18" customHeight="1">
      <c r="B14" s="50" t="str">
        <f>排序表!A12</f>
        <v>棉纱</v>
      </c>
      <c r="C14" s="51">
        <f>排序表!C12</f>
        <v>23150</v>
      </c>
      <c r="D14" s="52">
        <f>排序表!D12</f>
        <v>0</v>
      </c>
      <c r="E14" s="53" t="str">
        <f>排序表!E12</f>
        <v>江苏</v>
      </c>
      <c r="F14" s="54">
        <f>排序表!G12</f>
        <v>35</v>
      </c>
      <c r="G14" s="52">
        <f>排序表!H12</f>
        <v>0</v>
      </c>
      <c r="H14" s="55">
        <f>排序表!I12</f>
        <v>1.5141682889898333E-3</v>
      </c>
      <c r="I14" s="54">
        <f>排序表!J12</f>
        <v>35</v>
      </c>
      <c r="J14" s="55">
        <f>排序表!K12</f>
        <v>1.5141682889898333E-3</v>
      </c>
      <c r="K14" s="55">
        <f>排序表!R12</f>
        <v>-1.6173653968929558E-2</v>
      </c>
      <c r="L14" s="55"/>
    </row>
    <row r="15" spans="2:13" ht="18" customHeight="1">
      <c r="B15" s="51" t="str">
        <f>排序表!A13</f>
        <v>PP</v>
      </c>
      <c r="C15" s="51">
        <f>排序表!C13</f>
        <v>8671</v>
      </c>
      <c r="D15" s="52">
        <f>排序表!D13</f>
        <v>-184</v>
      </c>
      <c r="E15" s="53" t="str">
        <f>排序表!E13</f>
        <v>华东</v>
      </c>
      <c r="F15" s="51">
        <f>排序表!G13</f>
        <v>-50</v>
      </c>
      <c r="G15" s="52">
        <f>排序表!H13</f>
        <v>0</v>
      </c>
      <c r="H15" s="56">
        <f>排序表!I13</f>
        <v>-5.7332874670335968E-3</v>
      </c>
      <c r="I15" s="51">
        <f>排序表!J13</f>
        <v>13.100000000000001</v>
      </c>
      <c r="J15" s="56">
        <f>排序表!K13</f>
        <v>1.2667125329664033E-3</v>
      </c>
      <c r="K15" s="56">
        <f>排序表!R13</f>
        <v>-9.5400340715502564E-3</v>
      </c>
      <c r="L15" s="51"/>
    </row>
    <row r="16" spans="2:13" ht="18" customHeight="1">
      <c r="B16" s="50" t="str">
        <f>排序表!A14</f>
        <v>菜油</v>
      </c>
      <c r="C16" s="51">
        <f>排序表!C14</f>
        <v>6610</v>
      </c>
      <c r="D16" s="52">
        <f>排序表!D14</f>
        <v>0</v>
      </c>
      <c r="E16" s="53" t="str">
        <f>排序表!E14</f>
        <v>广东东莞</v>
      </c>
      <c r="F16" s="54">
        <f>排序表!G14</f>
        <v>304</v>
      </c>
      <c r="G16" s="52">
        <f>排序表!H14</f>
        <v>-16</v>
      </c>
      <c r="H16" s="55">
        <f>排序表!I14</f>
        <v>4.8208055819854108E-2</v>
      </c>
      <c r="I16" s="54">
        <f>排序表!J14</f>
        <v>-113</v>
      </c>
      <c r="J16" s="55">
        <f>排序表!K14</f>
        <v>-1.7919441801458949E-3</v>
      </c>
      <c r="K16" s="55">
        <f>排序表!R14</f>
        <v>-3.6957849725106906E-2</v>
      </c>
      <c r="L16" s="55"/>
    </row>
    <row r="17" spans="2:17" ht="18" customHeight="1">
      <c r="B17" s="51" t="str">
        <f>排序表!A15</f>
        <v>铜</v>
      </c>
      <c r="C17" s="51">
        <f>排序表!C15</f>
        <v>51240</v>
      </c>
      <c r="D17" s="52">
        <f>排序表!D15</f>
        <v>-590</v>
      </c>
      <c r="E17" s="53" t="str">
        <f>排序表!E15</f>
        <v>上海</v>
      </c>
      <c r="F17" s="51">
        <f>排序表!G15</f>
        <v>-160</v>
      </c>
      <c r="G17" s="52">
        <f>排序表!H15</f>
        <v>-50</v>
      </c>
      <c r="H17" s="56">
        <f>排序表!I15</f>
        <v>-3.1128404669260703E-3</v>
      </c>
      <c r="I17" s="51">
        <f>排序表!J15</f>
        <v>-160</v>
      </c>
      <c r="J17" s="56">
        <f>排序表!K15</f>
        <v>-3.1128404669260703E-3</v>
      </c>
      <c r="K17" s="56">
        <f>排序表!R15</f>
        <v>-3.2964902074849719E-3</v>
      </c>
      <c r="L17" s="51"/>
    </row>
    <row r="18" spans="2:17" ht="18" customHeight="1">
      <c r="B18" s="50" t="str">
        <f>排序表!A16</f>
        <v>棉花</v>
      </c>
      <c r="C18" s="51">
        <f>排序表!C16</f>
        <v>15333</v>
      </c>
      <c r="D18" s="52">
        <f>排序表!D16</f>
        <v>0</v>
      </c>
      <c r="E18" s="53" t="str">
        <f>排序表!E16</f>
        <v>新疆</v>
      </c>
      <c r="F18" s="54">
        <f>排序表!G16</f>
        <v>488</v>
      </c>
      <c r="G18" s="52">
        <f>排序表!H16</f>
        <v>25</v>
      </c>
      <c r="H18" s="55">
        <f>排序表!I16</f>
        <v>3.2873021219265747E-2</v>
      </c>
      <c r="I18" s="54">
        <f>排序表!J16</f>
        <v>-52</v>
      </c>
      <c r="J18" s="55">
        <f>排序表!K16</f>
        <v>-3.1269787807342506E-3</v>
      </c>
      <c r="K18" s="55">
        <f>排序表!R16</f>
        <v>-3.3528645833333336E-2</v>
      </c>
      <c r="L18" s="55"/>
    </row>
    <row r="19" spans="2:17" ht="18" customHeight="1">
      <c r="B19" s="51" t="str">
        <f>排序表!A17</f>
        <v>镍</v>
      </c>
      <c r="C19" s="51">
        <f>排序表!C17</f>
        <v>103350</v>
      </c>
      <c r="D19" s="52">
        <f>排序表!D17</f>
        <v>-2450</v>
      </c>
      <c r="E19" s="53" t="str">
        <f>排序表!E17</f>
        <v>上海</v>
      </c>
      <c r="F19" s="51">
        <f>排序表!G17</f>
        <v>-910</v>
      </c>
      <c r="G19" s="52">
        <f>排序表!H17</f>
        <v>1410</v>
      </c>
      <c r="H19" s="56">
        <f>排序表!I17</f>
        <v>-8.7281795511221939E-3</v>
      </c>
      <c r="I19" s="51">
        <f>排序表!J17</f>
        <v>-910</v>
      </c>
      <c r="J19" s="56">
        <f>排序表!K17</f>
        <v>-8.7281795511221939E-3</v>
      </c>
      <c r="K19" s="56">
        <f>排序表!R17</f>
        <v>-3.4410246606767347E-3</v>
      </c>
      <c r="L19" s="51"/>
    </row>
    <row r="20" spans="2:17" ht="18" customHeight="1">
      <c r="B20" s="50" t="str">
        <f>排序表!A18</f>
        <v>铝</v>
      </c>
      <c r="C20" s="51">
        <f>排序表!C18</f>
        <v>14750</v>
      </c>
      <c r="D20" s="52">
        <f>排序表!D18</f>
        <v>-320</v>
      </c>
      <c r="E20" s="53" t="str">
        <f>排序表!E18</f>
        <v>上海</v>
      </c>
      <c r="F20" s="54">
        <f>排序表!G18</f>
        <v>-205</v>
      </c>
      <c r="G20" s="52">
        <f>排序表!H18</f>
        <v>105</v>
      </c>
      <c r="H20" s="55">
        <f>排序表!I18</f>
        <v>-1.3707790036776997E-2</v>
      </c>
      <c r="I20" s="54">
        <f>排序表!J18</f>
        <v>-205</v>
      </c>
      <c r="J20" s="55">
        <f>排序表!K18</f>
        <v>-1.3707790036776997E-2</v>
      </c>
      <c r="K20" s="55">
        <f>排序表!R18</f>
        <v>-5.3209178583305617E-3</v>
      </c>
      <c r="L20" s="55"/>
      <c r="Q20" s="30"/>
    </row>
    <row r="21" spans="2:17" ht="18" customHeight="1">
      <c r="B21" s="51" t="str">
        <f>排序表!A19</f>
        <v>豆一</v>
      </c>
      <c r="C21" s="51">
        <f>排序表!C19</f>
        <v>3690</v>
      </c>
      <c r="D21" s="52">
        <f>排序表!D19</f>
        <v>0</v>
      </c>
      <c r="E21" s="53" t="str">
        <f>排序表!E19</f>
        <v>哈尔滨</v>
      </c>
      <c r="F21" s="51">
        <f>排序表!G19</f>
        <v>-60</v>
      </c>
      <c r="G21" s="52">
        <f>排序表!H19</f>
        <v>-14</v>
      </c>
      <c r="H21" s="56">
        <f>排序表!I19</f>
        <v>-1.6E-2</v>
      </c>
      <c r="I21" s="51">
        <f>排序表!J19</f>
        <v>-60</v>
      </c>
      <c r="J21" s="56">
        <f>排序表!K19</f>
        <v>-1.6E-2</v>
      </c>
      <c r="K21" s="56">
        <f>排序表!R19</f>
        <v>-3.2258064516129031E-2</v>
      </c>
      <c r="L21" s="51"/>
    </row>
    <row r="22" spans="2:17" ht="18" customHeight="1">
      <c r="B22" s="50" t="str">
        <f>排序表!A20</f>
        <v>淀粉</v>
      </c>
      <c r="C22" s="51">
        <f>排序表!C20</f>
        <v>2250</v>
      </c>
      <c r="D22" s="52">
        <f>排序表!D20</f>
        <v>0</v>
      </c>
      <c r="E22" s="53" t="str">
        <f>排序表!E20</f>
        <v>东北</v>
      </c>
      <c r="F22" s="54">
        <f>排序表!G20</f>
        <v>91</v>
      </c>
      <c r="G22" s="52">
        <f>排序表!H20</f>
        <v>-12</v>
      </c>
      <c r="H22" s="55">
        <f>排序表!I20</f>
        <v>4.2149143121815655E-2</v>
      </c>
      <c r="I22" s="54">
        <f>排序表!J20</f>
        <v>90.6</v>
      </c>
      <c r="J22" s="55">
        <f>排序表!K20</f>
        <v>-2.2850856878184347E-2</v>
      </c>
      <c r="K22" s="55">
        <f>排序表!R20</f>
        <v>1.0767790262172285E-2</v>
      </c>
      <c r="L22" s="55"/>
    </row>
    <row r="23" spans="2:17" ht="18" customHeight="1">
      <c r="B23" s="51" t="str">
        <f>排序表!A21</f>
        <v>豆油</v>
      </c>
      <c r="C23" s="51">
        <f>排序表!C21</f>
        <v>5710</v>
      </c>
      <c r="D23" s="52">
        <f>排序表!D21</f>
        <v>0</v>
      </c>
      <c r="E23" s="53" t="str">
        <f>排序表!E21</f>
        <v>日照</v>
      </c>
      <c r="F23" s="51">
        <f>排序表!G21</f>
        <v>62</v>
      </c>
      <c r="G23" s="52">
        <f>排序表!H21</f>
        <v>4</v>
      </c>
      <c r="H23" s="56">
        <f>排序表!I21</f>
        <v>1.0977337110481586E-2</v>
      </c>
      <c r="I23" s="51">
        <f>排序表!J21</f>
        <v>-220</v>
      </c>
      <c r="J23" s="56">
        <f>排序表!K21</f>
        <v>-2.9022662889518415E-2</v>
      </c>
      <c r="K23" s="56">
        <f>排序表!R21</f>
        <v>-2.7882960413080894E-2</v>
      </c>
      <c r="L23" s="51"/>
    </row>
    <row r="24" spans="2:17" ht="18" customHeight="1">
      <c r="B24" s="50" t="str">
        <f>排序表!A22</f>
        <v>热卷</v>
      </c>
      <c r="C24" s="51">
        <f>排序表!C22</f>
        <v>4040</v>
      </c>
      <c r="D24" s="52">
        <f>排序表!D22</f>
        <v>0</v>
      </c>
      <c r="E24" s="53" t="str">
        <f>排序表!E22</f>
        <v>上海</v>
      </c>
      <c r="F24" s="54">
        <f>排序表!G22</f>
        <v>111</v>
      </c>
      <c r="G24" s="52">
        <f>排序表!H22</f>
        <v>10</v>
      </c>
      <c r="H24" s="55">
        <f>排序表!I22</f>
        <v>2.8251463476711633E-2</v>
      </c>
      <c r="I24" s="54">
        <f>排序表!J22</f>
        <v>-103.80000000000001</v>
      </c>
      <c r="J24" s="55">
        <f>排序表!K22</f>
        <v>-3.2748536523288366E-2</v>
      </c>
      <c r="K24" s="55">
        <f>排序表!R22</f>
        <v>9.5344298856983548E-2</v>
      </c>
      <c r="L24" s="55"/>
    </row>
    <row r="25" spans="2:17" ht="18" customHeight="1">
      <c r="B25" s="51" t="str">
        <f>排序表!A23</f>
        <v>棕榈油</v>
      </c>
      <c r="C25" s="51">
        <f>排序表!C23</f>
        <v>5020</v>
      </c>
      <c r="D25" s="52">
        <f>排序表!D23</f>
        <v>0</v>
      </c>
      <c r="E25" s="53" t="str">
        <f>排序表!E23</f>
        <v>天津港</v>
      </c>
      <c r="F25" s="51">
        <f>排序表!G23</f>
        <v>-16</v>
      </c>
      <c r="G25" s="52">
        <f>排序表!H23</f>
        <v>12</v>
      </c>
      <c r="H25" s="56">
        <f>排序表!I23</f>
        <v>-3.177124702144559E-3</v>
      </c>
      <c r="I25" s="51">
        <f>排序表!J23</f>
        <v>-214</v>
      </c>
      <c r="J25" s="56">
        <f>排序表!K23</f>
        <v>-3.9177124702144558E-2</v>
      </c>
      <c r="K25" s="56">
        <f>排序表!R23</f>
        <v>5.189620758483034E-3</v>
      </c>
      <c r="L25" s="51"/>
    </row>
    <row r="26" spans="2:17" ht="18" customHeight="1">
      <c r="B26" s="50" t="str">
        <f>排序表!A24</f>
        <v>菜粕</v>
      </c>
      <c r="C26" s="51">
        <f>排序表!C24</f>
        <v>2650</v>
      </c>
      <c r="D26" s="52">
        <f>排序表!D24</f>
        <v>0</v>
      </c>
      <c r="E26" s="53" t="str">
        <f>排序表!E24</f>
        <v>广东</v>
      </c>
      <c r="F26" s="54">
        <f>排序表!G24</f>
        <v>-7</v>
      </c>
      <c r="G26" s="52">
        <f>排序表!H24</f>
        <v>-5</v>
      </c>
      <c r="H26" s="55">
        <f>排序表!I24</f>
        <v>-2.6345502446368085E-3</v>
      </c>
      <c r="I26" s="54">
        <f>排序表!J24</f>
        <v>-89</v>
      </c>
      <c r="J26" s="55">
        <f>排序表!K24</f>
        <v>-3.9634550244636808E-2</v>
      </c>
      <c r="K26" s="55">
        <f>排序表!R24</f>
        <v>-2.6276276276276278E-3</v>
      </c>
      <c r="L26" s="55"/>
    </row>
    <row r="27" spans="2:17" ht="18" customHeight="1">
      <c r="B27" s="63" t="str">
        <f>排序表!A25</f>
        <v>豆粕</v>
      </c>
      <c r="C27" s="63">
        <f>排序表!C25</f>
        <v>3180</v>
      </c>
      <c r="D27" s="64">
        <f>排序表!D25</f>
        <v>0</v>
      </c>
      <c r="E27" s="65" t="str">
        <f>排序表!E25</f>
        <v>广东</v>
      </c>
      <c r="F27" s="63">
        <f>排序表!G25</f>
        <v>18</v>
      </c>
      <c r="G27" s="64">
        <f>排序表!H25</f>
        <v>-8</v>
      </c>
      <c r="H27" s="66">
        <f>排序表!I25</f>
        <v>5.6925996204933585E-3</v>
      </c>
      <c r="I27" s="63">
        <f>排序表!J25</f>
        <v>-125</v>
      </c>
      <c r="J27" s="66">
        <f>排序表!K25</f>
        <v>-4.0307400379506642E-2</v>
      </c>
      <c r="K27" s="66">
        <f>排序表!R25</f>
        <v>-2.1658415841584157E-2</v>
      </c>
      <c r="L27" s="63"/>
    </row>
    <row r="28" spans="2:17" ht="18" customHeight="1">
      <c r="B28" s="74" t="str">
        <f>排序表!A26</f>
        <v>焦煤</v>
      </c>
      <c r="C28" s="75">
        <f>排序表!C26</f>
        <v>1300</v>
      </c>
      <c r="D28" s="76">
        <f>排序表!D26</f>
        <v>0</v>
      </c>
      <c r="E28" s="77" t="str">
        <f>排序表!E26</f>
        <v>日照港</v>
      </c>
      <c r="F28" s="78">
        <f>排序表!G26</f>
        <v>83.5</v>
      </c>
      <c r="G28" s="76">
        <f>排序表!H26</f>
        <v>58.5</v>
      </c>
      <c r="H28" s="79">
        <f>排序表!I26</f>
        <v>6.8639539662967528E-2</v>
      </c>
      <c r="I28" s="78">
        <f>排序表!J26</f>
        <v>-52.699999999999989</v>
      </c>
      <c r="J28" s="79">
        <f>排序表!K26</f>
        <v>-5.4360460337032471E-2</v>
      </c>
      <c r="K28" s="79">
        <f>排序表!R26</f>
        <v>7.6072534276868636E-2</v>
      </c>
      <c r="L28" s="79"/>
    </row>
    <row r="29" spans="2:17" ht="18" customHeight="1">
      <c r="B29" s="75" t="str">
        <f>排序表!A27</f>
        <v>螺纹钢</v>
      </c>
      <c r="C29" s="75">
        <f>排序表!C27</f>
        <v>3948.5</v>
      </c>
      <c r="D29" s="76">
        <f>排序表!D27</f>
        <v>-20.5</v>
      </c>
      <c r="E29" s="77" t="str">
        <f>排序表!E27</f>
        <v>上海</v>
      </c>
      <c r="F29" s="75">
        <f>排序表!G27</f>
        <v>217.5</v>
      </c>
      <c r="G29" s="76">
        <f>排序表!H27</f>
        <v>27.5</v>
      </c>
      <c r="H29" s="80">
        <f>排序表!I27</f>
        <v>5.8295363173411954E-2</v>
      </c>
      <c r="I29" s="75">
        <f>排序表!J27</f>
        <v>-184.60000000000002</v>
      </c>
      <c r="J29" s="80">
        <f>排序表!K27</f>
        <v>-6.3704636826588043E-2</v>
      </c>
      <c r="K29" s="80">
        <f>排序表!R27</f>
        <v>8.0196873190503767E-2</v>
      </c>
      <c r="L29" s="75"/>
    </row>
    <row r="30" spans="2:17" ht="18" customHeight="1">
      <c r="B30" s="74" t="str">
        <f>排序表!A28</f>
        <v>动力煤</v>
      </c>
      <c r="C30" s="75">
        <f>排序表!C28</f>
        <v>569</v>
      </c>
      <c r="D30" s="76">
        <f>排序表!D28</f>
        <v>0</v>
      </c>
      <c r="E30" s="77" t="str">
        <f>排序表!E28</f>
        <v>秦皇岛港</v>
      </c>
      <c r="F30" s="78">
        <f>排序表!G28</f>
        <v>-18.399999999999977</v>
      </c>
      <c r="G30" s="76">
        <f>排序表!H28</f>
        <v>1.8000000000000682</v>
      </c>
      <c r="H30" s="79">
        <f>排序表!I28</f>
        <v>-3.1324480762682974E-2</v>
      </c>
      <c r="I30" s="78">
        <f>排序表!J28</f>
        <v>-43.499999999999979</v>
      </c>
      <c r="J30" s="79">
        <f>排序表!K28</f>
        <v>-7.7324480762682973E-2</v>
      </c>
      <c r="K30" s="79">
        <f>排序表!R28</f>
        <v>-3.4036759700484254E-4</v>
      </c>
      <c r="L30" s="79"/>
    </row>
    <row r="31" spans="2:17" ht="18" customHeight="1">
      <c r="B31" s="75" t="str">
        <f>排序表!A29</f>
        <v>焦炭</v>
      </c>
      <c r="C31" s="75">
        <f>排序表!C29</f>
        <v>1830</v>
      </c>
      <c r="D31" s="76">
        <f>排序表!D29</f>
        <v>0</v>
      </c>
      <c r="E31" s="77" t="str">
        <f>排序表!E29</f>
        <v>日照</v>
      </c>
      <c r="F31" s="75">
        <f>排序表!G29</f>
        <v>28.5</v>
      </c>
      <c r="G31" s="76">
        <f>排序表!H29</f>
        <v>30</v>
      </c>
      <c r="H31" s="80">
        <f>排序表!I29</f>
        <v>1.5820149875104082E-2</v>
      </c>
      <c r="I31" s="75">
        <f>排序表!J29</f>
        <v>-175.3</v>
      </c>
      <c r="J31" s="80">
        <f>排序表!K29</f>
        <v>-0.10917985012489592</v>
      </c>
      <c r="K31" s="80">
        <f>排序表!R29</f>
        <v>-2.0923913043478262E-2</v>
      </c>
      <c r="L31" s="75"/>
    </row>
    <row r="32" spans="2:17" ht="18" customHeight="1">
      <c r="B32" s="74" t="str">
        <f>排序表!A30</f>
        <v>铁矿石</v>
      </c>
      <c r="C32" s="75">
        <f>排序表!C30</f>
        <v>434.7</v>
      </c>
      <c r="D32" s="76">
        <f>排序表!D30</f>
        <v>0</v>
      </c>
      <c r="E32" s="77" t="str">
        <f>排序表!E30</f>
        <v>青岛港</v>
      </c>
      <c r="F32" s="78">
        <f>排序表!G30</f>
        <v>-14.800000000000011</v>
      </c>
      <c r="G32" s="76">
        <f>排序表!H30</f>
        <v>10</v>
      </c>
      <c r="H32" s="79">
        <f>排序表!I30</f>
        <v>-3.2925472747497242E-2</v>
      </c>
      <c r="I32" s="78">
        <f>排序表!J30</f>
        <v>-64.600000000000009</v>
      </c>
      <c r="J32" s="79">
        <f>排序表!K30</f>
        <v>-0.12792547274749724</v>
      </c>
      <c r="K32" s="79">
        <f>排序表!R30</f>
        <v>-2.4945770065075923E-2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219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43210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569</v>
      </c>
      <c r="D4" s="20">
        <f t="shared" si="1"/>
        <v>569</v>
      </c>
      <c r="F4" s="14" t="s">
        <v>3</v>
      </c>
      <c r="G4" s="34">
        <v>569</v>
      </c>
      <c r="H4" s="34">
        <v>569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434.7</v>
      </c>
      <c r="D5" s="20">
        <f t="shared" si="1"/>
        <v>434.7</v>
      </c>
      <c r="F5" s="14" t="s">
        <v>17</v>
      </c>
      <c r="G5" s="34">
        <v>434.7</v>
      </c>
      <c r="H5" s="34">
        <v>434.7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3948.5</v>
      </c>
      <c r="D6" s="20">
        <f t="shared" si="1"/>
        <v>3948.5</v>
      </c>
      <c r="F6" s="14" t="s">
        <v>11</v>
      </c>
      <c r="G6" s="34">
        <v>3948.5</v>
      </c>
      <c r="H6" s="34">
        <v>3948.5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4040</v>
      </c>
      <c r="D7" s="20">
        <f t="shared" si="1"/>
        <v>4040</v>
      </c>
      <c r="F7" s="14" t="s">
        <v>8</v>
      </c>
      <c r="G7" s="34">
        <v>4040</v>
      </c>
      <c r="H7" s="34">
        <v>4040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10515</v>
      </c>
      <c r="D8" s="20">
        <f t="shared" si="1"/>
        <v>10440</v>
      </c>
      <c r="F8" s="14" t="s">
        <v>32</v>
      </c>
      <c r="G8" s="34">
        <v>10515</v>
      </c>
      <c r="H8" s="34">
        <v>10440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6585</v>
      </c>
      <c r="D10" s="20">
        <f t="shared" si="1"/>
        <v>6585</v>
      </c>
      <c r="F10" s="14" t="s">
        <v>33</v>
      </c>
      <c r="G10" s="34">
        <v>6585</v>
      </c>
      <c r="H10" s="34">
        <v>6585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9355</v>
      </c>
      <c r="D11" s="20">
        <f t="shared" si="1"/>
        <v>9200</v>
      </c>
      <c r="F11" s="14" t="s">
        <v>18</v>
      </c>
      <c r="G11" s="34">
        <v>9355</v>
      </c>
      <c r="H11" s="34">
        <v>9200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8835</v>
      </c>
      <c r="D12" s="20">
        <f t="shared" si="1"/>
        <v>8671</v>
      </c>
      <c r="F12" s="14" t="s">
        <v>34</v>
      </c>
      <c r="G12" s="34">
        <v>8835</v>
      </c>
      <c r="H12" s="34">
        <v>8671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5598</v>
      </c>
      <c r="D13" s="20">
        <f t="shared" si="1"/>
        <v>5598</v>
      </c>
      <c r="F13" s="14" t="s">
        <v>12</v>
      </c>
      <c r="G13" s="34">
        <v>5598</v>
      </c>
      <c r="H13" s="34">
        <v>5598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3050</v>
      </c>
      <c r="D15" s="20">
        <f t="shared" si="1"/>
        <v>3050</v>
      </c>
      <c r="F15" s="14" t="s">
        <v>5</v>
      </c>
      <c r="G15" s="34">
        <v>2450</v>
      </c>
      <c r="H15" s="34">
        <v>2450</v>
      </c>
      <c r="I15" s="35" t="s">
        <v>221</v>
      </c>
      <c r="J15" s="35">
        <v>-600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3180</v>
      </c>
      <c r="F17" s="14" t="s">
        <v>10</v>
      </c>
      <c r="G17" s="34">
        <v>3180</v>
      </c>
      <c r="H17" s="34">
        <v>3180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2650</v>
      </c>
      <c r="D18" s="20">
        <f t="shared" si="1"/>
        <v>2650</v>
      </c>
      <c r="F18" s="14" t="s">
        <v>20</v>
      </c>
      <c r="G18" s="34">
        <v>2650</v>
      </c>
      <c r="H18" s="34">
        <v>2650</v>
      </c>
      <c r="I18" s="35" t="s">
        <v>216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1820</v>
      </c>
      <c r="D19" s="20">
        <f t="shared" si="1"/>
        <v>1820</v>
      </c>
      <c r="F19" s="14" t="s">
        <v>13</v>
      </c>
      <c r="G19" s="34">
        <v>1820</v>
      </c>
      <c r="H19" s="34">
        <v>1820</v>
      </c>
      <c r="I19" s="35" t="s">
        <v>222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5020</v>
      </c>
      <c r="D22" s="20">
        <f t="shared" si="1"/>
        <v>5020</v>
      </c>
      <c r="F22" s="14" t="s">
        <v>22</v>
      </c>
      <c r="G22" s="34">
        <v>5120</v>
      </c>
      <c r="H22" s="34">
        <v>5120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6610</v>
      </c>
      <c r="D23" s="20">
        <f t="shared" si="1"/>
        <v>6610</v>
      </c>
      <c r="F23" s="14" t="s">
        <v>15</v>
      </c>
      <c r="G23" s="34">
        <v>6370</v>
      </c>
      <c r="H23" s="34">
        <v>6370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5630</v>
      </c>
      <c r="D24" s="20">
        <f t="shared" si="1"/>
        <v>5630</v>
      </c>
      <c r="F24" s="14" t="s">
        <v>9</v>
      </c>
      <c r="G24" s="34">
        <v>5630</v>
      </c>
      <c r="H24" s="34">
        <v>5630</v>
      </c>
      <c r="I24" s="35" t="s">
        <v>207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15333</v>
      </c>
      <c r="D25" s="20">
        <f t="shared" si="1"/>
        <v>15333</v>
      </c>
      <c r="F25" s="14" t="s">
        <v>36</v>
      </c>
      <c r="G25" s="34">
        <v>15333</v>
      </c>
      <c r="H25" s="34">
        <v>15333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51870</v>
      </c>
      <c r="D27" s="20">
        <f t="shared" si="1"/>
        <v>51240</v>
      </c>
      <c r="F27" s="14" t="s">
        <v>37</v>
      </c>
      <c r="G27" s="34">
        <v>51870</v>
      </c>
      <c r="H27" s="34">
        <v>51240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15070</v>
      </c>
      <c r="D28" s="20">
        <f t="shared" si="1"/>
        <v>14750</v>
      </c>
      <c r="F28" s="14" t="s">
        <v>19</v>
      </c>
      <c r="G28" s="34">
        <v>15070</v>
      </c>
      <c r="H28" s="34">
        <v>14750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24850</v>
      </c>
      <c r="D29" s="20">
        <f t="shared" si="1"/>
        <v>24600</v>
      </c>
      <c r="F29" s="14" t="s">
        <v>38</v>
      </c>
      <c r="G29" s="34">
        <v>24850</v>
      </c>
      <c r="H29" s="34">
        <v>24600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106000</v>
      </c>
      <c r="D30" s="20">
        <f t="shared" si="1"/>
        <v>103350</v>
      </c>
      <c r="F30" s="14" t="s">
        <v>39</v>
      </c>
      <c r="G30" s="37">
        <v>106000</v>
      </c>
      <c r="H30" s="37">
        <v>103350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F37" sqref="F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1801.5</v>
      </c>
      <c r="K8" s="1">
        <v>1840</v>
      </c>
      <c r="L8" s="1">
        <v>1797</v>
      </c>
      <c r="N8" s="25">
        <v>1830</v>
      </c>
      <c r="O8">
        <v>28.5</v>
      </c>
      <c r="P8">
        <v>-10</v>
      </c>
      <c r="Q8">
        <v>33</v>
      </c>
      <c r="T8" s="28">
        <v>1.5820149875104082E-2</v>
      </c>
      <c r="U8" s="28">
        <v>-5.434782608695652E-3</v>
      </c>
      <c r="V8" s="28">
        <v>1.8363939899833055E-2</v>
      </c>
      <c r="W8">
        <f>IF(A8="","",RANK(AE8,$AE$8:$AE$99))</f>
        <v>28</v>
      </c>
      <c r="Z8">
        <v>0</v>
      </c>
      <c r="AA8">
        <v>30</v>
      </c>
      <c r="AD8">
        <f>O8-手动输入表!M2</f>
        <v>-175.3</v>
      </c>
      <c r="AE8" s="48">
        <f>T8-手动输入表!N2</f>
        <v>-0.10917985012489592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1216.5</v>
      </c>
      <c r="K9" s="1">
        <v>1130.5</v>
      </c>
      <c r="L9" s="1">
        <v>1097.5</v>
      </c>
      <c r="N9" s="25">
        <v>1300</v>
      </c>
      <c r="O9">
        <v>83.5</v>
      </c>
      <c r="P9">
        <v>169.5</v>
      </c>
      <c r="Q9">
        <v>202.5</v>
      </c>
      <c r="T9" s="28">
        <v>6.8639539662967528E-2</v>
      </c>
      <c r="U9" s="28">
        <v>0.14993365767359576</v>
      </c>
      <c r="V9" s="28">
        <v>0.18451025056947609</v>
      </c>
      <c r="W9">
        <f t="shared" ref="W9:W36" si="2">IF(A9="","",RANK(AE9,$AE$8:$AE$99))</f>
        <v>25</v>
      </c>
      <c r="Z9">
        <v>0</v>
      </c>
      <c r="AA9">
        <v>58.5</v>
      </c>
      <c r="AD9">
        <f>O9-手动输入表!M3</f>
        <v>-52.699999999999989</v>
      </c>
      <c r="AE9" s="48">
        <f>T9-手动输入表!N3</f>
        <v>-5.4360460337032471E-2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587.4</v>
      </c>
      <c r="K10" s="1">
        <v>587.6</v>
      </c>
      <c r="L10" s="1">
        <v>590.6</v>
      </c>
      <c r="N10" s="25">
        <v>569</v>
      </c>
      <c r="O10">
        <v>-18.399999999999977</v>
      </c>
      <c r="P10">
        <v>-18.600000000000023</v>
      </c>
      <c r="Q10">
        <v>-21.600000000000023</v>
      </c>
      <c r="T10" s="28">
        <v>-3.1324480762682974E-2</v>
      </c>
      <c r="U10" s="28">
        <v>-3.1654186521443195E-2</v>
      </c>
      <c r="V10" s="28">
        <v>-3.657297663393163E-2</v>
      </c>
      <c r="W10">
        <f t="shared" si="2"/>
        <v>27</v>
      </c>
      <c r="Z10">
        <v>0</v>
      </c>
      <c r="AA10">
        <v>1.8000000000000682</v>
      </c>
      <c r="AD10">
        <f>O10-手动输入表!M4</f>
        <v>-43.499999999999979</v>
      </c>
      <c r="AE10" s="48">
        <f>T10-手动输入表!N4</f>
        <v>-7.7324480762682973E-2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449.5</v>
      </c>
      <c r="K11" s="1">
        <v>461</v>
      </c>
      <c r="L11" s="1">
        <v>455</v>
      </c>
      <c r="N11" s="25">
        <v>434.7</v>
      </c>
      <c r="O11">
        <v>-14.800000000000011</v>
      </c>
      <c r="P11">
        <v>-26.300000000000011</v>
      </c>
      <c r="Q11">
        <v>-20.300000000000011</v>
      </c>
      <c r="T11" s="28">
        <v>-3.2925472747497242E-2</v>
      </c>
      <c r="U11" s="28">
        <v>-5.7049891540130175E-2</v>
      </c>
      <c r="V11" s="28">
        <v>-4.461538461538464E-2</v>
      </c>
      <c r="W11">
        <f t="shared" si="2"/>
        <v>29</v>
      </c>
      <c r="Z11">
        <v>0</v>
      </c>
      <c r="AA11">
        <v>10</v>
      </c>
      <c r="AD11">
        <f>O11-手动输入表!M5</f>
        <v>-64.600000000000009</v>
      </c>
      <c r="AE11" s="48">
        <f>T11-手动输入表!N5</f>
        <v>-0.12792547274749724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3731</v>
      </c>
      <c r="K12" s="1">
        <v>3454</v>
      </c>
      <c r="L12" s="1">
        <v>3321</v>
      </c>
      <c r="N12" s="25">
        <v>3948.5</v>
      </c>
      <c r="O12">
        <v>217.5</v>
      </c>
      <c r="P12">
        <v>494.5</v>
      </c>
      <c r="Q12">
        <v>627.5</v>
      </c>
      <c r="T12" s="28">
        <v>5.8295363173411954E-2</v>
      </c>
      <c r="U12" s="28">
        <v>0.1431673422119282</v>
      </c>
      <c r="V12" s="28">
        <v>0.18894911171333936</v>
      </c>
      <c r="W12">
        <f t="shared" si="2"/>
        <v>26</v>
      </c>
      <c r="Z12">
        <v>-20.5</v>
      </c>
      <c r="AA12">
        <v>27.5</v>
      </c>
      <c r="AD12">
        <f>O12-手动输入表!M6</f>
        <v>-184.60000000000002</v>
      </c>
      <c r="AE12" s="48">
        <f>T12-手动输入表!N6</f>
        <v>-6.3704636826588043E-2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3929</v>
      </c>
      <c r="K13" s="1">
        <v>3587</v>
      </c>
      <c r="L13" s="1">
        <v>3441</v>
      </c>
      <c r="N13" s="25">
        <v>4040</v>
      </c>
      <c r="O13">
        <v>111</v>
      </c>
      <c r="P13">
        <v>453</v>
      </c>
      <c r="Q13">
        <v>599</v>
      </c>
      <c r="T13" s="28">
        <v>2.8251463476711633E-2</v>
      </c>
      <c r="U13" s="28">
        <v>0.12628937831056594</v>
      </c>
      <c r="V13" s="28">
        <v>0.17407730310956118</v>
      </c>
      <c r="W13">
        <f t="shared" si="2"/>
        <v>21</v>
      </c>
      <c r="Z13">
        <v>0</v>
      </c>
      <c r="AA13">
        <v>10</v>
      </c>
      <c r="AD13">
        <f>O13-手动输入表!M7</f>
        <v>-103.80000000000001</v>
      </c>
      <c r="AE13" s="48">
        <f>T13-手动输入表!N7</f>
        <v>-3.2748536523288366E-2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11140</v>
      </c>
      <c r="K14" s="1">
        <v>11555</v>
      </c>
      <c r="L14" s="1">
        <v>13515</v>
      </c>
      <c r="N14" s="25">
        <v>10440</v>
      </c>
      <c r="O14">
        <v>-700</v>
      </c>
      <c r="P14">
        <v>-1115</v>
      </c>
      <c r="Q14">
        <v>-3075</v>
      </c>
      <c r="T14" s="28">
        <v>-6.283662477558348E-2</v>
      </c>
      <c r="U14" s="28">
        <v>-9.6495023799221119E-2</v>
      </c>
      <c r="V14" s="28">
        <v>-0.22752497225305215</v>
      </c>
      <c r="W14">
        <f t="shared" si="2"/>
        <v>2</v>
      </c>
      <c r="Z14">
        <v>-225</v>
      </c>
      <c r="AA14">
        <v>0</v>
      </c>
      <c r="AD14">
        <f>O14-手动输入表!M8</f>
        <v>1465.3000000000002</v>
      </c>
      <c r="AE14" s="48">
        <f>T14-手动输入表!N8</f>
        <v>7.316337522441653E-2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1413</v>
      </c>
      <c r="K15" s="1">
        <v>1373</v>
      </c>
      <c r="L15" s="1">
        <v>1319</v>
      </c>
      <c r="N15" s="25">
        <v>1460</v>
      </c>
      <c r="O15">
        <v>47</v>
      </c>
      <c r="P15">
        <v>87</v>
      </c>
      <c r="Q15">
        <v>141</v>
      </c>
      <c r="T15" s="28">
        <v>3.3262561924982309E-2</v>
      </c>
      <c r="U15" s="28">
        <v>6.3364894391842674E-2</v>
      </c>
      <c r="V15" s="28">
        <v>0.1068991660348749</v>
      </c>
      <c r="W15">
        <f t="shared" si="2"/>
        <v>4</v>
      </c>
      <c r="Z15">
        <v>0</v>
      </c>
      <c r="AA15">
        <v>16</v>
      </c>
      <c r="AD15">
        <f>O15-手动输入表!M9</f>
        <v>47</v>
      </c>
      <c r="AE15" s="48">
        <f>T15-手动输入表!N9</f>
        <v>3.3262561924982309E-2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6555</v>
      </c>
      <c r="K16" s="1">
        <v>6630</v>
      </c>
      <c r="L16" s="1">
        <v>6530</v>
      </c>
      <c r="N16" s="25">
        <v>6585</v>
      </c>
      <c r="O16">
        <v>30</v>
      </c>
      <c r="P16">
        <v>-45</v>
      </c>
      <c r="Q16">
        <v>55</v>
      </c>
      <c r="T16" s="28">
        <v>4.5766590389016018E-3</v>
      </c>
      <c r="U16" s="28">
        <v>-6.7873303167420816E-3</v>
      </c>
      <c r="V16" s="28">
        <v>8.4226646248085763E-3</v>
      </c>
      <c r="W16">
        <f t="shared" si="2"/>
        <v>9</v>
      </c>
      <c r="Z16">
        <v>0</v>
      </c>
      <c r="AA16">
        <v>75</v>
      </c>
      <c r="AD16">
        <f>O16-手动输入表!M10</f>
        <v>30</v>
      </c>
      <c r="AE16" s="48">
        <f>T16-手动输入表!N10</f>
        <v>4.5766590389016018E-3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9200</v>
      </c>
      <c r="K17" s="1">
        <v>9130</v>
      </c>
      <c r="L17" s="1">
        <v>9075</v>
      </c>
      <c r="N17" s="25">
        <v>9200</v>
      </c>
      <c r="O17">
        <v>0</v>
      </c>
      <c r="P17">
        <v>70</v>
      </c>
      <c r="Q17">
        <v>125</v>
      </c>
      <c r="T17" s="28">
        <v>0</v>
      </c>
      <c r="U17" s="28">
        <v>7.6670317634173054E-3</v>
      </c>
      <c r="V17" s="28">
        <v>1.3774104683195593E-2</v>
      </c>
      <c r="W17">
        <f t="shared" si="2"/>
        <v>7</v>
      </c>
      <c r="Z17">
        <v>-195</v>
      </c>
      <c r="AA17">
        <v>-35</v>
      </c>
      <c r="AD17">
        <f>O17-手动输入表!M11</f>
        <v>103.2</v>
      </c>
      <c r="AE17" s="48">
        <f>T17-手动输入表!N11</f>
        <v>0.01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8721</v>
      </c>
      <c r="K18" s="1">
        <v>8805</v>
      </c>
      <c r="L18" s="1">
        <v>8792</v>
      </c>
      <c r="N18" s="25">
        <v>8671</v>
      </c>
      <c r="O18">
        <v>-50</v>
      </c>
      <c r="P18">
        <v>-134</v>
      </c>
      <c r="Q18">
        <v>-121</v>
      </c>
      <c r="T18" s="28">
        <v>-5.7332874670335968E-3</v>
      </c>
      <c r="U18" s="28">
        <v>-1.521862578080636E-2</v>
      </c>
      <c r="V18" s="28">
        <v>-1.3762511373976343E-2</v>
      </c>
      <c r="W18">
        <f t="shared" si="2"/>
        <v>12</v>
      </c>
      <c r="Z18">
        <v>-184</v>
      </c>
      <c r="AA18">
        <v>0</v>
      </c>
      <c r="AD18">
        <f>O18-手动输入表!M12</f>
        <v>13.100000000000001</v>
      </c>
      <c r="AE18" s="48">
        <f>T18-手动输入表!N12</f>
        <v>1.2667125329664033E-3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5570</v>
      </c>
      <c r="K19" s="1">
        <v>5576</v>
      </c>
      <c r="L19" s="1">
        <v>5570</v>
      </c>
      <c r="N19" s="25">
        <v>5598</v>
      </c>
      <c r="O19">
        <v>28</v>
      </c>
      <c r="P19">
        <v>22</v>
      </c>
      <c r="Q19">
        <v>28</v>
      </c>
      <c r="T19" s="28">
        <v>5.0269299820466786E-3</v>
      </c>
      <c r="U19" s="28">
        <v>3.9454806312769009E-3</v>
      </c>
      <c r="V19" s="28">
        <v>5.0269299820466786E-3</v>
      </c>
      <c r="W19">
        <f t="shared" si="2"/>
        <v>5</v>
      </c>
      <c r="Z19">
        <v>-2</v>
      </c>
      <c r="AA19">
        <v>38</v>
      </c>
      <c r="AD19">
        <f>O19-手动输入表!M13</f>
        <v>115.1</v>
      </c>
      <c r="AE19" s="48">
        <f>T19-手动输入表!N13</f>
        <v>2.2026929982046681E-2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2832</v>
      </c>
      <c r="K20" s="1">
        <v>2900</v>
      </c>
      <c r="L20" s="1">
        <v>2974</v>
      </c>
      <c r="N20" s="25">
        <v>2760</v>
      </c>
      <c r="O20">
        <v>-72</v>
      </c>
      <c r="P20">
        <v>-140</v>
      </c>
      <c r="Q20">
        <v>-214</v>
      </c>
      <c r="T20" s="28">
        <v>-2.5423728813559324E-2</v>
      </c>
      <c r="U20" s="28">
        <v>-4.8275862068965517E-2</v>
      </c>
      <c r="V20" s="28">
        <v>-7.1956960322797581E-2</v>
      </c>
      <c r="W20">
        <f t="shared" si="2"/>
        <v>6</v>
      </c>
      <c r="Z20">
        <v>0</v>
      </c>
      <c r="AA20">
        <v>30</v>
      </c>
      <c r="AD20">
        <f>O20-手动输入表!M14</f>
        <v>26</v>
      </c>
      <c r="AE20" s="48">
        <f>T20-手动输入表!N14</f>
        <v>1.0576271186440674E-2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2825</v>
      </c>
      <c r="K21" s="1">
        <v>2643</v>
      </c>
      <c r="L21" s="1">
        <v>2689</v>
      </c>
      <c r="N21" s="25">
        <v>3050</v>
      </c>
      <c r="O21">
        <v>225</v>
      </c>
      <c r="P21">
        <v>407</v>
      </c>
      <c r="Q21">
        <v>361</v>
      </c>
      <c r="T21" s="28">
        <v>7.9646017699115043E-2</v>
      </c>
      <c r="U21" s="28">
        <v>0.15399167612561482</v>
      </c>
      <c r="V21" s="28">
        <v>0.13425065079955373</v>
      </c>
      <c r="W21">
        <f t="shared" si="2"/>
        <v>1</v>
      </c>
      <c r="Z21">
        <v>0</v>
      </c>
      <c r="AA21">
        <v>68</v>
      </c>
      <c r="AD21">
        <f>O21-手动输入表!M15</f>
        <v>258.39999999999998</v>
      </c>
      <c r="AE21" s="48">
        <f>T21-手动输入表!N15</f>
        <v>9.164601769911504E-2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3750</v>
      </c>
      <c r="K22" s="1">
        <v>3875</v>
      </c>
      <c r="L22" s="1">
        <v>3943</v>
      </c>
      <c r="N22" s="25">
        <v>3690</v>
      </c>
      <c r="O22">
        <v>-60</v>
      </c>
      <c r="P22">
        <v>-185</v>
      </c>
      <c r="Q22">
        <v>-253</v>
      </c>
      <c r="T22" s="28">
        <v>-1.6E-2</v>
      </c>
      <c r="U22" s="28">
        <v>-4.774193548387097E-2</v>
      </c>
      <c r="V22" s="28">
        <v>-6.4164341871671318E-2</v>
      </c>
      <c r="W22">
        <f t="shared" si="2"/>
        <v>18</v>
      </c>
      <c r="Z22">
        <v>0</v>
      </c>
      <c r="AA22">
        <v>-14</v>
      </c>
      <c r="AD22">
        <f>O22-手动输入表!M16</f>
        <v>-60</v>
      </c>
      <c r="AE22" s="48">
        <f>T22-手动输入表!N16</f>
        <v>-1.6E-2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3162</v>
      </c>
      <c r="K23" s="1">
        <v>3232</v>
      </c>
      <c r="L23" s="1">
        <v>3264</v>
      </c>
      <c r="N23" s="25">
        <v>3180</v>
      </c>
      <c r="O23">
        <v>18</v>
      </c>
      <c r="P23">
        <v>-52</v>
      </c>
      <c r="Q23">
        <v>-84</v>
      </c>
      <c r="T23" s="28">
        <v>5.6925996204933585E-3</v>
      </c>
      <c r="U23" s="28">
        <v>-1.608910891089109E-2</v>
      </c>
      <c r="V23" s="28">
        <v>-2.5735294117647058E-2</v>
      </c>
      <c r="W23">
        <f t="shared" si="2"/>
        <v>24</v>
      </c>
      <c r="Z23">
        <v>0</v>
      </c>
      <c r="AA23">
        <v>-8</v>
      </c>
      <c r="AD23">
        <f>O23-手动输入表!M17</f>
        <v>-125</v>
      </c>
      <c r="AE23" s="48">
        <f>T23-手动输入表!N17</f>
        <v>-4.0307400379506642E-2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2657</v>
      </c>
      <c r="K24" s="1">
        <v>2664</v>
      </c>
      <c r="L24" s="1">
        <v>2533</v>
      </c>
      <c r="N24" s="25">
        <v>2650</v>
      </c>
      <c r="O24">
        <v>-7</v>
      </c>
      <c r="P24">
        <v>-14</v>
      </c>
      <c r="Q24">
        <v>117</v>
      </c>
      <c r="T24" s="28">
        <v>-2.6345502446368085E-3</v>
      </c>
      <c r="U24" s="28">
        <v>-5.2552552552552556E-3</v>
      </c>
      <c r="V24" s="28">
        <v>4.6190288195815242E-2</v>
      </c>
      <c r="W24">
        <f t="shared" si="2"/>
        <v>23</v>
      </c>
      <c r="Z24">
        <v>0</v>
      </c>
      <c r="AA24">
        <v>-5</v>
      </c>
      <c r="AD24">
        <f>O24-手动输入表!M18</f>
        <v>-89</v>
      </c>
      <c r="AE24" s="48">
        <f>T24-手动输入表!N18</f>
        <v>-3.9634550244636808E-2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1782</v>
      </c>
      <c r="K25" s="1">
        <v>1742</v>
      </c>
      <c r="L25" s="1">
        <v>1777</v>
      </c>
      <c r="N25" s="25">
        <v>1820</v>
      </c>
      <c r="O25">
        <v>38</v>
      </c>
      <c r="P25">
        <v>78</v>
      </c>
      <c r="Q25">
        <v>43</v>
      </c>
      <c r="T25" s="28">
        <v>2.1324354657687991E-2</v>
      </c>
      <c r="U25" s="28">
        <v>4.4776119402985072E-2</v>
      </c>
      <c r="V25" s="28">
        <v>2.4198086662915026E-2</v>
      </c>
      <c r="W25">
        <f t="shared" si="2"/>
        <v>3</v>
      </c>
      <c r="Z25">
        <v>0</v>
      </c>
      <c r="AA25">
        <v>-13</v>
      </c>
      <c r="AD25">
        <f>O25-手动输入表!M19</f>
        <v>108</v>
      </c>
      <c r="AE25" s="48">
        <f>T25-手动输入表!N19</f>
        <v>6.2324354657687993E-2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2159</v>
      </c>
      <c r="K26" s="1">
        <v>2136</v>
      </c>
      <c r="L26" s="1">
        <v>2136</v>
      </c>
      <c r="N26" s="25">
        <v>2250</v>
      </c>
      <c r="O26">
        <v>91</v>
      </c>
      <c r="P26">
        <v>114</v>
      </c>
      <c r="Q26">
        <v>114</v>
      </c>
      <c r="T26" s="28">
        <v>4.2149143121815655E-2</v>
      </c>
      <c r="U26" s="28">
        <v>5.3370786516853931E-2</v>
      </c>
      <c r="V26" s="28">
        <v>5.3370786516853931E-2</v>
      </c>
      <c r="W26">
        <f t="shared" si="2"/>
        <v>19</v>
      </c>
      <c r="Z26">
        <v>0</v>
      </c>
      <c r="AA26">
        <v>-12</v>
      </c>
      <c r="AD26">
        <f>O26-手动输入表!M20</f>
        <v>90.6</v>
      </c>
      <c r="AE26" s="48">
        <f>T26-手动输入表!N20</f>
        <v>-2.2850856878184347E-2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5648</v>
      </c>
      <c r="K27" s="1">
        <v>5810</v>
      </c>
      <c r="L27" s="1">
        <v>5964</v>
      </c>
      <c r="N27" s="25">
        <v>5710</v>
      </c>
      <c r="O27">
        <v>62</v>
      </c>
      <c r="P27">
        <v>-100</v>
      </c>
      <c r="Q27">
        <v>-254</v>
      </c>
      <c r="T27" s="28">
        <v>1.0977337110481586E-2</v>
      </c>
      <c r="U27" s="28">
        <v>-1.7211703958691909E-2</v>
      </c>
      <c r="V27" s="28">
        <v>-4.2588866532528503E-2</v>
      </c>
      <c r="W27">
        <f t="shared" si="2"/>
        <v>20</v>
      </c>
      <c r="Z27">
        <v>0</v>
      </c>
      <c r="AA27">
        <v>4</v>
      </c>
      <c r="AD27">
        <f>O27-手动输入表!M21</f>
        <v>-220</v>
      </c>
      <c r="AE27" s="48">
        <f>T27-手动输入表!N21</f>
        <v>-2.9022662889518415E-2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5036</v>
      </c>
      <c r="K28" s="1">
        <v>5010</v>
      </c>
      <c r="L28" s="1">
        <v>5040</v>
      </c>
      <c r="N28" s="25">
        <v>5020</v>
      </c>
      <c r="O28">
        <v>-16</v>
      </c>
      <c r="P28">
        <v>10</v>
      </c>
      <c r="Q28">
        <v>-20</v>
      </c>
      <c r="T28" s="28">
        <v>-3.177124702144559E-3</v>
      </c>
      <c r="U28" s="28">
        <v>1.996007984031936E-3</v>
      </c>
      <c r="V28" s="28">
        <v>-3.968253968253968E-3</v>
      </c>
      <c r="W28">
        <f t="shared" si="2"/>
        <v>22</v>
      </c>
      <c r="Z28">
        <v>0</v>
      </c>
      <c r="AA28">
        <v>12</v>
      </c>
      <c r="AD28">
        <f>O28-手动输入表!M22</f>
        <v>-214</v>
      </c>
      <c r="AE28" s="48">
        <f>T28-手动输入表!N22</f>
        <v>-3.9177124702144558E-2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6306</v>
      </c>
      <c r="K29" s="1">
        <v>6548</v>
      </c>
      <c r="L29" s="1">
        <v>6698</v>
      </c>
      <c r="N29" s="25">
        <v>6610</v>
      </c>
      <c r="O29">
        <v>304</v>
      </c>
      <c r="P29">
        <v>62</v>
      </c>
      <c r="Q29">
        <v>-88</v>
      </c>
      <c r="T29" s="28">
        <v>4.8208055819854108E-2</v>
      </c>
      <c r="U29" s="28">
        <v>9.4685400122174711E-3</v>
      </c>
      <c r="V29" s="28">
        <v>-1.3138250223947446E-2</v>
      </c>
      <c r="W29">
        <f t="shared" si="2"/>
        <v>13</v>
      </c>
      <c r="Z29">
        <v>0</v>
      </c>
      <c r="AA29">
        <v>-16</v>
      </c>
      <c r="AD29">
        <f>O29-手动输入表!M23</f>
        <v>-113</v>
      </c>
      <c r="AE29" s="48">
        <f>T29-手动输入表!N23</f>
        <v>-1.7919441801458949E-3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5419</v>
      </c>
      <c r="K30" s="1">
        <v>5500</v>
      </c>
      <c r="L30" s="1">
        <v>5466</v>
      </c>
      <c r="N30" s="25">
        <v>5630</v>
      </c>
      <c r="O30">
        <v>211</v>
      </c>
      <c r="P30">
        <v>130</v>
      </c>
      <c r="Q30">
        <v>164</v>
      </c>
      <c r="T30" s="28">
        <v>3.8937073260749216E-2</v>
      </c>
      <c r="U30" s="28">
        <v>2.3636363636363636E-2</v>
      </c>
      <c r="V30" s="28">
        <v>3.0003658982802779E-2</v>
      </c>
      <c r="W30">
        <f t="shared" si="2"/>
        <v>10</v>
      </c>
      <c r="Z30">
        <v>0</v>
      </c>
      <c r="AA30">
        <v>-33</v>
      </c>
      <c r="AD30">
        <f>O30-手动输入表!M24</f>
        <v>-8</v>
      </c>
      <c r="AE30" s="48">
        <f>T30-手动输入表!N24</f>
        <v>2.9370732607492192E-3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14845</v>
      </c>
      <c r="K31" s="1">
        <v>15360</v>
      </c>
      <c r="L31" s="1">
        <v>15910</v>
      </c>
      <c r="N31" s="25">
        <v>15333</v>
      </c>
      <c r="O31">
        <v>488</v>
      </c>
      <c r="P31">
        <v>-27</v>
      </c>
      <c r="Q31">
        <v>-577</v>
      </c>
      <c r="T31" s="28">
        <v>3.2873021219265747E-2</v>
      </c>
      <c r="U31" s="28">
        <v>-1.7578125E-3</v>
      </c>
      <c r="V31" s="28">
        <v>-3.6266499057196734E-2</v>
      </c>
      <c r="W31">
        <f t="shared" si="2"/>
        <v>15</v>
      </c>
      <c r="Z31">
        <v>0</v>
      </c>
      <c r="AA31">
        <v>25</v>
      </c>
      <c r="AD31">
        <f>O31-手动输入表!M25</f>
        <v>-52</v>
      </c>
      <c r="AE31" s="48">
        <f>T31-手动输入表!N25</f>
        <v>-3.1269787807342506E-3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23115</v>
      </c>
      <c r="K32" s="1">
        <v>23495</v>
      </c>
      <c r="L32" s="1">
        <v>22985</v>
      </c>
      <c r="N32" s="25">
        <v>23150</v>
      </c>
      <c r="O32">
        <v>35</v>
      </c>
      <c r="P32">
        <v>-345</v>
      </c>
      <c r="Q32">
        <v>165</v>
      </c>
      <c r="T32" s="28">
        <v>1.5141682889898333E-3</v>
      </c>
      <c r="U32" s="28">
        <v>-1.4683975313896574E-2</v>
      </c>
      <c r="V32" s="28">
        <v>7.1785947356971941E-3</v>
      </c>
      <c r="W32">
        <f t="shared" si="2"/>
        <v>11</v>
      </c>
      <c r="Z32">
        <v>0</v>
      </c>
      <c r="AA32">
        <v>0</v>
      </c>
      <c r="AD32">
        <f>O32-手动输入表!M26</f>
        <v>35</v>
      </c>
      <c r="AE32" s="48">
        <f>T32-手动输入表!N26</f>
        <v>1.5141682889898333E-3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51400</v>
      </c>
      <c r="K33" s="1">
        <v>51570</v>
      </c>
      <c r="L33" s="1">
        <v>51740</v>
      </c>
      <c r="N33" s="25">
        <v>51240</v>
      </c>
      <c r="O33">
        <v>-160</v>
      </c>
      <c r="P33">
        <v>-330</v>
      </c>
      <c r="Q33">
        <v>-500</v>
      </c>
      <c r="T33" s="28">
        <v>-3.1128404669260703E-3</v>
      </c>
      <c r="U33" s="28">
        <v>-6.3990692262943568E-3</v>
      </c>
      <c r="V33" s="28">
        <v>-9.6637031310398136E-3</v>
      </c>
      <c r="W33">
        <f t="shared" si="2"/>
        <v>14</v>
      </c>
      <c r="Z33">
        <v>-590</v>
      </c>
      <c r="AA33">
        <v>-50</v>
      </c>
      <c r="AD33">
        <f>O33-手动输入表!M27</f>
        <v>-160</v>
      </c>
      <c r="AE33" s="48">
        <f>T33-手动输入表!N27</f>
        <v>-3.1128404669260703E-3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14955</v>
      </c>
      <c r="K34" s="1">
        <v>15035</v>
      </c>
      <c r="L34" s="1">
        <v>15120</v>
      </c>
      <c r="N34" s="25">
        <v>14750</v>
      </c>
      <c r="O34">
        <v>-205</v>
      </c>
      <c r="P34">
        <v>-285</v>
      </c>
      <c r="Q34">
        <v>-370</v>
      </c>
      <c r="T34" s="28">
        <v>-1.3707790036776997E-2</v>
      </c>
      <c r="U34" s="28">
        <v>-1.8955769870302626E-2</v>
      </c>
      <c r="V34" s="28">
        <v>-2.447089947089947E-2</v>
      </c>
      <c r="W34">
        <f t="shared" si="2"/>
        <v>17</v>
      </c>
      <c r="Z34">
        <v>-320</v>
      </c>
      <c r="AA34">
        <v>105</v>
      </c>
      <c r="AD34">
        <f>O34-手动输入表!M28</f>
        <v>-205</v>
      </c>
      <c r="AE34" s="48">
        <f>T34-手动输入表!N28</f>
        <v>-1.3707790036776997E-2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24395</v>
      </c>
      <c r="K35" s="1">
        <v>24260</v>
      </c>
      <c r="L35" s="1">
        <v>24160</v>
      </c>
      <c r="N35" s="25">
        <v>24600</v>
      </c>
      <c r="O35">
        <v>205</v>
      </c>
      <c r="P35">
        <v>340</v>
      </c>
      <c r="Q35">
        <v>440</v>
      </c>
      <c r="T35" s="28">
        <v>8.4033613445378148E-3</v>
      </c>
      <c r="U35" s="28">
        <v>1.4014839241549877E-2</v>
      </c>
      <c r="V35" s="28">
        <v>1.8211920529801324E-2</v>
      </c>
      <c r="W35">
        <f t="shared" si="2"/>
        <v>8</v>
      </c>
      <c r="Z35">
        <v>-150</v>
      </c>
      <c r="AA35">
        <v>-15</v>
      </c>
      <c r="AD35">
        <f>O35-手动输入表!M29</f>
        <v>205</v>
      </c>
      <c r="AE35" s="48">
        <f>T35-手动输入表!N29</f>
        <v>8.4033613445378148E-3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NI1809.SHF</v>
      </c>
      <c r="G36" s="83" t="str">
        <f t="shared" si="7"/>
        <v>NI1901.SHF</v>
      </c>
      <c r="H36" s="1">
        <v>0</v>
      </c>
      <c r="J36" s="1">
        <v>104260</v>
      </c>
      <c r="K36" s="1">
        <v>104620</v>
      </c>
      <c r="L36" s="1">
        <v>105530</v>
      </c>
      <c r="N36" s="25">
        <v>103350</v>
      </c>
      <c r="O36">
        <v>-910</v>
      </c>
      <c r="P36">
        <v>-1270</v>
      </c>
      <c r="Q36">
        <v>-2180</v>
      </c>
      <c r="T36" s="28">
        <v>-8.7281795511221939E-3</v>
      </c>
      <c r="U36" s="28">
        <v>-1.2139170330720704E-2</v>
      </c>
      <c r="V36" s="28">
        <v>-2.0657632900596988E-2</v>
      </c>
      <c r="W36">
        <f t="shared" si="2"/>
        <v>16</v>
      </c>
      <c r="Z36">
        <v>-2450</v>
      </c>
      <c r="AA36">
        <v>1410</v>
      </c>
      <c r="AD36">
        <f>O36-手动输入表!M30</f>
        <v>-910</v>
      </c>
      <c r="AE36" s="48">
        <f>T36-手动输入表!N30</f>
        <v>-8.7281795511221939E-3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H33"/>
  <sheetViews>
    <sheetView workbookViewId="0">
      <selection activeCell="A31" sqref="A31:D33"/>
    </sheetView>
  </sheetViews>
  <sheetFormatPr defaultRowHeight="13.5"/>
  <cols>
    <col min="48" max="48" width="10.375" customWidth="1"/>
    <col min="49" max="49" width="11" customWidth="1"/>
    <col min="50" max="50" width="9.75" customWidth="1"/>
    <col min="51" max="51" width="12.375" customWidth="1"/>
    <col min="52" max="60" width="10.5" bestFit="1" customWidth="1"/>
  </cols>
  <sheetData>
    <row r="1" spans="1:60">
      <c r="A1" t="s">
        <v>0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43132</v>
      </c>
      <c r="AT1" s="11">
        <v>43131</v>
      </c>
      <c r="AU1" s="11">
        <v>43130</v>
      </c>
      <c r="AV1" s="11">
        <v>43129</v>
      </c>
      <c r="AW1" s="11">
        <v>43126</v>
      </c>
      <c r="AX1" s="11">
        <v>43125</v>
      </c>
      <c r="AY1" s="11"/>
      <c r="AZ1" s="11"/>
      <c r="BA1" s="11"/>
      <c r="BB1" s="11"/>
      <c r="BC1" s="11"/>
      <c r="BD1" s="11"/>
      <c r="BE1" s="11"/>
      <c r="BF1" s="11"/>
      <c r="BG1" s="11"/>
      <c r="BH1" s="11"/>
    </row>
    <row r="2" spans="1:60">
      <c r="A2" t="s">
        <v>4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1880</v>
      </c>
      <c r="P2">
        <v>1900</v>
      </c>
      <c r="Q2">
        <v>1950</v>
      </c>
      <c r="R2">
        <v>1950</v>
      </c>
      <c r="S2">
        <v>1950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2100</v>
      </c>
      <c r="AA2">
        <v>2100</v>
      </c>
      <c r="AB2">
        <v>2100</v>
      </c>
      <c r="AC2">
        <v>2100</v>
      </c>
      <c r="AD2">
        <v>2100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2050</v>
      </c>
      <c r="AU2">
        <v>2050</v>
      </c>
      <c r="AV2">
        <v>2050</v>
      </c>
      <c r="AW2">
        <v>2050</v>
      </c>
      <c r="AX2">
        <v>2050</v>
      </c>
      <c r="AY2" s="25"/>
    </row>
    <row r="3" spans="1:60">
      <c r="A3" t="s">
        <v>6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1320</v>
      </c>
      <c r="AT3">
        <v>1300</v>
      </c>
      <c r="AU3">
        <v>1300</v>
      </c>
      <c r="AV3">
        <v>1360</v>
      </c>
      <c r="AW3">
        <v>1360</v>
      </c>
      <c r="AX3">
        <v>1360</v>
      </c>
      <c r="AY3" s="25"/>
    </row>
    <row r="4" spans="1:60">
      <c r="A4" t="s">
        <v>3</v>
      </c>
      <c r="B4">
        <v>569</v>
      </c>
      <c r="C4">
        <v>569</v>
      </c>
      <c r="D4">
        <v>569</v>
      </c>
      <c r="E4">
        <v>570</v>
      </c>
      <c r="F4">
        <v>570</v>
      </c>
      <c r="G4">
        <v>575</v>
      </c>
      <c r="H4">
        <v>577</v>
      </c>
      <c r="I4">
        <v>580</v>
      </c>
      <c r="J4">
        <v>584</v>
      </c>
      <c r="K4">
        <v>596</v>
      </c>
      <c r="L4">
        <v>599</v>
      </c>
      <c r="M4">
        <v>602</v>
      </c>
      <c r="N4">
        <v>612</v>
      </c>
      <c r="O4">
        <v>614</v>
      </c>
      <c r="P4">
        <v>619</v>
      </c>
      <c r="Q4">
        <v>623</v>
      </c>
      <c r="R4">
        <v>628</v>
      </c>
      <c r="S4">
        <v>632</v>
      </c>
      <c r="T4">
        <v>635</v>
      </c>
      <c r="U4">
        <v>639</v>
      </c>
      <c r="V4">
        <v>641</v>
      </c>
      <c r="W4">
        <v>641</v>
      </c>
      <c r="X4">
        <v>642</v>
      </c>
      <c r="Y4">
        <v>643</v>
      </c>
      <c r="Z4">
        <v>644</v>
      </c>
      <c r="AA4">
        <v>647</v>
      </c>
      <c r="AB4">
        <v>650</v>
      </c>
      <c r="AC4">
        <v>650</v>
      </c>
      <c r="AD4">
        <v>653</v>
      </c>
      <c r="AE4">
        <v>663</v>
      </c>
      <c r="AF4">
        <v>672</v>
      </c>
      <c r="AG4">
        <v>678</v>
      </c>
      <c r="AH4">
        <v>686</v>
      </c>
      <c r="AI4">
        <v>689</v>
      </c>
      <c r="AJ4">
        <v>700</v>
      </c>
      <c r="AK4">
        <v>708</v>
      </c>
      <c r="AL4">
        <v>722</v>
      </c>
      <c r="AM4">
        <v>728</v>
      </c>
      <c r="AN4">
        <v>735</v>
      </c>
      <c r="AO4">
        <v>746</v>
      </c>
      <c r="AP4">
        <v>746</v>
      </c>
      <c r="AQ4">
        <v>746</v>
      </c>
      <c r="AR4">
        <v>750</v>
      </c>
      <c r="AS4">
        <v>764</v>
      </c>
      <c r="AT4">
        <v>760</v>
      </c>
      <c r="AU4">
        <v>759</v>
      </c>
      <c r="AV4">
        <v>751</v>
      </c>
      <c r="AW4">
        <v>750</v>
      </c>
      <c r="AX4">
        <v>745</v>
      </c>
      <c r="AY4" s="25"/>
    </row>
    <row r="5" spans="1:60">
      <c r="A5" t="s">
        <v>17</v>
      </c>
      <c r="B5">
        <v>434.7</v>
      </c>
      <c r="C5">
        <v>434.7</v>
      </c>
      <c r="D5">
        <v>433.6</v>
      </c>
      <c r="E5">
        <v>442.2</v>
      </c>
      <c r="F5">
        <v>442.2</v>
      </c>
      <c r="G5">
        <v>442.2</v>
      </c>
      <c r="H5">
        <v>446.5</v>
      </c>
      <c r="I5">
        <v>446.5</v>
      </c>
      <c r="J5">
        <v>446.5</v>
      </c>
      <c r="K5">
        <v>448.7</v>
      </c>
      <c r="L5">
        <v>451.9</v>
      </c>
      <c r="M5">
        <v>459.4</v>
      </c>
      <c r="N5">
        <v>459.4</v>
      </c>
      <c r="O5">
        <v>455</v>
      </c>
      <c r="P5">
        <v>455</v>
      </c>
      <c r="Q5">
        <v>457.3</v>
      </c>
      <c r="R5">
        <v>454</v>
      </c>
      <c r="S5">
        <v>459.4</v>
      </c>
      <c r="T5">
        <v>480.9</v>
      </c>
      <c r="U5">
        <v>480.9</v>
      </c>
      <c r="V5">
        <v>480.9</v>
      </c>
      <c r="W5">
        <v>486.3</v>
      </c>
      <c r="X5">
        <v>505.6</v>
      </c>
      <c r="Y5">
        <v>508.3</v>
      </c>
      <c r="Z5">
        <v>508.3</v>
      </c>
      <c r="AA5">
        <v>500.3</v>
      </c>
      <c r="AB5">
        <v>500.3</v>
      </c>
      <c r="AC5">
        <v>508.9</v>
      </c>
      <c r="AD5">
        <v>530.5</v>
      </c>
      <c r="AE5">
        <v>546.5</v>
      </c>
      <c r="AF5">
        <v>546.5</v>
      </c>
      <c r="AG5">
        <v>560.5</v>
      </c>
      <c r="AH5">
        <v>560.5</v>
      </c>
      <c r="AI5">
        <v>568</v>
      </c>
      <c r="AJ5">
        <v>566</v>
      </c>
      <c r="AK5">
        <v>569.1</v>
      </c>
      <c r="AL5">
        <v>571.20000000000005</v>
      </c>
      <c r="AM5">
        <v>565.9</v>
      </c>
      <c r="AN5">
        <v>558.29999999999995</v>
      </c>
      <c r="AO5">
        <v>549.70000000000005</v>
      </c>
      <c r="AP5">
        <v>549.70000000000005</v>
      </c>
      <c r="AQ5">
        <v>549.70000000000005</v>
      </c>
      <c r="AR5">
        <v>545.4</v>
      </c>
      <c r="AS5">
        <v>534.70000000000005</v>
      </c>
      <c r="AT5">
        <v>537.9</v>
      </c>
      <c r="AU5">
        <v>537.9</v>
      </c>
      <c r="AV5">
        <v>534.70000000000005</v>
      </c>
      <c r="AW5">
        <v>541.1</v>
      </c>
      <c r="AX5">
        <v>535.79999999999995</v>
      </c>
      <c r="AY5" s="25"/>
    </row>
    <row r="6" spans="1:60">
      <c r="A6" t="s">
        <v>11</v>
      </c>
      <c r="B6">
        <v>3948.5</v>
      </c>
      <c r="C6">
        <v>3969</v>
      </c>
      <c r="D6">
        <v>3886.6</v>
      </c>
      <c r="E6">
        <v>3845</v>
      </c>
      <c r="F6">
        <v>3845</v>
      </c>
      <c r="G6">
        <v>3835</v>
      </c>
      <c r="H6">
        <v>3845</v>
      </c>
      <c r="I6">
        <v>3855</v>
      </c>
      <c r="J6">
        <v>3835</v>
      </c>
      <c r="K6">
        <v>3783.5</v>
      </c>
      <c r="L6">
        <v>3804</v>
      </c>
      <c r="M6">
        <v>3845</v>
      </c>
      <c r="N6">
        <v>3845</v>
      </c>
      <c r="O6">
        <v>3721</v>
      </c>
      <c r="P6">
        <v>3670</v>
      </c>
      <c r="Q6">
        <v>3670</v>
      </c>
      <c r="R6">
        <v>3670</v>
      </c>
      <c r="S6">
        <v>3618.5</v>
      </c>
      <c r="T6">
        <v>3660</v>
      </c>
      <c r="U6">
        <v>3866</v>
      </c>
      <c r="V6">
        <v>3886.6</v>
      </c>
      <c r="W6">
        <v>3886.6</v>
      </c>
      <c r="X6">
        <v>3948</v>
      </c>
      <c r="Y6">
        <v>3980</v>
      </c>
      <c r="Z6">
        <v>3980</v>
      </c>
      <c r="AA6">
        <v>3980</v>
      </c>
      <c r="AB6">
        <v>4000</v>
      </c>
      <c r="AC6">
        <v>4000</v>
      </c>
      <c r="AD6">
        <v>3980</v>
      </c>
      <c r="AE6">
        <v>4082</v>
      </c>
      <c r="AF6">
        <v>4124</v>
      </c>
      <c r="AG6">
        <v>4154</v>
      </c>
      <c r="AH6">
        <v>4206</v>
      </c>
      <c r="AI6">
        <v>4226</v>
      </c>
      <c r="AJ6">
        <v>4226</v>
      </c>
      <c r="AK6">
        <v>4226</v>
      </c>
      <c r="AL6">
        <v>4226</v>
      </c>
      <c r="AM6">
        <v>4216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4020</v>
      </c>
      <c r="AV6">
        <v>4020</v>
      </c>
      <c r="AW6">
        <v>4020</v>
      </c>
      <c r="AX6">
        <v>4020</v>
      </c>
      <c r="AY6" s="25"/>
    </row>
    <row r="7" spans="1:60">
      <c r="A7" t="s">
        <v>8</v>
      </c>
      <c r="B7">
        <v>4040</v>
      </c>
      <c r="C7">
        <v>4040</v>
      </c>
      <c r="D7">
        <v>3990</v>
      </c>
      <c r="E7">
        <v>3950</v>
      </c>
      <c r="F7">
        <v>3950</v>
      </c>
      <c r="G7">
        <v>3880</v>
      </c>
      <c r="H7">
        <v>3890</v>
      </c>
      <c r="I7">
        <v>3920</v>
      </c>
      <c r="J7">
        <v>3880</v>
      </c>
      <c r="K7">
        <v>3830</v>
      </c>
      <c r="L7">
        <v>3810</v>
      </c>
      <c r="M7">
        <v>3840</v>
      </c>
      <c r="N7">
        <v>3840</v>
      </c>
      <c r="O7">
        <v>3780</v>
      </c>
      <c r="P7">
        <v>3780</v>
      </c>
      <c r="Q7">
        <v>3800</v>
      </c>
      <c r="R7">
        <v>3750</v>
      </c>
      <c r="S7">
        <v>3770</v>
      </c>
      <c r="T7">
        <v>3770</v>
      </c>
      <c r="U7">
        <v>3900</v>
      </c>
      <c r="V7">
        <v>3900</v>
      </c>
      <c r="W7">
        <v>3960</v>
      </c>
      <c r="X7">
        <v>3970</v>
      </c>
      <c r="Y7">
        <v>3970</v>
      </c>
      <c r="Z7">
        <v>3950</v>
      </c>
      <c r="AA7">
        <v>3950</v>
      </c>
      <c r="AB7">
        <v>3920</v>
      </c>
      <c r="AC7">
        <v>3920</v>
      </c>
      <c r="AD7">
        <v>3920</v>
      </c>
      <c r="AE7">
        <v>3970</v>
      </c>
      <c r="AF7">
        <v>4090</v>
      </c>
      <c r="AG7">
        <v>4100</v>
      </c>
      <c r="AH7">
        <v>4120</v>
      </c>
      <c r="AI7">
        <v>4140</v>
      </c>
      <c r="AJ7">
        <v>4160</v>
      </c>
      <c r="AK7">
        <v>4170</v>
      </c>
      <c r="AL7">
        <v>4180</v>
      </c>
      <c r="AM7">
        <v>4180</v>
      </c>
      <c r="AN7">
        <v>4130</v>
      </c>
      <c r="AO7">
        <v>4070</v>
      </c>
      <c r="AP7">
        <v>4070</v>
      </c>
      <c r="AQ7">
        <v>4070</v>
      </c>
      <c r="AR7">
        <v>4070</v>
      </c>
      <c r="AS7">
        <v>4080</v>
      </c>
      <c r="AT7">
        <v>4090</v>
      </c>
      <c r="AU7">
        <v>4090</v>
      </c>
      <c r="AV7">
        <v>4120</v>
      </c>
      <c r="AW7">
        <v>4120</v>
      </c>
      <c r="AX7">
        <v>4120</v>
      </c>
      <c r="AY7" s="25"/>
    </row>
    <row r="8" spans="1:60">
      <c r="A8" t="s">
        <v>32</v>
      </c>
      <c r="B8">
        <v>10440</v>
      </c>
      <c r="C8">
        <v>10665</v>
      </c>
      <c r="D8">
        <v>10100</v>
      </c>
      <c r="E8">
        <v>9990</v>
      </c>
      <c r="F8">
        <v>9910</v>
      </c>
      <c r="G8">
        <v>10315</v>
      </c>
      <c r="H8">
        <v>10285</v>
      </c>
      <c r="I8">
        <v>10285</v>
      </c>
      <c r="J8">
        <v>10385</v>
      </c>
      <c r="K8">
        <v>10270</v>
      </c>
      <c r="L8">
        <v>10160</v>
      </c>
      <c r="M8">
        <v>10270</v>
      </c>
      <c r="N8">
        <v>10440</v>
      </c>
      <c r="O8">
        <v>10490</v>
      </c>
      <c r="P8">
        <v>10400</v>
      </c>
      <c r="Q8">
        <v>10305</v>
      </c>
      <c r="R8">
        <v>10400</v>
      </c>
      <c r="S8">
        <v>10220</v>
      </c>
      <c r="T8">
        <v>10500</v>
      </c>
      <c r="U8">
        <v>11280</v>
      </c>
      <c r="V8">
        <v>11315</v>
      </c>
      <c r="W8">
        <v>11390</v>
      </c>
      <c r="X8">
        <v>11660</v>
      </c>
      <c r="Y8">
        <v>11720</v>
      </c>
      <c r="Z8">
        <v>11940</v>
      </c>
      <c r="AA8">
        <v>11925</v>
      </c>
      <c r="AB8">
        <v>11845</v>
      </c>
      <c r="AC8">
        <v>11845</v>
      </c>
      <c r="AD8">
        <v>11770</v>
      </c>
      <c r="AE8">
        <v>12110</v>
      </c>
      <c r="AF8">
        <v>12065</v>
      </c>
      <c r="AG8">
        <v>12130</v>
      </c>
      <c r="AH8">
        <v>12255</v>
      </c>
      <c r="AI8">
        <v>12160</v>
      </c>
      <c r="AJ8">
        <v>12210</v>
      </c>
      <c r="AK8">
        <v>12230</v>
      </c>
      <c r="AL8">
        <v>11985</v>
      </c>
      <c r="AM8">
        <v>12025</v>
      </c>
      <c r="AN8">
        <v>11950</v>
      </c>
      <c r="AO8">
        <v>11500</v>
      </c>
      <c r="AP8">
        <v>11540</v>
      </c>
      <c r="AQ8">
        <v>11540</v>
      </c>
      <c r="AR8">
        <v>11520</v>
      </c>
      <c r="AS8">
        <v>11545</v>
      </c>
      <c r="AT8">
        <v>11620</v>
      </c>
      <c r="AU8">
        <v>11695</v>
      </c>
      <c r="AV8">
        <v>11970</v>
      </c>
      <c r="AW8">
        <v>11970</v>
      </c>
      <c r="AX8">
        <v>11855</v>
      </c>
      <c r="AY8" s="25"/>
    </row>
    <row r="9" spans="1:60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1520</v>
      </c>
      <c r="Y9">
        <v>1520</v>
      </c>
      <c r="Z9">
        <v>1520</v>
      </c>
      <c r="AA9">
        <v>1520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 s="25"/>
    </row>
    <row r="10" spans="1:60">
      <c r="A10" t="s">
        <v>33</v>
      </c>
      <c r="B10">
        <v>6585</v>
      </c>
      <c r="C10">
        <v>6585</v>
      </c>
      <c r="D10">
        <v>6575</v>
      </c>
      <c r="E10">
        <v>6555</v>
      </c>
      <c r="F10">
        <v>6555</v>
      </c>
      <c r="G10">
        <v>6530</v>
      </c>
      <c r="H10">
        <v>6505</v>
      </c>
      <c r="I10">
        <v>6540</v>
      </c>
      <c r="J10">
        <v>6575</v>
      </c>
      <c r="K10">
        <v>6495</v>
      </c>
      <c r="L10">
        <v>6415</v>
      </c>
      <c r="M10">
        <v>6405</v>
      </c>
      <c r="N10">
        <v>6415</v>
      </c>
      <c r="O10">
        <v>6315</v>
      </c>
      <c r="P10">
        <v>6275</v>
      </c>
      <c r="Q10">
        <v>6320</v>
      </c>
      <c r="R10">
        <v>6285</v>
      </c>
      <c r="S10">
        <v>6260</v>
      </c>
      <c r="T10">
        <v>6250</v>
      </c>
      <c r="U10">
        <v>6290</v>
      </c>
      <c r="V10">
        <v>6205</v>
      </c>
      <c r="W10">
        <v>6160</v>
      </c>
      <c r="X10">
        <v>6250</v>
      </c>
      <c r="Y10">
        <v>6250</v>
      </c>
      <c r="Z10">
        <v>6250</v>
      </c>
      <c r="AA10">
        <v>6275</v>
      </c>
      <c r="AB10">
        <v>6250</v>
      </c>
      <c r="AC10">
        <v>6300</v>
      </c>
      <c r="AD10">
        <v>6370</v>
      </c>
      <c r="AE10">
        <v>6540</v>
      </c>
      <c r="AF10">
        <v>6580</v>
      </c>
      <c r="AG10">
        <v>6580</v>
      </c>
      <c r="AH10">
        <v>6665</v>
      </c>
      <c r="AI10">
        <v>6690</v>
      </c>
      <c r="AJ10">
        <v>6690</v>
      </c>
      <c r="AK10">
        <v>6600</v>
      </c>
      <c r="AL10">
        <v>6600</v>
      </c>
      <c r="AM10">
        <v>6600</v>
      </c>
      <c r="AN10">
        <v>6640</v>
      </c>
      <c r="AO10">
        <v>6470</v>
      </c>
      <c r="AP10">
        <v>6470</v>
      </c>
      <c r="AQ10">
        <v>6555</v>
      </c>
      <c r="AR10">
        <v>6650</v>
      </c>
      <c r="AS10">
        <v>6730</v>
      </c>
      <c r="AT10">
        <v>6715</v>
      </c>
      <c r="AU10">
        <v>6735</v>
      </c>
      <c r="AV10">
        <v>6760</v>
      </c>
      <c r="AW10">
        <v>6665</v>
      </c>
      <c r="AX10">
        <v>6715</v>
      </c>
      <c r="AY10" s="25"/>
    </row>
    <row r="11" spans="1:60">
      <c r="A11" t="s">
        <v>18</v>
      </c>
      <c r="B11">
        <v>9200</v>
      </c>
      <c r="C11">
        <v>9395</v>
      </c>
      <c r="D11">
        <v>9335</v>
      </c>
      <c r="E11">
        <v>9240</v>
      </c>
      <c r="F11">
        <v>9260</v>
      </c>
      <c r="G11">
        <v>9355</v>
      </c>
      <c r="H11">
        <v>9365</v>
      </c>
      <c r="I11">
        <v>9390</v>
      </c>
      <c r="J11">
        <v>9365</v>
      </c>
      <c r="K11">
        <v>9265</v>
      </c>
      <c r="L11">
        <v>9115</v>
      </c>
      <c r="M11">
        <v>9185</v>
      </c>
      <c r="N11">
        <v>9255</v>
      </c>
      <c r="O11">
        <v>9185</v>
      </c>
      <c r="P11">
        <v>9180</v>
      </c>
      <c r="Q11">
        <v>9090</v>
      </c>
      <c r="R11">
        <v>9100</v>
      </c>
      <c r="S11">
        <v>8935</v>
      </c>
      <c r="T11">
        <v>9085</v>
      </c>
      <c r="U11">
        <v>9170</v>
      </c>
      <c r="V11">
        <v>9175</v>
      </c>
      <c r="W11">
        <v>9215</v>
      </c>
      <c r="X11">
        <v>9245</v>
      </c>
      <c r="Y11">
        <v>9135</v>
      </c>
      <c r="Z11">
        <v>9185</v>
      </c>
      <c r="AA11">
        <v>9250</v>
      </c>
      <c r="AB11">
        <v>9110</v>
      </c>
      <c r="AC11">
        <v>9045</v>
      </c>
      <c r="AD11">
        <v>9205</v>
      </c>
      <c r="AE11">
        <v>9205</v>
      </c>
      <c r="AF11">
        <v>9375</v>
      </c>
      <c r="AG11">
        <v>9400</v>
      </c>
      <c r="AH11">
        <v>9390</v>
      </c>
      <c r="AI11">
        <v>9455</v>
      </c>
      <c r="AJ11">
        <v>9480</v>
      </c>
      <c r="AK11">
        <v>9335</v>
      </c>
      <c r="AL11">
        <v>9320</v>
      </c>
      <c r="AM11">
        <v>9425</v>
      </c>
      <c r="AN11">
        <v>9520</v>
      </c>
      <c r="AO11">
        <v>9420</v>
      </c>
      <c r="AP11">
        <v>9465</v>
      </c>
      <c r="AQ11">
        <v>9350</v>
      </c>
      <c r="AR11">
        <v>9370</v>
      </c>
      <c r="AS11">
        <v>9645</v>
      </c>
      <c r="AT11">
        <v>9715</v>
      </c>
      <c r="AU11">
        <v>9850</v>
      </c>
      <c r="AV11">
        <v>9865</v>
      </c>
      <c r="AW11">
        <v>9830</v>
      </c>
      <c r="AX11">
        <v>9830</v>
      </c>
      <c r="AY11" s="25"/>
    </row>
    <row r="12" spans="1:60">
      <c r="A12" t="s">
        <v>34</v>
      </c>
      <c r="B12">
        <v>8671</v>
      </c>
      <c r="C12">
        <v>8855</v>
      </c>
      <c r="D12">
        <v>8808</v>
      </c>
      <c r="E12">
        <v>8759</v>
      </c>
      <c r="F12">
        <v>8785</v>
      </c>
      <c r="G12">
        <v>8841</v>
      </c>
      <c r="H12">
        <v>8878</v>
      </c>
      <c r="I12">
        <v>8892</v>
      </c>
      <c r="J12">
        <v>8884</v>
      </c>
      <c r="K12">
        <v>8848</v>
      </c>
      <c r="L12">
        <v>8716</v>
      </c>
      <c r="M12">
        <v>8719</v>
      </c>
      <c r="N12">
        <v>8733</v>
      </c>
      <c r="O12">
        <v>8604</v>
      </c>
      <c r="P12">
        <v>8578</v>
      </c>
      <c r="Q12">
        <v>8423</v>
      </c>
      <c r="R12">
        <v>8444</v>
      </c>
      <c r="S12">
        <v>8387</v>
      </c>
      <c r="T12">
        <v>8425</v>
      </c>
      <c r="U12">
        <v>8622</v>
      </c>
      <c r="V12">
        <v>8567</v>
      </c>
      <c r="W12">
        <v>8556</v>
      </c>
      <c r="X12">
        <v>8607</v>
      </c>
      <c r="Y12">
        <v>8633</v>
      </c>
      <c r="Z12">
        <v>8783</v>
      </c>
      <c r="AA12">
        <v>8791</v>
      </c>
      <c r="AB12">
        <v>8768</v>
      </c>
      <c r="AC12">
        <v>8739</v>
      </c>
      <c r="AD12">
        <v>8862</v>
      </c>
      <c r="AE12">
        <v>8840</v>
      </c>
      <c r="AF12">
        <v>9032</v>
      </c>
      <c r="AG12">
        <v>9067</v>
      </c>
      <c r="AH12">
        <v>9042</v>
      </c>
      <c r="AI12">
        <v>9117</v>
      </c>
      <c r="AJ12">
        <v>9100</v>
      </c>
      <c r="AK12">
        <v>9049</v>
      </c>
      <c r="AL12">
        <v>9041</v>
      </c>
      <c r="AM12">
        <v>9081</v>
      </c>
      <c r="AN12">
        <v>9172</v>
      </c>
      <c r="AO12">
        <v>9157</v>
      </c>
      <c r="AP12">
        <v>9251</v>
      </c>
      <c r="AQ12">
        <v>9129</v>
      </c>
      <c r="AR12">
        <v>9128</v>
      </c>
      <c r="AS12">
        <v>9339</v>
      </c>
      <c r="AT12">
        <v>9452</v>
      </c>
      <c r="AU12">
        <v>9477</v>
      </c>
      <c r="AV12">
        <v>9499</v>
      </c>
      <c r="AW12">
        <v>9446</v>
      </c>
      <c r="AX12">
        <v>9460</v>
      </c>
      <c r="AY12" s="25"/>
    </row>
    <row r="13" spans="1:60">
      <c r="A13" t="s">
        <v>12</v>
      </c>
      <c r="B13">
        <v>5598</v>
      </c>
      <c r="C13">
        <v>5600</v>
      </c>
      <c r="D13">
        <v>5530</v>
      </c>
      <c r="E13">
        <v>5470</v>
      </c>
      <c r="F13">
        <v>5470</v>
      </c>
      <c r="G13">
        <v>5470</v>
      </c>
      <c r="H13">
        <v>5510</v>
      </c>
      <c r="I13">
        <v>5490</v>
      </c>
      <c r="J13">
        <v>5430</v>
      </c>
      <c r="K13">
        <v>5368</v>
      </c>
      <c r="L13">
        <v>5440</v>
      </c>
      <c r="M13">
        <v>5450</v>
      </c>
      <c r="N13">
        <v>5480</v>
      </c>
      <c r="O13">
        <v>5460</v>
      </c>
      <c r="P13">
        <v>5400</v>
      </c>
      <c r="Q13">
        <v>5412</v>
      </c>
      <c r="R13">
        <v>5440</v>
      </c>
      <c r="S13">
        <v>5500</v>
      </c>
      <c r="T13">
        <v>5500</v>
      </c>
      <c r="U13">
        <v>5563</v>
      </c>
      <c r="V13">
        <v>5550</v>
      </c>
      <c r="W13">
        <v>5562</v>
      </c>
      <c r="X13">
        <v>5615</v>
      </c>
      <c r="Y13">
        <v>5620</v>
      </c>
      <c r="Z13">
        <v>5682</v>
      </c>
      <c r="AA13">
        <v>5680</v>
      </c>
      <c r="AB13">
        <v>5638</v>
      </c>
      <c r="AC13">
        <v>5670</v>
      </c>
      <c r="AD13">
        <v>5670</v>
      </c>
      <c r="AE13">
        <v>5835</v>
      </c>
      <c r="AF13">
        <v>5900</v>
      </c>
      <c r="AG13">
        <v>5965</v>
      </c>
      <c r="AH13">
        <v>5936</v>
      </c>
      <c r="AI13">
        <v>6000</v>
      </c>
      <c r="AJ13">
        <v>5901</v>
      </c>
      <c r="AK13">
        <v>5947</v>
      </c>
      <c r="AL13">
        <v>5981</v>
      </c>
      <c r="AM13">
        <v>5984</v>
      </c>
      <c r="AN13">
        <v>5904</v>
      </c>
      <c r="AO13">
        <v>5879</v>
      </c>
      <c r="AP13">
        <v>5632</v>
      </c>
      <c r="AQ13">
        <v>5632</v>
      </c>
      <c r="AR13">
        <v>5606</v>
      </c>
      <c r="AS13">
        <v>5638</v>
      </c>
      <c r="AT13">
        <v>5665</v>
      </c>
      <c r="AU13">
        <v>5621</v>
      </c>
      <c r="AV13">
        <v>5700</v>
      </c>
      <c r="AW13">
        <v>5701</v>
      </c>
      <c r="AX13">
        <v>5725</v>
      </c>
      <c r="AY13" s="25"/>
    </row>
    <row r="14" spans="1:60">
      <c r="A14" t="s">
        <v>23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2600</v>
      </c>
      <c r="AT14">
        <v>2600</v>
      </c>
      <c r="AU14">
        <v>2600</v>
      </c>
      <c r="AV14">
        <v>2600</v>
      </c>
      <c r="AW14">
        <v>2450</v>
      </c>
      <c r="AX14">
        <v>2400</v>
      </c>
      <c r="AY14" s="25"/>
    </row>
    <row r="15" spans="1:60">
      <c r="A15" t="s">
        <v>5</v>
      </c>
      <c r="B15">
        <v>3050</v>
      </c>
      <c r="C15">
        <v>3050</v>
      </c>
      <c r="D15">
        <v>3050</v>
      </c>
      <c r="E15">
        <v>2900</v>
      </c>
      <c r="F15">
        <v>2900</v>
      </c>
      <c r="G15">
        <v>2750</v>
      </c>
      <c r="H15">
        <v>2750</v>
      </c>
      <c r="I15">
        <v>2750</v>
      </c>
      <c r="J15">
        <v>2750</v>
      </c>
      <c r="K15">
        <v>2700</v>
      </c>
      <c r="L15">
        <v>2750</v>
      </c>
      <c r="M15">
        <v>2770</v>
      </c>
      <c r="N15">
        <v>2770</v>
      </c>
      <c r="O15">
        <v>2800</v>
      </c>
      <c r="P15">
        <v>2780</v>
      </c>
      <c r="Q15">
        <v>2800</v>
      </c>
      <c r="R15">
        <v>2850</v>
      </c>
      <c r="S15">
        <v>2850</v>
      </c>
      <c r="T15">
        <v>2850</v>
      </c>
      <c r="U15">
        <v>2850</v>
      </c>
      <c r="V15">
        <v>2850</v>
      </c>
      <c r="W15">
        <v>2850</v>
      </c>
      <c r="X15">
        <v>2800</v>
      </c>
      <c r="Y15">
        <v>2810</v>
      </c>
      <c r="Z15">
        <v>2760</v>
      </c>
      <c r="AA15">
        <v>2710</v>
      </c>
      <c r="AB15">
        <v>2660</v>
      </c>
      <c r="AC15">
        <v>2660</v>
      </c>
      <c r="AD15">
        <v>2450</v>
      </c>
      <c r="AE15">
        <v>2450</v>
      </c>
      <c r="AF15">
        <v>2550</v>
      </c>
      <c r="AG15">
        <v>2550</v>
      </c>
      <c r="AH15">
        <v>2600</v>
      </c>
      <c r="AI15">
        <v>2630</v>
      </c>
      <c r="AJ15">
        <v>2650</v>
      </c>
      <c r="AK15">
        <v>2700</v>
      </c>
      <c r="AL15">
        <v>2700</v>
      </c>
      <c r="AM15">
        <v>2750</v>
      </c>
      <c r="AN15">
        <v>2750</v>
      </c>
      <c r="AO15">
        <v>2800</v>
      </c>
      <c r="AP15">
        <v>2800</v>
      </c>
      <c r="AQ15">
        <v>2800</v>
      </c>
      <c r="AR15">
        <v>2800</v>
      </c>
      <c r="AS15">
        <v>2990</v>
      </c>
      <c r="AT15">
        <v>2990</v>
      </c>
      <c r="AU15">
        <v>3000</v>
      </c>
      <c r="AV15">
        <v>3100</v>
      </c>
      <c r="AW15">
        <v>3100</v>
      </c>
      <c r="AX15">
        <v>3100</v>
      </c>
      <c r="AY15" s="25"/>
    </row>
    <row r="16" spans="1:60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 s="25"/>
    </row>
    <row r="17" spans="1:51">
      <c r="A17" t="s">
        <v>10</v>
      </c>
      <c r="B17">
        <v>3180</v>
      </c>
      <c r="C17">
        <v>3180</v>
      </c>
      <c r="D17">
        <v>3180</v>
      </c>
      <c r="E17">
        <v>3220</v>
      </c>
      <c r="F17">
        <v>3220</v>
      </c>
      <c r="G17">
        <v>3220</v>
      </c>
      <c r="H17">
        <v>3220</v>
      </c>
      <c r="I17">
        <v>3300</v>
      </c>
      <c r="J17">
        <v>3320</v>
      </c>
      <c r="K17">
        <v>3360</v>
      </c>
      <c r="L17">
        <v>3250</v>
      </c>
      <c r="M17">
        <v>3230</v>
      </c>
      <c r="N17">
        <v>3230</v>
      </c>
      <c r="O17">
        <v>3200</v>
      </c>
      <c r="P17">
        <v>3110</v>
      </c>
      <c r="Q17">
        <v>3120</v>
      </c>
      <c r="R17">
        <v>3127</v>
      </c>
      <c r="S17">
        <v>3168</v>
      </c>
      <c r="T17">
        <v>3120</v>
      </c>
      <c r="U17">
        <v>3120</v>
      </c>
      <c r="V17">
        <v>3100</v>
      </c>
      <c r="W17">
        <v>3100</v>
      </c>
      <c r="X17">
        <v>3160</v>
      </c>
      <c r="Y17">
        <v>3160</v>
      </c>
      <c r="Z17">
        <v>3140</v>
      </c>
      <c r="AA17">
        <v>3180</v>
      </c>
      <c r="AB17">
        <v>3180</v>
      </c>
      <c r="AC17">
        <v>3170</v>
      </c>
      <c r="AD17">
        <v>3220</v>
      </c>
      <c r="AE17">
        <v>3220</v>
      </c>
      <c r="AF17">
        <v>3227</v>
      </c>
      <c r="AG17">
        <v>3233</v>
      </c>
      <c r="AH17">
        <v>3260</v>
      </c>
      <c r="AI17">
        <v>3230</v>
      </c>
      <c r="AJ17">
        <v>3120</v>
      </c>
      <c r="AK17">
        <v>3070</v>
      </c>
      <c r="AL17">
        <v>3060</v>
      </c>
      <c r="AM17">
        <v>3060</v>
      </c>
      <c r="AN17">
        <v>3010</v>
      </c>
      <c r="AO17">
        <v>2920</v>
      </c>
      <c r="AP17">
        <v>2920</v>
      </c>
      <c r="AQ17">
        <v>2920</v>
      </c>
      <c r="AR17">
        <v>2870</v>
      </c>
      <c r="AS17">
        <v>2860</v>
      </c>
      <c r="AT17">
        <v>2850</v>
      </c>
      <c r="AU17">
        <v>2850</v>
      </c>
      <c r="AV17">
        <v>2830</v>
      </c>
      <c r="AW17">
        <v>2830</v>
      </c>
      <c r="AX17">
        <v>2840</v>
      </c>
      <c r="AY17" s="25"/>
    </row>
    <row r="18" spans="1:51">
      <c r="A18" t="s">
        <v>20</v>
      </c>
      <c r="B18">
        <v>2650</v>
      </c>
      <c r="C18">
        <v>2650</v>
      </c>
      <c r="D18">
        <v>2654</v>
      </c>
      <c r="E18">
        <v>2697</v>
      </c>
      <c r="F18">
        <v>2654</v>
      </c>
      <c r="G18">
        <v>2675</v>
      </c>
      <c r="H18">
        <v>2663</v>
      </c>
      <c r="I18">
        <v>2686</v>
      </c>
      <c r="J18">
        <v>2674</v>
      </c>
      <c r="K18">
        <v>2730</v>
      </c>
      <c r="L18">
        <v>2570</v>
      </c>
      <c r="M18">
        <v>2550</v>
      </c>
      <c r="N18">
        <v>2580</v>
      </c>
      <c r="O18">
        <v>2560</v>
      </c>
      <c r="P18">
        <v>2500</v>
      </c>
      <c r="Q18">
        <v>2500</v>
      </c>
      <c r="R18">
        <v>2500</v>
      </c>
      <c r="S18">
        <v>2500</v>
      </c>
      <c r="T18">
        <v>2500</v>
      </c>
      <c r="U18">
        <v>2480</v>
      </c>
      <c r="V18">
        <v>2450</v>
      </c>
      <c r="W18">
        <v>2470</v>
      </c>
      <c r="X18">
        <v>2470</v>
      </c>
      <c r="Y18">
        <v>2514</v>
      </c>
      <c r="Z18">
        <v>2514</v>
      </c>
      <c r="AA18">
        <v>2545</v>
      </c>
      <c r="AB18">
        <v>2507</v>
      </c>
      <c r="AC18">
        <v>2507</v>
      </c>
      <c r="AD18">
        <v>2527</v>
      </c>
      <c r="AE18">
        <v>2538</v>
      </c>
      <c r="AF18">
        <v>2543</v>
      </c>
      <c r="AG18">
        <v>2555</v>
      </c>
      <c r="AH18">
        <v>2570</v>
      </c>
      <c r="AI18">
        <v>2578</v>
      </c>
      <c r="AJ18">
        <v>2476</v>
      </c>
      <c r="AK18">
        <v>2461</v>
      </c>
      <c r="AL18">
        <v>2433</v>
      </c>
      <c r="AM18">
        <v>2440</v>
      </c>
      <c r="AN18">
        <v>2430</v>
      </c>
      <c r="AO18">
        <v>2290</v>
      </c>
      <c r="AP18">
        <v>2290</v>
      </c>
      <c r="AQ18">
        <v>2290</v>
      </c>
      <c r="AR18">
        <v>2290</v>
      </c>
      <c r="AS18">
        <v>2290</v>
      </c>
      <c r="AT18">
        <v>2300</v>
      </c>
      <c r="AU18">
        <v>2290</v>
      </c>
      <c r="AV18">
        <v>2300</v>
      </c>
      <c r="AW18">
        <v>2250</v>
      </c>
      <c r="AX18">
        <v>2250</v>
      </c>
      <c r="AY18" s="25"/>
    </row>
    <row r="19" spans="1:51">
      <c r="A19" t="s">
        <v>13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1830</v>
      </c>
      <c r="J19">
        <v>1830</v>
      </c>
      <c r="K19">
        <v>1830</v>
      </c>
      <c r="L19">
        <v>1840</v>
      </c>
      <c r="M19">
        <v>1840</v>
      </c>
      <c r="N19">
        <v>1840</v>
      </c>
      <c r="O19">
        <v>1890</v>
      </c>
      <c r="P19">
        <v>1890</v>
      </c>
      <c r="Q19">
        <v>1890</v>
      </c>
      <c r="R19">
        <v>1890</v>
      </c>
      <c r="S19">
        <v>1900</v>
      </c>
      <c r="T19">
        <v>1930</v>
      </c>
      <c r="U19">
        <v>1940</v>
      </c>
      <c r="V19">
        <v>1940</v>
      </c>
      <c r="W19">
        <v>1940</v>
      </c>
      <c r="X19">
        <v>1930</v>
      </c>
      <c r="Y19">
        <v>1930</v>
      </c>
      <c r="Z19">
        <v>1930</v>
      </c>
      <c r="AA19">
        <v>1940</v>
      </c>
      <c r="AB19">
        <v>1950</v>
      </c>
      <c r="AC19">
        <v>1950</v>
      </c>
      <c r="AD19">
        <v>1960</v>
      </c>
      <c r="AE19">
        <v>1960</v>
      </c>
      <c r="AF19">
        <v>1950</v>
      </c>
      <c r="AG19">
        <v>1940</v>
      </c>
      <c r="AH19">
        <v>1940</v>
      </c>
      <c r="AI19">
        <v>1900</v>
      </c>
      <c r="AJ19">
        <v>1900</v>
      </c>
      <c r="AK19">
        <v>1890</v>
      </c>
      <c r="AL19">
        <v>1890</v>
      </c>
      <c r="AM19">
        <v>1890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1850</v>
      </c>
      <c r="AT19">
        <v>1850</v>
      </c>
      <c r="AU19">
        <v>1850</v>
      </c>
      <c r="AV19">
        <v>1850</v>
      </c>
      <c r="AW19">
        <v>1850</v>
      </c>
      <c r="AX19">
        <v>1840</v>
      </c>
      <c r="AY19" s="25"/>
    </row>
    <row r="20" spans="1:51">
      <c r="A20" t="s">
        <v>7</v>
      </c>
      <c r="B20">
        <v>2250</v>
      </c>
      <c r="C20">
        <v>2250</v>
      </c>
      <c r="D20">
        <v>2250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2250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2250</v>
      </c>
      <c r="AX20">
        <v>2250</v>
      </c>
      <c r="AY20" s="25"/>
    </row>
    <row r="21" spans="1:51">
      <c r="A21" t="s">
        <v>35</v>
      </c>
      <c r="B21">
        <v>5710</v>
      </c>
      <c r="C21">
        <v>5710</v>
      </c>
      <c r="D21">
        <v>5710</v>
      </c>
      <c r="E21">
        <v>5750</v>
      </c>
      <c r="F21">
        <v>5750</v>
      </c>
      <c r="G21">
        <v>5750</v>
      </c>
      <c r="H21">
        <v>5800</v>
      </c>
      <c r="I21">
        <v>5850</v>
      </c>
      <c r="J21">
        <v>5890</v>
      </c>
      <c r="K21">
        <v>6020</v>
      </c>
      <c r="L21">
        <v>5750</v>
      </c>
      <c r="M21">
        <v>5720</v>
      </c>
      <c r="N21">
        <v>5650</v>
      </c>
      <c r="O21">
        <v>5650</v>
      </c>
      <c r="P21">
        <v>5630</v>
      </c>
      <c r="Q21">
        <v>5660</v>
      </c>
      <c r="R21">
        <v>5710</v>
      </c>
      <c r="S21">
        <v>5730</v>
      </c>
      <c r="T21">
        <v>5710</v>
      </c>
      <c r="U21">
        <v>5710</v>
      </c>
      <c r="V21">
        <v>5700</v>
      </c>
      <c r="W21">
        <v>5660</v>
      </c>
      <c r="X21">
        <v>5680</v>
      </c>
      <c r="Y21">
        <v>5710</v>
      </c>
      <c r="Z21">
        <v>5690</v>
      </c>
      <c r="AA21">
        <v>5730</v>
      </c>
      <c r="AB21">
        <v>5700</v>
      </c>
      <c r="AC21">
        <v>5680</v>
      </c>
      <c r="AD21">
        <v>5710</v>
      </c>
      <c r="AE21">
        <v>5730</v>
      </c>
      <c r="AF21">
        <v>5820</v>
      </c>
      <c r="AG21">
        <v>5820</v>
      </c>
      <c r="AH21">
        <v>5820</v>
      </c>
      <c r="AI21">
        <v>5800</v>
      </c>
      <c r="AJ21">
        <v>5720</v>
      </c>
      <c r="AK21">
        <v>5720</v>
      </c>
      <c r="AL21">
        <v>5730</v>
      </c>
      <c r="AM21">
        <v>5740</v>
      </c>
      <c r="AN21">
        <v>5670</v>
      </c>
      <c r="AO21">
        <v>5590</v>
      </c>
      <c r="AP21">
        <v>5590</v>
      </c>
      <c r="AQ21">
        <v>5590</v>
      </c>
      <c r="AR21">
        <v>5590</v>
      </c>
      <c r="AS21">
        <v>5530</v>
      </c>
      <c r="AT21">
        <v>5550</v>
      </c>
      <c r="AU21">
        <v>5560</v>
      </c>
      <c r="AV21">
        <v>5600</v>
      </c>
      <c r="AW21">
        <v>5600</v>
      </c>
      <c r="AX21">
        <v>5600</v>
      </c>
      <c r="AY21" s="25"/>
    </row>
    <row r="22" spans="1:51">
      <c r="A22" t="s">
        <v>22</v>
      </c>
      <c r="B22">
        <v>5020</v>
      </c>
      <c r="C22">
        <v>5020</v>
      </c>
      <c r="D22">
        <v>4990</v>
      </c>
      <c r="E22">
        <v>5030</v>
      </c>
      <c r="F22">
        <v>5030</v>
      </c>
      <c r="G22">
        <v>5050</v>
      </c>
      <c r="H22">
        <v>5060</v>
      </c>
      <c r="I22">
        <v>5080</v>
      </c>
      <c r="J22">
        <v>5140</v>
      </c>
      <c r="K22">
        <v>5180</v>
      </c>
      <c r="L22">
        <v>5070</v>
      </c>
      <c r="M22">
        <v>5060</v>
      </c>
      <c r="N22">
        <v>5060</v>
      </c>
      <c r="O22">
        <v>5010</v>
      </c>
      <c r="P22">
        <v>4980</v>
      </c>
      <c r="Q22">
        <v>5010</v>
      </c>
      <c r="R22">
        <v>5000</v>
      </c>
      <c r="S22">
        <v>5030</v>
      </c>
      <c r="T22">
        <v>5050</v>
      </c>
      <c r="U22">
        <v>5070</v>
      </c>
      <c r="V22">
        <v>5050</v>
      </c>
      <c r="W22">
        <v>5010</v>
      </c>
      <c r="X22">
        <v>5030</v>
      </c>
      <c r="Y22">
        <v>5060</v>
      </c>
      <c r="Z22">
        <v>5040</v>
      </c>
      <c r="AA22">
        <v>5040</v>
      </c>
      <c r="AB22">
        <v>5030</v>
      </c>
      <c r="AC22">
        <v>5030</v>
      </c>
      <c r="AD22">
        <v>5070</v>
      </c>
      <c r="AE22">
        <v>5090</v>
      </c>
      <c r="AF22">
        <v>5170</v>
      </c>
      <c r="AG22">
        <v>5190</v>
      </c>
      <c r="AH22">
        <v>5160</v>
      </c>
      <c r="AI22">
        <v>5220</v>
      </c>
      <c r="AJ22">
        <v>5230</v>
      </c>
      <c r="AK22">
        <v>5220</v>
      </c>
      <c r="AL22">
        <v>5210</v>
      </c>
      <c r="AM22">
        <v>5220</v>
      </c>
      <c r="AN22">
        <v>5160</v>
      </c>
      <c r="AO22">
        <v>5090</v>
      </c>
      <c r="AP22">
        <v>5060</v>
      </c>
      <c r="AQ22">
        <v>5060</v>
      </c>
      <c r="AR22">
        <v>5060</v>
      </c>
      <c r="AS22">
        <v>5030</v>
      </c>
      <c r="AT22">
        <v>5100</v>
      </c>
      <c r="AU22">
        <v>5090</v>
      </c>
      <c r="AV22">
        <v>5160</v>
      </c>
      <c r="AW22">
        <v>5140</v>
      </c>
      <c r="AX22">
        <v>5120</v>
      </c>
      <c r="AY22" s="25"/>
    </row>
    <row r="23" spans="1:51">
      <c r="A23" t="s">
        <v>15</v>
      </c>
      <c r="B23">
        <v>6610</v>
      </c>
      <c r="C23">
        <v>6610</v>
      </c>
      <c r="D23">
        <v>6560</v>
      </c>
      <c r="E23">
        <v>6620</v>
      </c>
      <c r="F23">
        <v>6620</v>
      </c>
      <c r="G23">
        <v>6620</v>
      </c>
      <c r="H23">
        <v>6640</v>
      </c>
      <c r="I23">
        <v>6690</v>
      </c>
      <c r="J23">
        <v>6690</v>
      </c>
      <c r="K23">
        <v>6740</v>
      </c>
      <c r="L23">
        <v>6640</v>
      </c>
      <c r="M23">
        <v>6640</v>
      </c>
      <c r="N23">
        <v>6620</v>
      </c>
      <c r="O23">
        <v>6520</v>
      </c>
      <c r="P23">
        <v>6500</v>
      </c>
      <c r="Q23">
        <v>6560</v>
      </c>
      <c r="R23">
        <v>6640</v>
      </c>
      <c r="S23">
        <v>6640</v>
      </c>
      <c r="T23">
        <v>6640</v>
      </c>
      <c r="U23">
        <v>6630</v>
      </c>
      <c r="V23">
        <v>6640</v>
      </c>
      <c r="W23">
        <v>6640</v>
      </c>
      <c r="X23">
        <v>6660</v>
      </c>
      <c r="Y23">
        <v>6450</v>
      </c>
      <c r="Z23">
        <v>6450</v>
      </c>
      <c r="AA23">
        <v>6450</v>
      </c>
      <c r="AB23">
        <v>6450</v>
      </c>
      <c r="AC23">
        <v>6450</v>
      </c>
      <c r="AD23">
        <v>6440</v>
      </c>
      <c r="AE23">
        <v>6510</v>
      </c>
      <c r="AF23">
        <v>6510</v>
      </c>
      <c r="AG23">
        <v>6568</v>
      </c>
      <c r="AH23">
        <v>6580</v>
      </c>
      <c r="AI23">
        <v>6580</v>
      </c>
      <c r="AJ23">
        <v>6490</v>
      </c>
      <c r="AK23">
        <v>6510</v>
      </c>
      <c r="AL23">
        <v>5510</v>
      </c>
      <c r="AM23">
        <v>6540</v>
      </c>
      <c r="AN23">
        <v>6520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6520</v>
      </c>
      <c r="AU23">
        <v>6540</v>
      </c>
      <c r="AV23">
        <v>6600</v>
      </c>
      <c r="AW23">
        <v>6608</v>
      </c>
      <c r="AX23">
        <v>6580</v>
      </c>
      <c r="AY23" s="25"/>
    </row>
    <row r="24" spans="1:51">
      <c r="A24" t="s">
        <v>9</v>
      </c>
      <c r="B24">
        <v>5630</v>
      </c>
      <c r="C24">
        <v>5630</v>
      </c>
      <c r="D24">
        <v>5630</v>
      </c>
      <c r="E24">
        <v>5650</v>
      </c>
      <c r="F24">
        <v>5650</v>
      </c>
      <c r="G24">
        <v>5680</v>
      </c>
      <c r="H24">
        <v>5680</v>
      </c>
      <c r="I24">
        <v>5680</v>
      </c>
      <c r="J24">
        <v>5680</v>
      </c>
      <c r="K24">
        <v>5660</v>
      </c>
      <c r="L24">
        <v>5670</v>
      </c>
      <c r="M24">
        <v>5680</v>
      </c>
      <c r="N24">
        <v>5690</v>
      </c>
      <c r="O24">
        <v>5690</v>
      </c>
      <c r="P24">
        <v>5640</v>
      </c>
      <c r="Q24">
        <v>5640</v>
      </c>
      <c r="R24">
        <v>5640</v>
      </c>
      <c r="S24">
        <v>5640</v>
      </c>
      <c r="T24">
        <v>5660</v>
      </c>
      <c r="U24">
        <v>5680</v>
      </c>
      <c r="V24">
        <v>5680</v>
      </c>
      <c r="W24">
        <v>5700</v>
      </c>
      <c r="X24">
        <v>5750</v>
      </c>
      <c r="Y24">
        <v>5760</v>
      </c>
      <c r="Z24">
        <v>5760</v>
      </c>
      <c r="AA24">
        <v>5760</v>
      </c>
      <c r="AB24">
        <v>5760</v>
      </c>
      <c r="AC24">
        <v>5910</v>
      </c>
      <c r="AD24">
        <v>5760</v>
      </c>
      <c r="AE24">
        <v>5780</v>
      </c>
      <c r="AF24">
        <v>5780</v>
      </c>
      <c r="AG24">
        <v>5810</v>
      </c>
      <c r="AH24">
        <v>5850</v>
      </c>
      <c r="AI24">
        <v>6010</v>
      </c>
      <c r="AJ24">
        <v>6010</v>
      </c>
      <c r="AK24">
        <v>6010</v>
      </c>
      <c r="AL24">
        <v>5910</v>
      </c>
      <c r="AM24">
        <v>5910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5970</v>
      </c>
      <c r="AT24">
        <v>5970</v>
      </c>
      <c r="AU24">
        <v>5970</v>
      </c>
      <c r="AV24">
        <v>5970</v>
      </c>
      <c r="AW24">
        <v>5970</v>
      </c>
      <c r="AX24">
        <v>5970</v>
      </c>
      <c r="AY24" s="25"/>
    </row>
    <row r="25" spans="1:51">
      <c r="A25" t="s">
        <v>36</v>
      </c>
      <c r="B25">
        <v>15333</v>
      </c>
      <c r="C25">
        <v>15333</v>
      </c>
      <c r="D25">
        <v>15333</v>
      </c>
      <c r="E25">
        <v>15335</v>
      </c>
      <c r="F25">
        <v>15335</v>
      </c>
      <c r="G25">
        <v>15335</v>
      </c>
      <c r="H25">
        <v>15345</v>
      </c>
      <c r="I25">
        <v>15355</v>
      </c>
      <c r="J25">
        <v>15355</v>
      </c>
      <c r="K25">
        <v>15355</v>
      </c>
      <c r="L25">
        <v>15385</v>
      </c>
      <c r="M25">
        <v>15385</v>
      </c>
      <c r="N25">
        <v>15385</v>
      </c>
      <c r="O25">
        <v>15400</v>
      </c>
      <c r="P25">
        <v>15450</v>
      </c>
      <c r="Q25">
        <v>15450</v>
      </c>
      <c r="R25">
        <v>15450</v>
      </c>
      <c r="S25">
        <v>15450</v>
      </c>
      <c r="T25">
        <v>15500</v>
      </c>
      <c r="U25">
        <v>15500</v>
      </c>
      <c r="V25">
        <v>15500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15525</v>
      </c>
      <c r="AF25">
        <v>15525</v>
      </c>
      <c r="AG25">
        <v>15505</v>
      </c>
      <c r="AH25">
        <v>15475</v>
      </c>
      <c r="AI25">
        <v>15475</v>
      </c>
      <c r="AJ25">
        <v>15465</v>
      </c>
      <c r="AK25">
        <v>15465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 s="25"/>
    </row>
    <row r="26" spans="1:51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23100</v>
      </c>
      <c r="S26">
        <v>23100</v>
      </c>
      <c r="T26">
        <v>23100</v>
      </c>
      <c r="U26">
        <v>23100</v>
      </c>
      <c r="V26">
        <v>23100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22950</v>
      </c>
      <c r="AG26">
        <v>22950</v>
      </c>
      <c r="AH26">
        <v>22950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 s="25"/>
    </row>
    <row r="27" spans="1:51">
      <c r="A27" t="s">
        <v>37</v>
      </c>
      <c r="B27">
        <v>51240</v>
      </c>
      <c r="C27">
        <v>51830</v>
      </c>
      <c r="D27">
        <v>50810</v>
      </c>
      <c r="E27">
        <v>50810</v>
      </c>
      <c r="F27">
        <v>50400</v>
      </c>
      <c r="G27">
        <v>50530</v>
      </c>
      <c r="H27">
        <v>50340</v>
      </c>
      <c r="I27">
        <v>50850</v>
      </c>
      <c r="J27">
        <v>51060</v>
      </c>
      <c r="K27">
        <v>50330</v>
      </c>
      <c r="L27">
        <v>50400</v>
      </c>
      <c r="M27">
        <v>50500</v>
      </c>
      <c r="N27">
        <v>50070</v>
      </c>
      <c r="O27">
        <v>49710</v>
      </c>
      <c r="P27">
        <v>49500</v>
      </c>
      <c r="Q27">
        <v>49200</v>
      </c>
      <c r="R27">
        <v>49180</v>
      </c>
      <c r="S27">
        <v>48660</v>
      </c>
      <c r="T27">
        <v>49370</v>
      </c>
      <c r="U27">
        <v>50680</v>
      </c>
      <c r="V27">
        <v>50530</v>
      </c>
      <c r="W27">
        <v>50710</v>
      </c>
      <c r="X27">
        <v>50760</v>
      </c>
      <c r="Y27">
        <v>51430</v>
      </c>
      <c r="Z27">
        <v>51450</v>
      </c>
      <c r="AA27">
        <v>51490</v>
      </c>
      <c r="AB27">
        <v>51170</v>
      </c>
      <c r="AC27">
        <v>51360</v>
      </c>
      <c r="AD27">
        <v>50560</v>
      </c>
      <c r="AE27">
        <v>51400</v>
      </c>
      <c r="AF27">
        <v>51840</v>
      </c>
      <c r="AG27">
        <v>51790</v>
      </c>
      <c r="AH27">
        <v>51490</v>
      </c>
      <c r="AI27">
        <v>51880</v>
      </c>
      <c r="AJ27">
        <v>52040</v>
      </c>
      <c r="AK27">
        <v>52420</v>
      </c>
      <c r="AL27">
        <v>52910</v>
      </c>
      <c r="AM27">
        <v>52870</v>
      </c>
      <c r="AN27">
        <v>52930</v>
      </c>
      <c r="AO27">
        <v>51680</v>
      </c>
      <c r="AP27">
        <v>51680</v>
      </c>
      <c r="AQ27">
        <v>51680</v>
      </c>
      <c r="AR27">
        <v>51040</v>
      </c>
      <c r="AS27">
        <v>52840</v>
      </c>
      <c r="AT27">
        <v>52680</v>
      </c>
      <c r="AU27">
        <v>52490</v>
      </c>
      <c r="AV27">
        <v>53400</v>
      </c>
      <c r="AW27">
        <v>53190</v>
      </c>
      <c r="AX27">
        <v>53560</v>
      </c>
      <c r="AY27" s="25"/>
    </row>
    <row r="28" spans="1:51">
      <c r="A28" t="s">
        <v>19</v>
      </c>
      <c r="B28">
        <v>14750</v>
      </c>
      <c r="C28">
        <v>15070</v>
      </c>
      <c r="D28">
        <v>14690</v>
      </c>
      <c r="E28">
        <v>14690</v>
      </c>
      <c r="F28">
        <v>14430</v>
      </c>
      <c r="G28">
        <v>14440</v>
      </c>
      <c r="H28">
        <v>14160</v>
      </c>
      <c r="I28">
        <v>14210</v>
      </c>
      <c r="J28">
        <v>14160</v>
      </c>
      <c r="K28">
        <v>14040</v>
      </c>
      <c r="L28">
        <v>13960</v>
      </c>
      <c r="M28">
        <v>13980</v>
      </c>
      <c r="N28">
        <v>13710</v>
      </c>
      <c r="O28">
        <v>13620</v>
      </c>
      <c r="P28">
        <v>13690</v>
      </c>
      <c r="Q28">
        <v>13620</v>
      </c>
      <c r="R28">
        <v>13650</v>
      </c>
      <c r="S28">
        <v>13530</v>
      </c>
      <c r="T28">
        <v>13520</v>
      </c>
      <c r="U28">
        <v>13710</v>
      </c>
      <c r="V28">
        <v>13690</v>
      </c>
      <c r="W28">
        <v>13760</v>
      </c>
      <c r="X28">
        <v>13710</v>
      </c>
      <c r="Y28">
        <v>13730</v>
      </c>
      <c r="Z28">
        <v>13730</v>
      </c>
      <c r="AA28">
        <v>13710</v>
      </c>
      <c r="AB28">
        <v>13620</v>
      </c>
      <c r="AC28">
        <v>13800</v>
      </c>
      <c r="AD28">
        <v>13810</v>
      </c>
      <c r="AE28">
        <v>13900</v>
      </c>
      <c r="AF28">
        <v>13940</v>
      </c>
      <c r="AG28">
        <v>14050</v>
      </c>
      <c r="AH28">
        <v>13930</v>
      </c>
      <c r="AI28">
        <v>14080</v>
      </c>
      <c r="AJ28">
        <v>14130</v>
      </c>
      <c r="AK28">
        <v>14010</v>
      </c>
      <c r="AL28">
        <v>13930</v>
      </c>
      <c r="AM28">
        <v>13870</v>
      </c>
      <c r="AN28">
        <v>13920</v>
      </c>
      <c r="AO28">
        <v>14130</v>
      </c>
      <c r="AP28">
        <v>14130</v>
      </c>
      <c r="AQ28">
        <v>14130</v>
      </c>
      <c r="AR28">
        <v>13930</v>
      </c>
      <c r="AS28">
        <v>14150</v>
      </c>
      <c r="AT28">
        <v>14230</v>
      </c>
      <c r="AU28">
        <v>14290</v>
      </c>
      <c r="AV28">
        <v>14490</v>
      </c>
      <c r="AW28">
        <v>14450</v>
      </c>
      <c r="AX28">
        <v>14550</v>
      </c>
      <c r="AY28" s="25"/>
    </row>
    <row r="29" spans="1:51">
      <c r="A29" t="s">
        <v>38</v>
      </c>
      <c r="B29">
        <v>24600</v>
      </c>
      <c r="C29">
        <v>24750</v>
      </c>
      <c r="D29">
        <v>24120</v>
      </c>
      <c r="E29">
        <v>23980</v>
      </c>
      <c r="F29">
        <v>23750</v>
      </c>
      <c r="G29">
        <v>23780</v>
      </c>
      <c r="H29">
        <v>23720</v>
      </c>
      <c r="I29">
        <v>24630</v>
      </c>
      <c r="J29">
        <v>24610</v>
      </c>
      <c r="K29">
        <v>24390</v>
      </c>
      <c r="L29">
        <v>24640</v>
      </c>
      <c r="M29">
        <v>24740</v>
      </c>
      <c r="N29">
        <v>24930</v>
      </c>
      <c r="O29">
        <v>24760</v>
      </c>
      <c r="P29">
        <v>24780</v>
      </c>
      <c r="Q29">
        <v>24980</v>
      </c>
      <c r="R29">
        <v>24910</v>
      </c>
      <c r="S29">
        <v>24550</v>
      </c>
      <c r="T29">
        <v>24510</v>
      </c>
      <c r="U29">
        <v>24730</v>
      </c>
      <c r="V29">
        <v>24500</v>
      </c>
      <c r="W29">
        <v>24590</v>
      </c>
      <c r="X29">
        <v>24750</v>
      </c>
      <c r="Y29">
        <v>24830</v>
      </c>
      <c r="Z29">
        <v>24700</v>
      </c>
      <c r="AA29">
        <v>25100</v>
      </c>
      <c r="AB29">
        <v>25020</v>
      </c>
      <c r="AC29">
        <v>25000</v>
      </c>
      <c r="AD29">
        <v>24590</v>
      </c>
      <c r="AE29">
        <v>25170</v>
      </c>
      <c r="AF29">
        <v>25370</v>
      </c>
      <c r="AG29">
        <v>25380</v>
      </c>
      <c r="AH29">
        <v>25660</v>
      </c>
      <c r="AI29">
        <v>26030</v>
      </c>
      <c r="AJ29">
        <v>26330</v>
      </c>
      <c r="AK29">
        <v>26300</v>
      </c>
      <c r="AL29">
        <v>26600</v>
      </c>
      <c r="AM29">
        <v>26500</v>
      </c>
      <c r="AN29">
        <v>26460</v>
      </c>
      <c r="AO29">
        <v>26010</v>
      </c>
      <c r="AP29">
        <v>26010</v>
      </c>
      <c r="AQ29">
        <v>26010</v>
      </c>
      <c r="AR29">
        <v>25850</v>
      </c>
      <c r="AS29">
        <v>26690</v>
      </c>
      <c r="AT29">
        <v>26620</v>
      </c>
      <c r="AU29">
        <v>26650</v>
      </c>
      <c r="AV29">
        <v>27090</v>
      </c>
      <c r="AW29">
        <v>26100</v>
      </c>
      <c r="AX29">
        <v>26240</v>
      </c>
      <c r="AY29" s="25"/>
    </row>
    <row r="30" spans="1:51">
      <c r="A30" t="s">
        <v>39</v>
      </c>
      <c r="B30">
        <v>103350</v>
      </c>
      <c r="C30">
        <v>105800</v>
      </c>
      <c r="D30">
        <v>102650</v>
      </c>
      <c r="E30">
        <v>102900</v>
      </c>
      <c r="F30">
        <v>102800</v>
      </c>
      <c r="G30">
        <v>103000</v>
      </c>
      <c r="H30">
        <v>100800</v>
      </c>
      <c r="I30">
        <v>100750</v>
      </c>
      <c r="J30">
        <v>100450</v>
      </c>
      <c r="K30">
        <v>98250</v>
      </c>
      <c r="L30">
        <v>99550</v>
      </c>
      <c r="M30">
        <v>99550</v>
      </c>
      <c r="N30">
        <v>99450</v>
      </c>
      <c r="O30">
        <v>98000</v>
      </c>
      <c r="P30">
        <v>96150</v>
      </c>
      <c r="Q30">
        <v>96850</v>
      </c>
      <c r="R30">
        <v>96750</v>
      </c>
      <c r="S30">
        <v>95700</v>
      </c>
      <c r="T30">
        <v>97000</v>
      </c>
      <c r="U30">
        <v>100700</v>
      </c>
      <c r="V30">
        <v>100900</v>
      </c>
      <c r="W30">
        <v>100250</v>
      </c>
      <c r="X30">
        <v>100950</v>
      </c>
      <c r="Y30">
        <v>102100</v>
      </c>
      <c r="Z30">
        <v>101950</v>
      </c>
      <c r="AA30">
        <v>103300</v>
      </c>
      <c r="AB30">
        <v>102700</v>
      </c>
      <c r="AC30">
        <v>103200</v>
      </c>
      <c r="AD30">
        <v>99300</v>
      </c>
      <c r="AE30">
        <v>100150</v>
      </c>
      <c r="AF30">
        <v>101400</v>
      </c>
      <c r="AG30">
        <v>101150</v>
      </c>
      <c r="AH30">
        <v>100850</v>
      </c>
      <c r="AI30">
        <v>100800</v>
      </c>
      <c r="AJ30">
        <v>103400</v>
      </c>
      <c r="AK30">
        <v>104150</v>
      </c>
      <c r="AL30">
        <v>104400</v>
      </c>
      <c r="AM30">
        <v>103450</v>
      </c>
      <c r="AN30">
        <v>103600</v>
      </c>
      <c r="AO30">
        <v>100150</v>
      </c>
      <c r="AP30">
        <v>100150</v>
      </c>
      <c r="AQ30">
        <v>100150</v>
      </c>
      <c r="AR30">
        <v>97850</v>
      </c>
      <c r="AS30">
        <v>101500</v>
      </c>
      <c r="AT30">
        <v>101250</v>
      </c>
      <c r="AU30">
        <v>102300</v>
      </c>
      <c r="AV30">
        <v>105250</v>
      </c>
      <c r="AW30">
        <v>102150</v>
      </c>
      <c r="AX30">
        <v>102750</v>
      </c>
      <c r="AY30" s="25"/>
    </row>
    <row r="31" spans="1:51">
      <c r="AY31" s="25"/>
    </row>
    <row r="32" spans="1:51">
      <c r="AY32" s="25"/>
    </row>
    <row r="33" spans="51:51">
      <c r="AY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甲醇</v>
      </c>
      <c r="B2" s="25"/>
      <c r="C2" s="1">
        <f>VLOOKUP($A2,期货数据!$A$8:$AA$99,14,0)</f>
        <v>3050</v>
      </c>
      <c r="D2" s="1">
        <f>VLOOKUP($A2,期货数据!$A$8:$AA$99,26,0)</f>
        <v>0</v>
      </c>
      <c r="E2" s="1" t="str">
        <f>IFERROR(VLOOKUP(A2,手动输入表!$F$2:$J$99,4,0),"无")</f>
        <v>内蒙古</v>
      </c>
      <c r="F2" s="1">
        <f>IFERROR(VLOOKUP(A2,手动输入表!$F$2:$J$99,5,0),0)</f>
        <v>-600</v>
      </c>
      <c r="G2" s="1">
        <f>VLOOKUP($A2,期货数据!$A$8:$AA$99,15,0)</f>
        <v>225</v>
      </c>
      <c r="H2">
        <f>VLOOKUP($A2,期货数据!$A$8:$AA$99,27,0)</f>
        <v>68</v>
      </c>
      <c r="I2" s="28">
        <f>VLOOKUP($A2,期货数据!$A$8:$AA$99,20,0)</f>
        <v>7.9646017699115043E-2</v>
      </c>
      <c r="J2" s="49">
        <f>VLOOKUP($A2,期货数据!$A$8:$AE$99,30,0)</f>
        <v>258.39999999999998</v>
      </c>
      <c r="K2" s="28">
        <f>VLOOKUP($A2,期货数据!$A$8:$AE$99,31,0)</f>
        <v>9.164601769911504E-2</v>
      </c>
      <c r="L2" s="28"/>
      <c r="M2" s="27">
        <f>VLOOKUP($A2,期货数据!$A$8:$AA$99,14,0)</f>
        <v>3050</v>
      </c>
      <c r="N2" s="27">
        <f>VLOOKUP($A2,期货数据!$A$8:$AA$99,10,0)</f>
        <v>2825</v>
      </c>
      <c r="O2" s="27">
        <f>VLOOKUP($A2,期货数据!$A$8:$AA$99,11,0)</f>
        <v>2643</v>
      </c>
      <c r="P2" s="27">
        <f>VLOOKUP($A2,期货数据!$A$8:$AA$99,12,0)</f>
        <v>2689</v>
      </c>
      <c r="R2" s="28">
        <f>(N2-O2)/O2</f>
        <v>6.886114264093833E-2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10440</v>
      </c>
      <c r="D3" s="1">
        <f>VLOOKUP($A3,期货数据!$A$8:$AA$99,26,0)</f>
        <v>-225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-700</v>
      </c>
      <c r="H3">
        <f>VLOOKUP($A3,期货数据!$A$8:$AA$99,27,0)</f>
        <v>0</v>
      </c>
      <c r="I3" s="28">
        <f>VLOOKUP($A3,期货数据!$A$8:$AA$99,20,0)</f>
        <v>-6.283662477558348E-2</v>
      </c>
      <c r="J3" s="49">
        <f>VLOOKUP($A3,期货数据!$A$8:$AE$99,30,0)</f>
        <v>1465.3000000000002</v>
      </c>
      <c r="K3" s="28">
        <f>VLOOKUP($A3,期货数据!$A$8:$AE$99,31,0)</f>
        <v>7.316337522441653E-2</v>
      </c>
      <c r="M3" s="27">
        <f>VLOOKUP($A3,期货数据!$A$8:$AA$99,14,0)</f>
        <v>10440</v>
      </c>
      <c r="N3" s="27">
        <f>VLOOKUP($A3,期货数据!$A$8:$AA$99,10,0)</f>
        <v>11140</v>
      </c>
      <c r="O3" s="27">
        <f>VLOOKUP($A3,期货数据!$A$8:$AA$99,11,0)</f>
        <v>11555</v>
      </c>
      <c r="P3" s="27">
        <f>VLOOKUP($A3,期货数据!$A$8:$AA$99,12,0)</f>
        <v>13515</v>
      </c>
      <c r="R3" s="28">
        <f t="shared" ref="R3:R30" si="0">(N3-O3)/O3</f>
        <v>-3.5915188230203378E-2</v>
      </c>
    </row>
    <row r="4" spans="1:18">
      <c r="A4" t="str">
        <f>INDEX(期货数据!$A$8:$A$99,MATCH(ROW()-1,期货数据!$W$8:$W$99,0))</f>
        <v>玉米</v>
      </c>
      <c r="B4" s="25"/>
      <c r="C4" s="1">
        <f>VLOOKUP($A4,期货数据!$A$8:$AA$99,14,0)</f>
        <v>1820</v>
      </c>
      <c r="D4" s="1">
        <f>VLOOKUP($A4,期货数据!$A$8:$AA$99,26,0)</f>
        <v>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38</v>
      </c>
      <c r="H4">
        <f>VLOOKUP($A4,期货数据!$A$8:$AA$99,27,0)</f>
        <v>-13</v>
      </c>
      <c r="I4" s="28">
        <f>VLOOKUP($A4,期货数据!$A$8:$AA$99,20,0)</f>
        <v>2.1324354657687991E-2</v>
      </c>
      <c r="J4" s="49">
        <f>VLOOKUP($A4,期货数据!$A$8:$AE$99,30,0)</f>
        <v>108</v>
      </c>
      <c r="K4" s="28">
        <f>VLOOKUP($A4,期货数据!$A$8:$AE$99,31,0)</f>
        <v>6.2324354657687993E-2</v>
      </c>
      <c r="M4" s="27">
        <f>VLOOKUP($A4,期货数据!$A$8:$AA$99,14,0)</f>
        <v>1820</v>
      </c>
      <c r="N4" s="27">
        <f>VLOOKUP($A4,期货数据!$A$8:$AA$99,10,0)</f>
        <v>1782</v>
      </c>
      <c r="O4" s="27">
        <f>VLOOKUP($A4,期货数据!$A$8:$AA$99,11,0)</f>
        <v>1742</v>
      </c>
      <c r="P4" s="27">
        <f>VLOOKUP($A4,期货数据!$A$8:$AA$99,12,0)</f>
        <v>1777</v>
      </c>
      <c r="R4" s="28">
        <f t="shared" si="0"/>
        <v>2.2962112514351322E-2</v>
      </c>
    </row>
    <row r="5" spans="1:18">
      <c r="A5" t="str">
        <f>INDEX(期货数据!$A$8:$A$99,MATCH(ROW()-1,期货数据!$W$8:$W$99,0))</f>
        <v>玻璃</v>
      </c>
      <c r="B5" s="25"/>
      <c r="C5" s="1">
        <f>VLOOKUP($A5,期货数据!$A$8:$AA$99,14,0)</f>
        <v>1460</v>
      </c>
      <c r="D5" s="1">
        <f>VLOOKUP($A5,期货数据!$A$8:$AA$99,26,0)</f>
        <v>0</v>
      </c>
      <c r="E5" s="1" t="str">
        <f>IFERROR(VLOOKUP(A5,手动输入表!$F$2:$J$99,4,0),"无")</f>
        <v>沙河</v>
      </c>
      <c r="F5" s="1">
        <f>IFERROR(VLOOKUP(A5,手动输入表!$F$2:$J$99,5,0),0)</f>
        <v>0</v>
      </c>
      <c r="G5" s="1">
        <f>VLOOKUP($A5,期货数据!$A$8:$AA$99,15,0)</f>
        <v>47</v>
      </c>
      <c r="H5">
        <f>VLOOKUP($A5,期货数据!$A$8:$AA$99,27,0)</f>
        <v>16</v>
      </c>
      <c r="I5" s="28">
        <f>VLOOKUP($A5,期货数据!$A$8:$AA$99,20,0)</f>
        <v>3.3262561924982309E-2</v>
      </c>
      <c r="J5" s="49">
        <f>VLOOKUP($A5,期货数据!$A$8:$AE$99,30,0)</f>
        <v>47</v>
      </c>
      <c r="K5" s="28">
        <f>VLOOKUP($A5,期货数据!$A$8:$AE$99,31,0)</f>
        <v>3.3262561924982309E-2</v>
      </c>
      <c r="M5" s="27">
        <f>VLOOKUP($A5,期货数据!$A$8:$AA$99,14,0)</f>
        <v>1460</v>
      </c>
      <c r="N5" s="27">
        <f>VLOOKUP($A5,期货数据!$A$8:$AA$99,10,0)</f>
        <v>1413</v>
      </c>
      <c r="O5" s="27">
        <f>VLOOKUP($A5,期货数据!$A$8:$AA$99,11,0)</f>
        <v>1373</v>
      </c>
      <c r="P5" s="27">
        <f>VLOOKUP($A5,期货数据!$A$8:$AA$99,12,0)</f>
        <v>1319</v>
      </c>
      <c r="R5" s="28">
        <f t="shared" si="0"/>
        <v>2.9133284777858703E-2</v>
      </c>
    </row>
    <row r="6" spans="1:18">
      <c r="A6" t="str">
        <f>INDEX(期货数据!$A$8:$A$99,MATCH(ROW()-1,期货数据!$W$8:$W$99,0))</f>
        <v>PTA</v>
      </c>
      <c r="B6" s="25"/>
      <c r="C6" s="1">
        <f>VLOOKUP($A6,期货数据!$A$8:$AA$99,14,0)</f>
        <v>5598</v>
      </c>
      <c r="D6" s="1">
        <f>VLOOKUP($A6,期货数据!$A$8:$AA$99,26,0)</f>
        <v>-2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28</v>
      </c>
      <c r="H6">
        <f>VLOOKUP($A6,期货数据!$A$8:$AA$99,27,0)</f>
        <v>38</v>
      </c>
      <c r="I6" s="28">
        <f>VLOOKUP($A6,期货数据!$A$8:$AA$99,20,0)</f>
        <v>5.0269299820466786E-3</v>
      </c>
      <c r="J6" s="49">
        <f>VLOOKUP($A6,期货数据!$A$8:$AE$99,30,0)</f>
        <v>115.1</v>
      </c>
      <c r="K6" s="28">
        <f>VLOOKUP($A6,期货数据!$A$8:$AE$99,31,0)</f>
        <v>2.2026929982046681E-2</v>
      </c>
      <c r="M6" s="27">
        <f>VLOOKUP($A6,期货数据!$A$8:$AA$99,14,0)</f>
        <v>5598</v>
      </c>
      <c r="N6" s="27">
        <f>VLOOKUP($A6,期货数据!$A$8:$AA$99,10,0)</f>
        <v>5570</v>
      </c>
      <c r="O6" s="27">
        <f>VLOOKUP($A6,期货数据!$A$8:$AA$99,11,0)</f>
        <v>5576</v>
      </c>
      <c r="P6" s="27">
        <f>VLOOKUP($A6,期货数据!$A$8:$AA$99,12,0)</f>
        <v>5570</v>
      </c>
      <c r="R6" s="28">
        <f t="shared" si="0"/>
        <v>-1.0760401721664275E-3</v>
      </c>
    </row>
    <row r="7" spans="1:18">
      <c r="A7" t="str">
        <f>INDEX(期货数据!$A$8:$A$99,MATCH(ROW()-1,期货数据!$W$8:$W$99,0))</f>
        <v>沥青</v>
      </c>
      <c r="B7" s="25"/>
      <c r="C7" s="1">
        <f>VLOOKUP($A7,期货数据!$A$8:$AA$99,14,0)</f>
        <v>2760</v>
      </c>
      <c r="D7" s="1">
        <f>VLOOKUP($A7,期货数据!$A$8:$AA$99,26,0)</f>
        <v>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-72</v>
      </c>
      <c r="H7">
        <f>VLOOKUP($A7,期货数据!$A$8:$AA$99,27,0)</f>
        <v>30</v>
      </c>
      <c r="I7" s="28">
        <f>VLOOKUP($A7,期货数据!$A$8:$AA$99,20,0)</f>
        <v>-2.5423728813559324E-2</v>
      </c>
      <c r="J7" s="49">
        <f>VLOOKUP($A7,期货数据!$A$8:$AE$99,30,0)</f>
        <v>26</v>
      </c>
      <c r="K7" s="28">
        <f>VLOOKUP($A7,期货数据!$A$8:$AE$99,31,0)</f>
        <v>1.0576271186440674E-2</v>
      </c>
      <c r="M7" s="27">
        <f>VLOOKUP($A7,期货数据!$A$8:$AA$99,14,0)</f>
        <v>2760</v>
      </c>
      <c r="N7" s="27">
        <f>VLOOKUP($A7,期货数据!$A$8:$AA$99,10,0)</f>
        <v>2832</v>
      </c>
      <c r="O7" s="27">
        <f>VLOOKUP($A7,期货数据!$A$8:$AA$99,11,0)</f>
        <v>2900</v>
      </c>
      <c r="P7" s="27">
        <f>VLOOKUP($A7,期货数据!$A$8:$AA$99,12,0)</f>
        <v>2974</v>
      </c>
      <c r="R7" s="28">
        <f t="shared" si="0"/>
        <v>-2.3448275862068966E-2</v>
      </c>
    </row>
    <row r="8" spans="1:18">
      <c r="A8" t="str">
        <f>INDEX(期货数据!$A$8:$A$99,MATCH(ROW()-1,期货数据!$W$8:$W$99,0))</f>
        <v>LLDPE</v>
      </c>
      <c r="B8" s="25"/>
      <c r="C8" s="1">
        <f>VLOOKUP($A8,期货数据!$A$8:$AA$99,14,0)</f>
        <v>9200</v>
      </c>
      <c r="D8" s="1">
        <f>VLOOKUP($A8,期货数据!$A$8:$AA$99,26,0)</f>
        <v>-195</v>
      </c>
      <c r="E8" s="1" t="str">
        <f>IFERROR(VLOOKUP(A8,手动输入表!$F$2:$J$99,4,0),"无")</f>
        <v>华北</v>
      </c>
      <c r="F8" s="1">
        <f>IFERROR(VLOOKUP(A8,手动输入表!$F$2:$J$99,5,0),0)</f>
        <v>0</v>
      </c>
      <c r="G8" s="1">
        <f>VLOOKUP($A8,期货数据!$A$8:$AA$99,15,0)</f>
        <v>0</v>
      </c>
      <c r="H8">
        <f>VLOOKUP($A8,期货数据!$A$8:$AA$99,27,0)</f>
        <v>-35</v>
      </c>
      <c r="I8" s="28">
        <f>VLOOKUP($A8,期货数据!$A$8:$AA$99,20,0)</f>
        <v>0</v>
      </c>
      <c r="J8" s="49">
        <f>VLOOKUP($A8,期货数据!$A$8:$AE$99,30,0)</f>
        <v>103.2</v>
      </c>
      <c r="K8" s="28">
        <f>VLOOKUP($A8,期货数据!$A$8:$AE$99,31,0)</f>
        <v>0.01</v>
      </c>
      <c r="M8" s="27">
        <f>VLOOKUP($A8,期货数据!$A$8:$AA$99,14,0)</f>
        <v>9200</v>
      </c>
      <c r="N8" s="27">
        <f>VLOOKUP($A8,期货数据!$A$8:$AA$99,10,0)</f>
        <v>9200</v>
      </c>
      <c r="O8" s="27">
        <f>VLOOKUP($A8,期货数据!$A$8:$AA$99,11,0)</f>
        <v>9130</v>
      </c>
      <c r="P8" s="27">
        <f>VLOOKUP($A8,期货数据!$A$8:$AA$99,12,0)</f>
        <v>9075</v>
      </c>
      <c r="R8" s="28">
        <f t="shared" si="0"/>
        <v>7.6670317634173054E-3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24600</v>
      </c>
      <c r="D9" s="1">
        <f>VLOOKUP($A9,期货数据!$A$8:$AA$99,26,0)</f>
        <v>-150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205</v>
      </c>
      <c r="H9">
        <f>VLOOKUP($A9,期货数据!$A$8:$AA$99,27,0)</f>
        <v>-15</v>
      </c>
      <c r="I9" s="28">
        <f>VLOOKUP($A9,期货数据!$A$8:$AA$99,20,0)</f>
        <v>8.4033613445378148E-3</v>
      </c>
      <c r="J9" s="49">
        <f>VLOOKUP($A9,期货数据!$A$8:$AE$99,30,0)</f>
        <v>205</v>
      </c>
      <c r="K9" s="28">
        <f>VLOOKUP($A9,期货数据!$A$8:$AE$99,31,0)</f>
        <v>8.4033613445378148E-3</v>
      </c>
      <c r="M9" s="27">
        <f>VLOOKUP($A9,期货数据!$A$8:$AA$99,14,0)</f>
        <v>24600</v>
      </c>
      <c r="N9" s="27">
        <f>VLOOKUP($A9,期货数据!$A$8:$AA$99,10,0)</f>
        <v>24395</v>
      </c>
      <c r="O9" s="27">
        <f>VLOOKUP($A9,期货数据!$A$8:$AA$99,11,0)</f>
        <v>24260</v>
      </c>
      <c r="P9" s="27">
        <f>VLOOKUP($A9,期货数据!$A$8:$AA$99,12,0)</f>
        <v>24160</v>
      </c>
      <c r="R9" s="28">
        <f t="shared" si="0"/>
        <v>5.5647155812036274E-3</v>
      </c>
    </row>
    <row r="10" spans="1:18">
      <c r="A10" t="str">
        <f>INDEX(期货数据!$A$8:$A$99,MATCH(ROW()-1,期货数据!$W$8:$W$99,0))</f>
        <v>PVC</v>
      </c>
      <c r="B10" s="25"/>
      <c r="C10" s="1">
        <f>VLOOKUP($A10,期货数据!$A$8:$AA$99,14,0)</f>
        <v>6585</v>
      </c>
      <c r="D10" s="1">
        <f>VLOOKUP($A10,期货数据!$A$8:$AA$99,26,0)</f>
        <v>0</v>
      </c>
      <c r="E10" s="1" t="str">
        <f>IFERROR(VLOOKUP(A10,手动输入表!$F$2:$J$99,4,0),"无")</f>
        <v>华东</v>
      </c>
      <c r="F10" s="1">
        <f>IFERROR(VLOOKUP(A10,手动输入表!$F$2:$J$99,5,0),0)</f>
        <v>0</v>
      </c>
      <c r="G10" s="1">
        <f>VLOOKUP($A10,期货数据!$A$8:$AA$99,15,0)</f>
        <v>30</v>
      </c>
      <c r="H10">
        <f>VLOOKUP($A10,期货数据!$A$8:$AA$99,27,0)</f>
        <v>75</v>
      </c>
      <c r="I10" s="28">
        <f>VLOOKUP($A10,期货数据!$A$8:$AA$99,20,0)</f>
        <v>4.5766590389016018E-3</v>
      </c>
      <c r="J10" s="49">
        <f>VLOOKUP($A10,期货数据!$A$8:$AE$99,30,0)</f>
        <v>30</v>
      </c>
      <c r="K10" s="28">
        <f>VLOOKUP($A10,期货数据!$A$8:$AE$99,31,0)</f>
        <v>4.5766590389016018E-3</v>
      </c>
      <c r="M10" s="27">
        <f>VLOOKUP($A10,期货数据!$A$8:$AA$99,14,0)</f>
        <v>6585</v>
      </c>
      <c r="N10" s="27">
        <f>VLOOKUP($A10,期货数据!$A$8:$AA$99,10,0)</f>
        <v>6555</v>
      </c>
      <c r="O10" s="27">
        <f>VLOOKUP($A10,期货数据!$A$8:$AA$99,11,0)</f>
        <v>6630</v>
      </c>
      <c r="P10" s="27">
        <f>VLOOKUP($A10,期货数据!$A$8:$AA$99,12,0)</f>
        <v>6530</v>
      </c>
      <c r="R10" s="28">
        <f t="shared" si="0"/>
        <v>-1.1312217194570135E-2</v>
      </c>
    </row>
    <row r="11" spans="1:18">
      <c r="A11" t="str">
        <f>INDEX(期货数据!$A$8:$A$99,MATCH(ROW()-1,期货数据!$W$8:$W$99,0))</f>
        <v>白糖</v>
      </c>
      <c r="B11" s="25"/>
      <c r="C11" s="1">
        <f>VLOOKUP($A11,期货数据!$A$8:$AA$99,14,0)</f>
        <v>5630</v>
      </c>
      <c r="D11" s="1">
        <f>VLOOKUP($A11,期货数据!$A$8:$AA$99,26,0)</f>
        <v>0</v>
      </c>
      <c r="E11" s="1" t="str">
        <f>IFERROR(VLOOKUP(A11,手动输入表!$F$2:$J$99,4,0),"无")</f>
        <v>南宁</v>
      </c>
      <c r="F11" s="1">
        <f>IFERROR(VLOOKUP(A11,手动输入表!$F$2:$J$99,5,0),0)</f>
        <v>0</v>
      </c>
      <c r="G11" s="1">
        <f>VLOOKUP($A11,期货数据!$A$8:$AA$99,15,0)</f>
        <v>211</v>
      </c>
      <c r="H11">
        <f>VLOOKUP($A11,期货数据!$A$8:$AA$99,27,0)</f>
        <v>-33</v>
      </c>
      <c r="I11" s="28">
        <f>VLOOKUP($A11,期货数据!$A$8:$AA$99,20,0)</f>
        <v>3.8937073260749216E-2</v>
      </c>
      <c r="J11" s="49">
        <f>VLOOKUP($A11,期货数据!$A$8:$AE$99,30,0)</f>
        <v>-8</v>
      </c>
      <c r="K11" s="28">
        <f>VLOOKUP($A11,期货数据!$A$8:$AE$99,31,0)</f>
        <v>2.9370732607492192E-3</v>
      </c>
      <c r="M11" s="27">
        <f>VLOOKUP($A11,期货数据!$A$8:$AA$99,14,0)</f>
        <v>5630</v>
      </c>
      <c r="N11" s="27">
        <f>VLOOKUP($A11,期货数据!$A$8:$AA$99,10,0)</f>
        <v>5419</v>
      </c>
      <c r="O11" s="27">
        <f>VLOOKUP($A11,期货数据!$A$8:$AA$99,11,0)</f>
        <v>5500</v>
      </c>
      <c r="P11" s="27">
        <f>VLOOKUP($A11,期货数据!$A$8:$AA$99,12,0)</f>
        <v>5466</v>
      </c>
      <c r="R11" s="28">
        <f t="shared" si="0"/>
        <v>-1.4727272727272728E-2</v>
      </c>
    </row>
    <row r="12" spans="1:18">
      <c r="A12" t="str">
        <f>INDEX(期货数据!$A$8:$A$99,MATCH(ROW()-1,期货数据!$W$8:$W$99,0))</f>
        <v>棉纱</v>
      </c>
      <c r="B12" s="25"/>
      <c r="C12" s="1">
        <f>VLOOKUP($A12,期货数据!$A$8:$AA$99,14,0)</f>
        <v>23150</v>
      </c>
      <c r="D12" s="1">
        <f>VLOOKUP($A12,期货数据!$A$8:$AA$99,26,0)</f>
        <v>0</v>
      </c>
      <c r="E12" s="1" t="str">
        <f>IFERROR(VLOOKUP(A12,手动输入表!$F$2:$J$99,4,0),"无")</f>
        <v>江苏</v>
      </c>
      <c r="F12" s="1">
        <f>IFERROR(VLOOKUP(A12,手动输入表!$F$2:$J$99,5,0),0)</f>
        <v>0</v>
      </c>
      <c r="G12" s="1">
        <f>VLOOKUP($A12,期货数据!$A$8:$AA$99,15,0)</f>
        <v>35</v>
      </c>
      <c r="H12">
        <f>VLOOKUP($A12,期货数据!$A$8:$AA$99,27,0)</f>
        <v>0</v>
      </c>
      <c r="I12" s="28">
        <f>VLOOKUP($A12,期货数据!$A$8:$AA$99,20,0)</f>
        <v>1.5141682889898333E-3</v>
      </c>
      <c r="J12" s="49">
        <f>VLOOKUP($A12,期货数据!$A$8:$AE$99,30,0)</f>
        <v>35</v>
      </c>
      <c r="K12" s="28">
        <f>VLOOKUP($A12,期货数据!$A$8:$AE$99,31,0)</f>
        <v>1.5141682889898333E-3</v>
      </c>
      <c r="M12" s="27">
        <f>VLOOKUP($A12,期货数据!$A$8:$AA$99,14,0)</f>
        <v>23150</v>
      </c>
      <c r="N12" s="27">
        <f>VLOOKUP($A12,期货数据!$A$8:$AA$99,10,0)</f>
        <v>23115</v>
      </c>
      <c r="O12" s="27">
        <f>VLOOKUP($A12,期货数据!$A$8:$AA$99,11,0)</f>
        <v>23495</v>
      </c>
      <c r="P12" s="27">
        <f>VLOOKUP($A12,期货数据!$A$8:$AA$99,12,0)</f>
        <v>22985</v>
      </c>
      <c r="R12" s="28">
        <f t="shared" si="0"/>
        <v>-1.6173653968929558E-2</v>
      </c>
    </row>
    <row r="13" spans="1:18">
      <c r="A13" t="str">
        <f>INDEX(期货数据!$A$8:$A$99,MATCH(ROW()-1,期货数据!$W$8:$W$99,0))</f>
        <v>PP</v>
      </c>
      <c r="B13" s="25"/>
      <c r="C13" s="1">
        <f>VLOOKUP($A13,期货数据!$A$8:$AA$99,14,0)</f>
        <v>8671</v>
      </c>
      <c r="D13" s="1">
        <f>VLOOKUP($A13,期货数据!$A$8:$AA$99,26,0)</f>
        <v>-184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-50</v>
      </c>
      <c r="H13">
        <f>VLOOKUP($A13,期货数据!$A$8:$AA$99,27,0)</f>
        <v>0</v>
      </c>
      <c r="I13" s="28">
        <f>VLOOKUP($A13,期货数据!$A$8:$AA$99,20,0)</f>
        <v>-5.7332874670335968E-3</v>
      </c>
      <c r="J13" s="49">
        <f>VLOOKUP($A13,期货数据!$A$8:$AE$99,30,0)</f>
        <v>13.100000000000001</v>
      </c>
      <c r="K13" s="28">
        <f>VLOOKUP($A13,期货数据!$A$8:$AE$99,31,0)</f>
        <v>1.2667125329664033E-3</v>
      </c>
      <c r="M13" s="27">
        <f>VLOOKUP($A13,期货数据!$A$8:$AA$99,14,0)</f>
        <v>8671</v>
      </c>
      <c r="N13" s="27">
        <f>VLOOKUP($A13,期货数据!$A$8:$AA$99,10,0)</f>
        <v>8721</v>
      </c>
      <c r="O13" s="27">
        <f>VLOOKUP($A13,期货数据!$A$8:$AA$99,11,0)</f>
        <v>8805</v>
      </c>
      <c r="P13" s="27">
        <f>VLOOKUP($A13,期货数据!$A$8:$AA$99,12,0)</f>
        <v>8792</v>
      </c>
      <c r="R13" s="28">
        <f t="shared" si="0"/>
        <v>-9.5400340715502564E-3</v>
      </c>
    </row>
    <row r="14" spans="1:18">
      <c r="A14" t="str">
        <f>INDEX(期货数据!$A$8:$A$99,MATCH(ROW()-1,期货数据!$W$8:$W$99,0))</f>
        <v>菜油</v>
      </c>
      <c r="B14" s="25"/>
      <c r="C14" s="1">
        <f>VLOOKUP($A14,期货数据!$A$8:$AA$99,14,0)</f>
        <v>6610</v>
      </c>
      <c r="D14" s="1">
        <f>VLOOKUP($A14,期货数据!$A$8:$AA$99,26,0)</f>
        <v>0</v>
      </c>
      <c r="E14" s="1" t="str">
        <f>IFERROR(VLOOKUP(A14,手动输入表!$F$2:$J$99,4,0),"无")</f>
        <v>广东东莞</v>
      </c>
      <c r="F14" s="1">
        <f>IFERROR(VLOOKUP(A14,手动输入表!$F$2:$J$99,5,0),0)</f>
        <v>-240</v>
      </c>
      <c r="G14" s="1">
        <f>VLOOKUP($A14,期货数据!$A$8:$AA$99,15,0)</f>
        <v>304</v>
      </c>
      <c r="H14">
        <f>VLOOKUP($A14,期货数据!$A$8:$AA$99,27,0)</f>
        <v>-16</v>
      </c>
      <c r="I14" s="28">
        <f>VLOOKUP($A14,期货数据!$A$8:$AA$99,20,0)</f>
        <v>4.8208055819854108E-2</v>
      </c>
      <c r="J14" s="49">
        <f>VLOOKUP($A14,期货数据!$A$8:$AE$99,30,0)</f>
        <v>-113</v>
      </c>
      <c r="K14" s="28">
        <f>VLOOKUP($A14,期货数据!$A$8:$AE$99,31,0)</f>
        <v>-1.7919441801458949E-3</v>
      </c>
      <c r="M14" s="27">
        <f>VLOOKUP($A14,期货数据!$A$8:$AA$99,14,0)</f>
        <v>6610</v>
      </c>
      <c r="N14" s="27">
        <f>VLOOKUP($A14,期货数据!$A$8:$AA$99,10,0)</f>
        <v>6306</v>
      </c>
      <c r="O14" s="27">
        <f>VLOOKUP($A14,期货数据!$A$8:$AA$99,11,0)</f>
        <v>6548</v>
      </c>
      <c r="P14" s="27">
        <f>VLOOKUP($A14,期货数据!$A$8:$AA$99,12,0)</f>
        <v>6698</v>
      </c>
      <c r="R14" s="28">
        <f t="shared" si="0"/>
        <v>-3.6957849725106906E-2</v>
      </c>
    </row>
    <row r="15" spans="1:18">
      <c r="A15" t="str">
        <f>INDEX(期货数据!$A$8:$A$99,MATCH(ROW()-1,期货数据!$W$8:$W$99,0))</f>
        <v>铜</v>
      </c>
      <c r="B15" s="25"/>
      <c r="C15" s="1">
        <f>VLOOKUP($A15,期货数据!$A$8:$AA$99,14,0)</f>
        <v>51240</v>
      </c>
      <c r="D15" s="1">
        <f>VLOOKUP($A15,期货数据!$A$8:$AA$99,26,0)</f>
        <v>-590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-160</v>
      </c>
      <c r="H15">
        <f>VLOOKUP($A15,期货数据!$A$8:$AA$99,27,0)</f>
        <v>-50</v>
      </c>
      <c r="I15" s="28">
        <f>VLOOKUP($A15,期货数据!$A$8:$AA$99,20,0)</f>
        <v>-3.1128404669260703E-3</v>
      </c>
      <c r="J15" s="49">
        <f>VLOOKUP($A15,期货数据!$A$8:$AE$99,30,0)</f>
        <v>-160</v>
      </c>
      <c r="K15" s="28">
        <f>VLOOKUP($A15,期货数据!$A$8:$AE$99,31,0)</f>
        <v>-3.1128404669260703E-3</v>
      </c>
      <c r="M15" s="27">
        <f>VLOOKUP($A15,期货数据!$A$8:$AA$99,14,0)</f>
        <v>51240</v>
      </c>
      <c r="N15" s="27">
        <f>VLOOKUP($A15,期货数据!$A$8:$AA$99,10,0)</f>
        <v>51400</v>
      </c>
      <c r="O15" s="27">
        <f>VLOOKUP($A15,期货数据!$A$8:$AA$99,11,0)</f>
        <v>51570</v>
      </c>
      <c r="P15" s="27">
        <f>VLOOKUP($A15,期货数据!$A$8:$AA$99,12,0)</f>
        <v>51740</v>
      </c>
      <c r="R15" s="28">
        <f t="shared" si="0"/>
        <v>-3.2964902074849719E-3</v>
      </c>
    </row>
    <row r="16" spans="1:18">
      <c r="A16" t="str">
        <f>INDEX(期货数据!$A$8:$A$99,MATCH(ROW()-1,期货数据!$W$8:$W$99,0))</f>
        <v>棉花</v>
      </c>
      <c r="B16" s="25"/>
      <c r="C16" s="1">
        <f>VLOOKUP($A16,期货数据!$A$8:$AA$99,14,0)</f>
        <v>15333</v>
      </c>
      <c r="D16" s="1">
        <f>VLOOKUP($A16,期货数据!$A$8:$AA$99,26,0)</f>
        <v>0</v>
      </c>
      <c r="E16" s="1" t="str">
        <f>IFERROR(VLOOKUP(A16,手动输入表!$F$2:$J$99,4,0),"无")</f>
        <v>新疆</v>
      </c>
      <c r="F16" s="1">
        <f>IFERROR(VLOOKUP(A16,手动输入表!$F$2:$J$99,5,0),0)</f>
        <v>0</v>
      </c>
      <c r="G16" s="1">
        <f>VLOOKUP($A16,期货数据!$A$8:$AA$99,15,0)</f>
        <v>488</v>
      </c>
      <c r="H16">
        <f>VLOOKUP($A16,期货数据!$A$8:$AA$99,27,0)</f>
        <v>25</v>
      </c>
      <c r="I16" s="28">
        <f>VLOOKUP($A16,期货数据!$A$8:$AA$99,20,0)</f>
        <v>3.2873021219265747E-2</v>
      </c>
      <c r="J16" s="49">
        <f>VLOOKUP($A16,期货数据!$A$8:$AE$99,30,0)</f>
        <v>-52</v>
      </c>
      <c r="K16" s="28">
        <f>VLOOKUP($A16,期货数据!$A$8:$AE$99,31,0)</f>
        <v>-3.1269787807342506E-3</v>
      </c>
      <c r="M16" s="27">
        <f>VLOOKUP($A16,期货数据!$A$8:$AA$99,14,0)</f>
        <v>15333</v>
      </c>
      <c r="N16" s="27">
        <f>VLOOKUP($A16,期货数据!$A$8:$AA$99,10,0)</f>
        <v>14845</v>
      </c>
      <c r="O16" s="27">
        <f>VLOOKUP($A16,期货数据!$A$8:$AA$99,11,0)</f>
        <v>15360</v>
      </c>
      <c r="P16" s="27">
        <f>VLOOKUP($A16,期货数据!$A$8:$AA$99,12,0)</f>
        <v>15910</v>
      </c>
      <c r="R16" s="28">
        <f t="shared" si="0"/>
        <v>-3.3528645833333336E-2</v>
      </c>
    </row>
    <row r="17" spans="1:18">
      <c r="A17" t="str">
        <f>INDEX(期货数据!$A$8:$A$99,MATCH(ROW()-1,期货数据!$W$8:$W$99,0))</f>
        <v>镍</v>
      </c>
      <c r="B17" s="25"/>
      <c r="C17" s="1">
        <f>VLOOKUP($A17,期货数据!$A$8:$AA$99,14,0)</f>
        <v>103350</v>
      </c>
      <c r="D17" s="1">
        <f>VLOOKUP($A17,期货数据!$A$8:$AA$99,26,0)</f>
        <v>-2450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-910</v>
      </c>
      <c r="H17">
        <f>VLOOKUP($A17,期货数据!$A$8:$AA$99,27,0)</f>
        <v>1410</v>
      </c>
      <c r="I17" s="28">
        <f>VLOOKUP($A17,期货数据!$A$8:$AA$99,20,0)</f>
        <v>-8.7281795511221939E-3</v>
      </c>
      <c r="J17" s="49">
        <f>VLOOKUP($A17,期货数据!$A$8:$AE$99,30,0)</f>
        <v>-910</v>
      </c>
      <c r="K17" s="28">
        <f>VLOOKUP($A17,期货数据!$A$8:$AE$99,31,0)</f>
        <v>-8.7281795511221939E-3</v>
      </c>
      <c r="M17" s="27">
        <f>VLOOKUP($A17,期货数据!$A$8:$AA$99,14,0)</f>
        <v>103350</v>
      </c>
      <c r="N17" s="27">
        <f>VLOOKUP($A17,期货数据!$A$8:$AA$99,10,0)</f>
        <v>104260</v>
      </c>
      <c r="O17" s="27">
        <f>VLOOKUP($A17,期货数据!$A$8:$AA$99,11,0)</f>
        <v>104620</v>
      </c>
      <c r="P17" s="27">
        <f>VLOOKUP($A17,期货数据!$A$8:$AA$99,12,0)</f>
        <v>105530</v>
      </c>
      <c r="R17" s="28">
        <f t="shared" si="0"/>
        <v>-3.4410246606767347E-3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14750</v>
      </c>
      <c r="D18" s="1">
        <f>VLOOKUP($A18,期货数据!$A$8:$AA$99,26,0)</f>
        <v>-320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-205</v>
      </c>
      <c r="H18">
        <f>VLOOKUP($A18,期货数据!$A$8:$AA$99,27,0)</f>
        <v>105</v>
      </c>
      <c r="I18" s="28">
        <f>VLOOKUP($A18,期货数据!$A$8:$AA$99,20,0)</f>
        <v>-1.3707790036776997E-2</v>
      </c>
      <c r="J18" s="49">
        <f>VLOOKUP($A18,期货数据!$A$8:$AE$99,30,0)</f>
        <v>-205</v>
      </c>
      <c r="K18" s="28">
        <f>VLOOKUP($A18,期货数据!$A$8:$AE$99,31,0)</f>
        <v>-1.3707790036776997E-2</v>
      </c>
      <c r="M18" s="27">
        <f>VLOOKUP($A18,期货数据!$A$8:$AA$99,14,0)</f>
        <v>14750</v>
      </c>
      <c r="N18" s="27">
        <f>VLOOKUP($A18,期货数据!$A$8:$AA$99,10,0)</f>
        <v>14955</v>
      </c>
      <c r="O18" s="27">
        <f>VLOOKUP($A18,期货数据!$A$8:$AA$99,11,0)</f>
        <v>15035</v>
      </c>
      <c r="P18" s="27">
        <f>VLOOKUP($A18,期货数据!$A$8:$AA$99,12,0)</f>
        <v>15120</v>
      </c>
      <c r="R18" s="28">
        <f t="shared" si="0"/>
        <v>-5.3209178583305617E-3</v>
      </c>
    </row>
    <row r="19" spans="1:18">
      <c r="A19" t="str">
        <f>INDEX(期货数据!$A$8:$A$99,MATCH(ROW()-1,期货数据!$W$8:$W$99,0))</f>
        <v>豆一</v>
      </c>
      <c r="B19" s="25"/>
      <c r="C19" s="1">
        <f>VLOOKUP($A19,期货数据!$A$8:$AA$99,14,0)</f>
        <v>3690</v>
      </c>
      <c r="D19" s="1">
        <f>VLOOKUP($A19,期货数据!$A$8:$AA$99,26,0)</f>
        <v>0</v>
      </c>
      <c r="E19" s="1" t="str">
        <f>IFERROR(VLOOKUP(A19,手动输入表!$F$2:$J$99,4,0),"无")</f>
        <v>哈尔滨</v>
      </c>
      <c r="F19" s="1">
        <f>IFERROR(VLOOKUP(A19,手动输入表!$F$2:$J$99,5,0),0)</f>
        <v>-150</v>
      </c>
      <c r="G19" s="1">
        <f>VLOOKUP($A19,期货数据!$A$8:$AA$99,15,0)</f>
        <v>-60</v>
      </c>
      <c r="H19">
        <f>VLOOKUP($A19,期货数据!$A$8:$AA$99,27,0)</f>
        <v>-14</v>
      </c>
      <c r="I19" s="28">
        <f>VLOOKUP($A19,期货数据!$A$8:$AA$99,20,0)</f>
        <v>-1.6E-2</v>
      </c>
      <c r="J19" s="49">
        <f>VLOOKUP($A19,期货数据!$A$8:$AE$99,30,0)</f>
        <v>-60</v>
      </c>
      <c r="K19" s="28">
        <f>VLOOKUP($A19,期货数据!$A$8:$AE$99,31,0)</f>
        <v>-1.6E-2</v>
      </c>
      <c r="M19" s="27">
        <f>VLOOKUP($A19,期货数据!$A$8:$AA$99,14,0)</f>
        <v>3690</v>
      </c>
      <c r="N19" s="27">
        <f>VLOOKUP($A19,期货数据!$A$8:$AA$99,10,0)</f>
        <v>3750</v>
      </c>
      <c r="O19" s="27">
        <f>VLOOKUP($A19,期货数据!$A$8:$AA$99,11,0)</f>
        <v>3875</v>
      </c>
      <c r="P19" s="27">
        <f>VLOOKUP($A19,期货数据!$A$8:$AA$99,12,0)</f>
        <v>3943</v>
      </c>
      <c r="R19" s="28">
        <f t="shared" si="0"/>
        <v>-3.2258064516129031E-2</v>
      </c>
    </row>
    <row r="20" spans="1:18">
      <c r="A20" t="str">
        <f>INDEX(期货数据!$A$8:$A$99,MATCH(ROW()-1,期货数据!$W$8:$W$99,0))</f>
        <v>淀粉</v>
      </c>
      <c r="B20" s="25"/>
      <c r="C20" s="1">
        <f>VLOOKUP($A20,期货数据!$A$8:$AA$99,14,0)</f>
        <v>2250</v>
      </c>
      <c r="D20" s="1">
        <f>VLOOKUP($A20,期货数据!$A$8:$AA$99,26,0)</f>
        <v>0</v>
      </c>
      <c r="E20" s="1" t="str">
        <f>IFERROR(VLOOKUP(A20,手动输入表!$F$2:$J$99,4,0),"无")</f>
        <v>东北</v>
      </c>
      <c r="F20" s="1">
        <f>IFERROR(VLOOKUP(A20,手动输入表!$F$2:$J$99,5,0),0)</f>
        <v>0</v>
      </c>
      <c r="G20" s="1">
        <f>VLOOKUP($A20,期货数据!$A$8:$AA$99,15,0)</f>
        <v>91</v>
      </c>
      <c r="H20">
        <f>VLOOKUP($A20,期货数据!$A$8:$AA$99,27,0)</f>
        <v>-12</v>
      </c>
      <c r="I20" s="28">
        <f>VLOOKUP($A20,期货数据!$A$8:$AA$99,20,0)</f>
        <v>4.2149143121815655E-2</v>
      </c>
      <c r="J20" s="49">
        <f>VLOOKUP($A20,期货数据!$A$8:$AE$99,30,0)</f>
        <v>90.6</v>
      </c>
      <c r="K20" s="28">
        <f>VLOOKUP($A20,期货数据!$A$8:$AE$99,31,0)</f>
        <v>-2.2850856878184347E-2</v>
      </c>
      <c r="M20" s="27">
        <f>VLOOKUP($A20,期货数据!$A$8:$AA$99,14,0)</f>
        <v>2250</v>
      </c>
      <c r="N20" s="27">
        <f>VLOOKUP($A20,期货数据!$A$8:$AA$99,10,0)</f>
        <v>2159</v>
      </c>
      <c r="O20" s="27">
        <f>VLOOKUP($A20,期货数据!$A$8:$AA$99,11,0)</f>
        <v>2136</v>
      </c>
      <c r="P20" s="27">
        <f>VLOOKUP($A20,期货数据!$A$8:$AA$99,12,0)</f>
        <v>2136</v>
      </c>
      <c r="R20" s="28">
        <f t="shared" si="0"/>
        <v>1.0767790262172285E-2</v>
      </c>
    </row>
    <row r="21" spans="1:18">
      <c r="A21" t="str">
        <f>INDEX(期货数据!$A$8:$A$99,MATCH(ROW()-1,期货数据!$W$8:$W$99,0))</f>
        <v>豆油</v>
      </c>
      <c r="B21" s="25"/>
      <c r="C21" s="1">
        <f>VLOOKUP($A21,期货数据!$A$8:$AA$99,14,0)</f>
        <v>5710</v>
      </c>
      <c r="D21" s="1">
        <f>VLOOKUP($A21,期货数据!$A$8:$AA$99,26,0)</f>
        <v>0</v>
      </c>
      <c r="E21" s="1" t="str">
        <f>IFERROR(VLOOKUP(A21,手动输入表!$F$2:$J$99,4,0),"无")</f>
        <v>日照</v>
      </c>
      <c r="F21" s="1">
        <f>IFERROR(VLOOKUP(A21,手动输入表!$F$2:$J$99,5,0),0)</f>
        <v>-50</v>
      </c>
      <c r="G21" s="1">
        <f>VLOOKUP($A21,期货数据!$A$8:$AA$99,15,0)</f>
        <v>62</v>
      </c>
      <c r="H21">
        <f>VLOOKUP($A21,期货数据!$A$8:$AA$99,27,0)</f>
        <v>4</v>
      </c>
      <c r="I21" s="28">
        <f>VLOOKUP($A21,期货数据!$A$8:$AA$99,20,0)</f>
        <v>1.0977337110481586E-2</v>
      </c>
      <c r="J21" s="49">
        <f>VLOOKUP($A21,期货数据!$A$8:$AE$99,30,0)</f>
        <v>-220</v>
      </c>
      <c r="K21" s="28">
        <f>VLOOKUP($A21,期货数据!$A$8:$AE$99,31,0)</f>
        <v>-2.9022662889518415E-2</v>
      </c>
      <c r="M21" s="27">
        <f>VLOOKUP($A21,期货数据!$A$8:$AA$99,14,0)</f>
        <v>5710</v>
      </c>
      <c r="N21" s="27">
        <f>VLOOKUP($A21,期货数据!$A$8:$AA$99,10,0)</f>
        <v>5648</v>
      </c>
      <c r="O21" s="27">
        <f>VLOOKUP($A21,期货数据!$A$8:$AA$99,11,0)</f>
        <v>5810</v>
      </c>
      <c r="P21" s="27">
        <f>VLOOKUP($A21,期货数据!$A$8:$AA$99,12,0)</f>
        <v>5964</v>
      </c>
      <c r="R21" s="28">
        <f t="shared" si="0"/>
        <v>-2.7882960413080894E-2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4040</v>
      </c>
      <c r="D22" s="1">
        <f>VLOOKUP($A22,期货数据!$A$8:$AA$99,26,0)</f>
        <v>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111</v>
      </c>
      <c r="H22">
        <f>VLOOKUP($A22,期货数据!$A$8:$AA$99,27,0)</f>
        <v>10</v>
      </c>
      <c r="I22" s="28">
        <f>VLOOKUP($A22,期货数据!$A$8:$AA$99,20,0)</f>
        <v>2.8251463476711633E-2</v>
      </c>
      <c r="J22" s="49">
        <f>VLOOKUP($A22,期货数据!$A$8:$AE$99,30,0)</f>
        <v>-103.80000000000001</v>
      </c>
      <c r="K22" s="28">
        <f>VLOOKUP($A22,期货数据!$A$8:$AE$99,31,0)</f>
        <v>-3.2748536523288366E-2</v>
      </c>
      <c r="M22" s="27">
        <f>VLOOKUP($A22,期货数据!$A$8:$AA$99,14,0)</f>
        <v>4040</v>
      </c>
      <c r="N22" s="27">
        <f>VLOOKUP($A22,期货数据!$A$8:$AA$99,10,0)</f>
        <v>3929</v>
      </c>
      <c r="O22" s="27">
        <f>VLOOKUP($A22,期货数据!$A$8:$AA$99,11,0)</f>
        <v>3587</v>
      </c>
      <c r="P22" s="27">
        <f>VLOOKUP($A22,期货数据!$A$8:$AA$99,12,0)</f>
        <v>3441</v>
      </c>
      <c r="R22" s="28">
        <f t="shared" si="0"/>
        <v>9.5344298856983548E-2</v>
      </c>
    </row>
    <row r="23" spans="1:18">
      <c r="A23" t="str">
        <f>INDEX(期货数据!$A$8:$A$99,MATCH(ROW()-1,期货数据!$W$8:$W$99,0))</f>
        <v>棕榈油</v>
      </c>
      <c r="B23" s="25"/>
      <c r="C23" s="1">
        <f>VLOOKUP($A23,期货数据!$A$8:$AA$99,14,0)</f>
        <v>5020</v>
      </c>
      <c r="D23" s="1">
        <f>VLOOKUP($A23,期货数据!$A$8:$AA$99,26,0)</f>
        <v>0</v>
      </c>
      <c r="E23" s="1" t="str">
        <f>IFERROR(VLOOKUP(A23,手动输入表!$F$2:$J$99,4,0),"无")</f>
        <v>天津港</v>
      </c>
      <c r="F23" s="1">
        <f>IFERROR(VLOOKUP(A23,手动输入表!$F$2:$J$99,5,0),0)</f>
        <v>100</v>
      </c>
      <c r="G23" s="1">
        <f>VLOOKUP($A23,期货数据!$A$8:$AA$99,15,0)</f>
        <v>-16</v>
      </c>
      <c r="H23">
        <f>VLOOKUP($A23,期货数据!$A$8:$AA$99,27,0)</f>
        <v>12</v>
      </c>
      <c r="I23" s="28">
        <f>VLOOKUP($A23,期货数据!$A$8:$AA$99,20,0)</f>
        <v>-3.177124702144559E-3</v>
      </c>
      <c r="J23" s="49">
        <f>VLOOKUP($A23,期货数据!$A$8:$AE$99,30,0)</f>
        <v>-214</v>
      </c>
      <c r="K23" s="28">
        <f>VLOOKUP($A23,期货数据!$A$8:$AE$99,31,0)</f>
        <v>-3.9177124702144558E-2</v>
      </c>
      <c r="M23" s="27">
        <f>VLOOKUP($A23,期货数据!$A$8:$AA$99,14,0)</f>
        <v>5020</v>
      </c>
      <c r="N23" s="27">
        <f>VLOOKUP($A23,期货数据!$A$8:$AA$99,10,0)</f>
        <v>5036</v>
      </c>
      <c r="O23" s="27">
        <f>VLOOKUP($A23,期货数据!$A$8:$AA$99,11,0)</f>
        <v>5010</v>
      </c>
      <c r="P23" s="27">
        <f>VLOOKUP($A23,期货数据!$A$8:$AA$99,12,0)</f>
        <v>5040</v>
      </c>
      <c r="R23" s="28">
        <f t="shared" si="0"/>
        <v>5.189620758483034E-3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2650</v>
      </c>
      <c r="D24" s="1">
        <f>VLOOKUP($A24,期货数据!$A$8:$AA$99,26,0)</f>
        <v>0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-7</v>
      </c>
      <c r="H24">
        <f>VLOOKUP($A24,期货数据!$A$8:$AA$99,27,0)</f>
        <v>-5</v>
      </c>
      <c r="I24" s="28">
        <f>VLOOKUP($A24,期货数据!$A$8:$AA$99,20,0)</f>
        <v>-2.6345502446368085E-3</v>
      </c>
      <c r="J24" s="49">
        <f>VLOOKUP($A24,期货数据!$A$8:$AE$99,30,0)</f>
        <v>-89</v>
      </c>
      <c r="K24" s="28">
        <f>VLOOKUP($A24,期货数据!$A$8:$AE$99,31,0)</f>
        <v>-3.9634550244636808E-2</v>
      </c>
      <c r="M24" s="27">
        <f>VLOOKUP($A24,期货数据!$A$8:$AA$99,14,0)</f>
        <v>2650</v>
      </c>
      <c r="N24" s="27">
        <f>VLOOKUP($A24,期货数据!$A$8:$AA$99,10,0)</f>
        <v>2657</v>
      </c>
      <c r="O24" s="27">
        <f>VLOOKUP($A24,期货数据!$A$8:$AA$99,11,0)</f>
        <v>2664</v>
      </c>
      <c r="P24" s="27">
        <f>VLOOKUP($A24,期货数据!$A$8:$AA$99,12,0)</f>
        <v>2533</v>
      </c>
      <c r="R24" s="28">
        <f t="shared" si="0"/>
        <v>-2.6276276276276278E-3</v>
      </c>
    </row>
    <row r="25" spans="1:18">
      <c r="A25" t="str">
        <f>INDEX(期货数据!$A$8:$A$99,MATCH(ROW()-1,期货数据!$W$8:$W$99,0))</f>
        <v>豆粕</v>
      </c>
      <c r="B25" s="25"/>
      <c r="C25" s="1">
        <f>VLOOKUP($A25,期货数据!$A$8:$AA$99,14,0)</f>
        <v>3180</v>
      </c>
      <c r="D25" s="1">
        <f>VLOOKUP($A25,期货数据!$A$8:$AA$99,26,0)</f>
        <v>0</v>
      </c>
      <c r="E25" s="1" t="str">
        <f>IFERROR(VLOOKUP(A25,手动输入表!$F$2:$J$99,4,0),"无")</f>
        <v>广东</v>
      </c>
      <c r="F25" s="1">
        <f>IFERROR(VLOOKUP(A25,手动输入表!$F$2:$J$99,5,0),0)</f>
        <v>0</v>
      </c>
      <c r="G25" s="1">
        <f>VLOOKUP($A25,期货数据!$A$8:$AA$99,15,0)</f>
        <v>18</v>
      </c>
      <c r="H25">
        <f>VLOOKUP($A25,期货数据!$A$8:$AA$99,27,0)</f>
        <v>-8</v>
      </c>
      <c r="I25" s="28">
        <f>VLOOKUP($A25,期货数据!$A$8:$AA$99,20,0)</f>
        <v>5.6925996204933585E-3</v>
      </c>
      <c r="J25" s="49">
        <f>VLOOKUP($A25,期货数据!$A$8:$AE$99,30,0)</f>
        <v>-125</v>
      </c>
      <c r="K25" s="28">
        <f>VLOOKUP($A25,期货数据!$A$8:$AE$99,31,0)</f>
        <v>-4.0307400379506642E-2</v>
      </c>
      <c r="M25" s="27">
        <f>VLOOKUP($A25,期货数据!$A$8:$AA$99,14,0)</f>
        <v>3180</v>
      </c>
      <c r="N25" s="27">
        <f>VLOOKUP($A25,期货数据!$A$8:$AA$99,10,0)</f>
        <v>3162</v>
      </c>
      <c r="O25" s="27">
        <f>VLOOKUP($A25,期货数据!$A$8:$AA$99,11,0)</f>
        <v>3232</v>
      </c>
      <c r="P25" s="27">
        <f>VLOOKUP($A25,期货数据!$A$8:$AA$99,12,0)</f>
        <v>3264</v>
      </c>
      <c r="R25" s="28">
        <f t="shared" si="0"/>
        <v>-2.1658415841584157E-2</v>
      </c>
    </row>
    <row r="26" spans="1:18">
      <c r="A26" t="str">
        <f>INDEX(期货数据!$A$8:$A$99,MATCH(ROW()-1,期货数据!$W$8:$W$99,0))</f>
        <v>焦煤</v>
      </c>
      <c r="B26" s="25"/>
      <c r="C26" s="1">
        <f>VLOOKUP($A26,期货数据!$A$8:$AA$99,14,0)</f>
        <v>1300</v>
      </c>
      <c r="D26" s="1">
        <f>VLOOKUP($A26,期货数据!$A$8:$AA$99,26,0)</f>
        <v>0</v>
      </c>
      <c r="E26" s="1" t="str">
        <f>IFERROR(VLOOKUP(A26,手动输入表!$F$2:$J$99,4,0),"无")</f>
        <v>日照港</v>
      </c>
      <c r="F26" s="1">
        <f>IFERROR(VLOOKUP(A26,手动输入表!$F$2:$J$99,5,0),0)</f>
        <v>0</v>
      </c>
      <c r="G26" s="1">
        <f>VLOOKUP($A26,期货数据!$A$8:$AA$99,15,0)</f>
        <v>83.5</v>
      </c>
      <c r="H26">
        <f>VLOOKUP($A26,期货数据!$A$8:$AA$99,27,0)</f>
        <v>58.5</v>
      </c>
      <c r="I26" s="28">
        <f>VLOOKUP($A26,期货数据!$A$8:$AA$99,20,0)</f>
        <v>6.8639539662967528E-2</v>
      </c>
      <c r="J26" s="49">
        <f>VLOOKUP($A26,期货数据!$A$8:$AE$99,30,0)</f>
        <v>-52.699999999999989</v>
      </c>
      <c r="K26" s="28">
        <f>VLOOKUP($A26,期货数据!$A$8:$AE$99,31,0)</f>
        <v>-5.4360460337032471E-2</v>
      </c>
      <c r="M26" s="27">
        <f>VLOOKUP($A26,期货数据!$A$8:$AA$99,14,0)</f>
        <v>1300</v>
      </c>
      <c r="N26" s="27">
        <f>VLOOKUP($A26,期货数据!$A$8:$AA$99,10,0)</f>
        <v>1216.5</v>
      </c>
      <c r="O26" s="27">
        <f>VLOOKUP($A26,期货数据!$A$8:$AA$99,11,0)</f>
        <v>1130.5</v>
      </c>
      <c r="P26" s="27">
        <f>VLOOKUP($A26,期货数据!$A$8:$AA$99,12,0)</f>
        <v>1097.5</v>
      </c>
      <c r="R26" s="28">
        <f t="shared" si="0"/>
        <v>7.6072534276868636E-2</v>
      </c>
    </row>
    <row r="27" spans="1:18">
      <c r="A27" t="str">
        <f>INDEX(期货数据!$A$8:$A$99,MATCH(ROW()-1,期货数据!$W$8:$W$99,0))</f>
        <v>螺纹钢</v>
      </c>
      <c r="B27" s="25"/>
      <c r="C27" s="1">
        <f>VLOOKUP($A27,期货数据!$A$8:$AA$99,14,0)</f>
        <v>3948.5</v>
      </c>
      <c r="D27" s="1">
        <f>VLOOKUP($A27,期货数据!$A$8:$AA$99,26,0)</f>
        <v>-20.5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217.5</v>
      </c>
      <c r="H27">
        <f>VLOOKUP($A27,期货数据!$A$8:$AA$99,27,0)</f>
        <v>27.5</v>
      </c>
      <c r="I27" s="28">
        <f>VLOOKUP($A27,期货数据!$A$8:$AA$99,20,0)</f>
        <v>5.8295363173411954E-2</v>
      </c>
      <c r="J27" s="49">
        <f>VLOOKUP($A27,期货数据!$A$8:$AE$99,30,0)</f>
        <v>-184.60000000000002</v>
      </c>
      <c r="K27" s="28">
        <f>VLOOKUP($A27,期货数据!$A$8:$AE$99,31,0)</f>
        <v>-6.3704636826588043E-2</v>
      </c>
      <c r="M27" s="27">
        <f>VLOOKUP($A27,期货数据!$A$8:$AA$99,14,0)</f>
        <v>3948.5</v>
      </c>
      <c r="N27" s="27">
        <f>VLOOKUP($A27,期货数据!$A$8:$AA$99,10,0)</f>
        <v>3731</v>
      </c>
      <c r="O27" s="27">
        <f>VLOOKUP($A27,期货数据!$A$8:$AA$99,11,0)</f>
        <v>3454</v>
      </c>
      <c r="P27" s="27">
        <f>VLOOKUP($A27,期货数据!$A$8:$AA$99,12,0)</f>
        <v>3321</v>
      </c>
      <c r="R27" s="28">
        <f t="shared" si="0"/>
        <v>8.0196873190503767E-2</v>
      </c>
    </row>
    <row r="28" spans="1:18">
      <c r="A28" t="str">
        <f>INDEX(期货数据!$A$8:$A$99,MATCH(ROW()-1,期货数据!$W$8:$W$99,0))</f>
        <v>动力煤</v>
      </c>
      <c r="B28" s="25"/>
      <c r="C28" s="1">
        <f>VLOOKUP($A28,期货数据!$A$8:$AA$99,14,0)</f>
        <v>569</v>
      </c>
      <c r="D28" s="1">
        <f>VLOOKUP($A28,期货数据!$A$8:$AA$99,26,0)</f>
        <v>0</v>
      </c>
      <c r="E28" s="1" t="str">
        <f>IFERROR(VLOOKUP(A28,手动输入表!$F$2:$J$99,4,0),"无")</f>
        <v>秦皇岛港</v>
      </c>
      <c r="F28" s="1">
        <f>IFERROR(VLOOKUP(A28,手动输入表!$F$2:$J$99,5,0),0)</f>
        <v>0</v>
      </c>
      <c r="G28" s="1">
        <f>VLOOKUP($A28,期货数据!$A$8:$AA$99,15,0)</f>
        <v>-18.399999999999977</v>
      </c>
      <c r="H28">
        <f>VLOOKUP($A28,期货数据!$A$8:$AA$99,27,0)</f>
        <v>1.8000000000000682</v>
      </c>
      <c r="I28" s="28">
        <f>VLOOKUP($A28,期货数据!$A$8:$AA$99,20,0)</f>
        <v>-3.1324480762682974E-2</v>
      </c>
      <c r="J28" s="49">
        <f>VLOOKUP($A28,期货数据!$A$8:$AE$99,30,0)</f>
        <v>-43.499999999999979</v>
      </c>
      <c r="K28" s="28">
        <f>VLOOKUP($A28,期货数据!$A$8:$AE$99,31,0)</f>
        <v>-7.7324480762682973E-2</v>
      </c>
      <c r="M28" s="27">
        <f>VLOOKUP($A28,期货数据!$A$8:$AA$99,14,0)</f>
        <v>569</v>
      </c>
      <c r="N28" s="27">
        <f>VLOOKUP($A28,期货数据!$A$8:$AA$99,10,0)</f>
        <v>587.4</v>
      </c>
      <c r="O28" s="27">
        <f>VLOOKUP($A28,期货数据!$A$8:$AA$99,11,0)</f>
        <v>587.6</v>
      </c>
      <c r="P28" s="27">
        <f>VLOOKUP($A28,期货数据!$A$8:$AA$99,12,0)</f>
        <v>590.6</v>
      </c>
      <c r="R28" s="28">
        <f t="shared" si="0"/>
        <v>-3.4036759700484254E-4</v>
      </c>
    </row>
    <row r="29" spans="1:18">
      <c r="A29" t="str">
        <f>INDEX(期货数据!$A$8:$A$99,MATCH(ROW()-1,期货数据!$W$8:$W$99,0))</f>
        <v>焦炭</v>
      </c>
      <c r="B29" s="25"/>
      <c r="C29" s="1">
        <f>VLOOKUP($A29,期货数据!$A$8:$AA$99,14,0)</f>
        <v>1830</v>
      </c>
      <c r="D29" s="1">
        <f>VLOOKUP($A29,期货数据!$A$8:$AA$99,26,0)</f>
        <v>0</v>
      </c>
      <c r="E29" s="1" t="str">
        <f>IFERROR(VLOOKUP(A29,手动输入表!$F$2:$J$99,4,0),"无")</f>
        <v>日照</v>
      </c>
      <c r="F29" s="1">
        <f>IFERROR(VLOOKUP(A29,手动输入表!$F$2:$J$99,5,0),0)</f>
        <v>0</v>
      </c>
      <c r="G29" s="1">
        <f>VLOOKUP($A29,期货数据!$A$8:$AA$99,15,0)</f>
        <v>28.5</v>
      </c>
      <c r="H29">
        <f>VLOOKUP($A29,期货数据!$A$8:$AA$99,27,0)</f>
        <v>30</v>
      </c>
      <c r="I29" s="28">
        <f>VLOOKUP($A29,期货数据!$A$8:$AA$99,20,0)</f>
        <v>1.5820149875104082E-2</v>
      </c>
      <c r="J29" s="49">
        <f>VLOOKUP($A29,期货数据!$A$8:$AE$99,30,0)</f>
        <v>-175.3</v>
      </c>
      <c r="K29" s="28">
        <f>VLOOKUP($A29,期货数据!$A$8:$AE$99,31,0)</f>
        <v>-0.10917985012489592</v>
      </c>
      <c r="M29" s="27">
        <f>VLOOKUP($A29,期货数据!$A$8:$AA$99,14,0)</f>
        <v>1830</v>
      </c>
      <c r="N29" s="27">
        <f>VLOOKUP($A29,期货数据!$A$8:$AA$99,10,0)</f>
        <v>1801.5</v>
      </c>
      <c r="O29" s="27">
        <f>VLOOKUP($A29,期货数据!$A$8:$AA$99,11,0)</f>
        <v>1840</v>
      </c>
      <c r="P29" s="27">
        <f>VLOOKUP($A29,期货数据!$A$8:$AA$99,12,0)</f>
        <v>1797</v>
      </c>
      <c r="R29" s="28">
        <f t="shared" si="0"/>
        <v>-2.0923913043478262E-2</v>
      </c>
    </row>
    <row r="30" spans="1:18">
      <c r="A30" t="str">
        <f>INDEX(期货数据!$A$8:$A$99,MATCH(ROW()-1,期货数据!$W$8:$W$99,0))</f>
        <v>铁矿石</v>
      </c>
      <c r="B30" s="25"/>
      <c r="C30" s="1">
        <f>VLOOKUP($A30,期货数据!$A$8:$AA$99,14,0)</f>
        <v>434.7</v>
      </c>
      <c r="D30" s="1">
        <f>VLOOKUP($A30,期货数据!$A$8:$AA$99,26,0)</f>
        <v>0</v>
      </c>
      <c r="E30" s="1" t="str">
        <f>IFERROR(VLOOKUP(A30,手动输入表!$F$2:$J$99,4,0),"无")</f>
        <v>青岛港</v>
      </c>
      <c r="F30" s="1">
        <f>IFERROR(VLOOKUP(A30,手动输入表!$F$2:$J$99,5,0),0)</f>
        <v>0</v>
      </c>
      <c r="G30" s="1">
        <f>VLOOKUP($A30,期货数据!$A$8:$AA$99,15,0)</f>
        <v>-14.800000000000011</v>
      </c>
      <c r="H30">
        <f>VLOOKUP($A30,期货数据!$A$8:$AA$99,27,0)</f>
        <v>10</v>
      </c>
      <c r="I30" s="28">
        <f>VLOOKUP($A30,期货数据!$A$8:$AA$99,20,0)</f>
        <v>-3.2925472747497242E-2</v>
      </c>
      <c r="J30" s="49">
        <f>VLOOKUP($A30,期货数据!$A$8:$AE$99,30,0)</f>
        <v>-64.600000000000009</v>
      </c>
      <c r="K30" s="28">
        <f>VLOOKUP($A30,期货数据!$A$8:$AE$99,31,0)</f>
        <v>-0.12792547274749724</v>
      </c>
      <c r="M30" s="27">
        <f>VLOOKUP($A30,期货数据!$A$8:$AA$99,14,0)</f>
        <v>434.7</v>
      </c>
      <c r="N30" s="27">
        <f>VLOOKUP($A30,期货数据!$A$8:$AA$99,10,0)</f>
        <v>449.5</v>
      </c>
      <c r="O30" s="27">
        <f>VLOOKUP($A30,期货数据!$A$8:$AA$99,11,0)</f>
        <v>461</v>
      </c>
      <c r="P30" s="27">
        <f>VLOOKUP($A30,期货数据!$A$8:$AA$99,12,0)</f>
        <v>455</v>
      </c>
      <c r="R30" s="28">
        <f t="shared" si="0"/>
        <v>-2.4945770065075923E-2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30"/>
  <sheetViews>
    <sheetView workbookViewId="0">
      <selection activeCell="A31" sqref="A31:D33"/>
    </sheetView>
  </sheetViews>
  <sheetFormatPr defaultRowHeight="13.5"/>
  <cols>
    <col min="22" max="22" width="10.5" bestFit="1" customWidth="1"/>
    <col min="53" max="53" width="10.125" customWidth="1"/>
    <col min="54" max="54" width="10.5" bestFit="1" customWidth="1"/>
  </cols>
  <sheetData>
    <row r="1" spans="1:54">
      <c r="A1" t="s">
        <v>0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  <c r="BB1" s="11">
        <v>43125</v>
      </c>
    </row>
    <row r="2" spans="1:54">
      <c r="A2" t="s">
        <v>4</v>
      </c>
      <c r="B2">
        <v>28.5</v>
      </c>
      <c r="C2">
        <v>-1.5</v>
      </c>
      <c r="D2">
        <v>8.5</v>
      </c>
      <c r="E2">
        <v>30</v>
      </c>
      <c r="F2">
        <v>47</v>
      </c>
      <c r="G2">
        <v>46.5</v>
      </c>
      <c r="H2">
        <v>52</v>
      </c>
      <c r="I2">
        <v>66</v>
      </c>
      <c r="J2">
        <v>1</v>
      </c>
      <c r="K2">
        <v>3</v>
      </c>
      <c r="L2">
        <v>-9</v>
      </c>
      <c r="M2">
        <v>7.5</v>
      </c>
      <c r="N2">
        <v>32</v>
      </c>
      <c r="O2">
        <v>58</v>
      </c>
      <c r="P2">
        <v>121.5</v>
      </c>
      <c r="Q2">
        <v>173.5</v>
      </c>
      <c r="R2">
        <v>109</v>
      </c>
      <c r="S2">
        <v>116.5</v>
      </c>
      <c r="T2">
        <v>198</v>
      </c>
      <c r="U2">
        <v>85.5</v>
      </c>
      <c r="V2">
        <v>85</v>
      </c>
      <c r="W2">
        <v>110</v>
      </c>
      <c r="X2">
        <v>105</v>
      </c>
      <c r="Y2">
        <v>54</v>
      </c>
      <c r="Z2">
        <v>101</v>
      </c>
      <c r="AA2">
        <v>79</v>
      </c>
      <c r="AB2">
        <v>126</v>
      </c>
      <c r="AC2">
        <v>98</v>
      </c>
      <c r="AD2">
        <v>65</v>
      </c>
      <c r="AE2">
        <v>-62</v>
      </c>
      <c r="AF2">
        <v>-101</v>
      </c>
      <c r="AG2">
        <v>-144</v>
      </c>
      <c r="AH2">
        <v>-127</v>
      </c>
      <c r="AI2">
        <v>-192</v>
      </c>
      <c r="AJ2">
        <v>-182</v>
      </c>
      <c r="AK2">
        <v>-189.5</v>
      </c>
      <c r="AL2">
        <v>-223.5</v>
      </c>
      <c r="AM2">
        <v>-219</v>
      </c>
      <c r="AN2">
        <v>-171</v>
      </c>
      <c r="AO2">
        <v>-226</v>
      </c>
      <c r="AP2">
        <v>-187.5</v>
      </c>
      <c r="AQ2">
        <v>-161.5</v>
      </c>
      <c r="AR2">
        <v>-160.5</v>
      </c>
      <c r="AS2">
        <v>-197</v>
      </c>
      <c r="AT2">
        <v>-205.5</v>
      </c>
      <c r="AU2">
        <v>-169.5</v>
      </c>
      <c r="AV2">
        <v>-173.5</v>
      </c>
      <c r="AW2">
        <v>-49.5</v>
      </c>
      <c r="AX2">
        <v>43</v>
      </c>
      <c r="AY2">
        <v>37.5</v>
      </c>
      <c r="AZ2">
        <v>17.5</v>
      </c>
      <c r="BA2">
        <v>9</v>
      </c>
      <c r="BB2">
        <v>-13.5</v>
      </c>
    </row>
    <row r="3" spans="1:54">
      <c r="A3" t="s">
        <v>6</v>
      </c>
      <c r="B3">
        <v>83.5</v>
      </c>
      <c r="C3">
        <v>25</v>
      </c>
      <c r="D3">
        <v>20</v>
      </c>
      <c r="E3">
        <v>25</v>
      </c>
      <c r="F3">
        <v>38.5</v>
      </c>
      <c r="G3">
        <v>33</v>
      </c>
      <c r="H3">
        <v>30</v>
      </c>
      <c r="I3">
        <v>35.5</v>
      </c>
      <c r="J3">
        <v>15.5</v>
      </c>
      <c r="K3">
        <v>59</v>
      </c>
      <c r="L3">
        <v>49.5</v>
      </c>
      <c r="M3">
        <v>63.5</v>
      </c>
      <c r="N3">
        <v>69</v>
      </c>
      <c r="O3">
        <v>68.5</v>
      </c>
      <c r="P3">
        <v>99</v>
      </c>
      <c r="Q3">
        <v>148.5</v>
      </c>
      <c r="R3">
        <v>128.5</v>
      </c>
      <c r="S3">
        <v>136.5</v>
      </c>
      <c r="T3">
        <v>150</v>
      </c>
      <c r="U3">
        <v>104.5</v>
      </c>
      <c r="V3">
        <v>88</v>
      </c>
      <c r="W3">
        <v>91.5</v>
      </c>
      <c r="X3">
        <v>94</v>
      </c>
      <c r="Y3">
        <v>91.5</v>
      </c>
      <c r="Z3">
        <v>95</v>
      </c>
      <c r="AA3">
        <v>85.5</v>
      </c>
      <c r="AB3">
        <v>131</v>
      </c>
      <c r="AC3">
        <v>114</v>
      </c>
      <c r="AD3">
        <v>79.5</v>
      </c>
      <c r="AE3">
        <v>55.5</v>
      </c>
      <c r="AF3">
        <v>32.5</v>
      </c>
      <c r="AG3">
        <v>2</v>
      </c>
      <c r="AH3">
        <v>5.5</v>
      </c>
      <c r="AI3">
        <v>-14</v>
      </c>
      <c r="AJ3">
        <v>1.5</v>
      </c>
      <c r="AK3">
        <v>-32.5</v>
      </c>
      <c r="AL3">
        <v>-48.5</v>
      </c>
      <c r="AM3">
        <v>-63.5</v>
      </c>
      <c r="AN3">
        <v>-48</v>
      </c>
      <c r="AO3">
        <v>-28</v>
      </c>
      <c r="AP3">
        <v>-15.5</v>
      </c>
      <c r="AQ3">
        <v>-14.5</v>
      </c>
      <c r="AR3">
        <v>-14</v>
      </c>
      <c r="AS3">
        <v>-14</v>
      </c>
      <c r="AT3">
        <v>-18</v>
      </c>
      <c r="AU3">
        <v>-9</v>
      </c>
      <c r="AV3">
        <v>-19</v>
      </c>
      <c r="AW3">
        <v>31</v>
      </c>
      <c r="AX3">
        <v>6.5</v>
      </c>
      <c r="AY3">
        <v>5</v>
      </c>
      <c r="AZ3">
        <v>73.5</v>
      </c>
      <c r="BA3">
        <v>59</v>
      </c>
      <c r="BB3">
        <v>41</v>
      </c>
    </row>
    <row r="4" spans="1:54">
      <c r="A4" t="s">
        <v>3</v>
      </c>
      <c r="B4">
        <v>-18.399999999999977</v>
      </c>
      <c r="C4">
        <v>-20.200000000000045</v>
      </c>
      <c r="D4">
        <v>-20.399999999999977</v>
      </c>
      <c r="E4">
        <v>-10.200000000000045</v>
      </c>
      <c r="F4">
        <v>4.6000000000000227</v>
      </c>
      <c r="G4">
        <v>16.399999999999977</v>
      </c>
      <c r="H4">
        <v>19.399999999999977</v>
      </c>
      <c r="I4">
        <v>23.199999999999932</v>
      </c>
      <c r="J4">
        <v>25.399999999999977</v>
      </c>
      <c r="K4">
        <v>34.199999999999932</v>
      </c>
      <c r="L4">
        <v>35.399999999999977</v>
      </c>
      <c r="M4">
        <v>37.799999999999955</v>
      </c>
      <c r="N4">
        <v>40.399999999999977</v>
      </c>
      <c r="O4">
        <v>34.399999999999977</v>
      </c>
      <c r="P4">
        <v>41.799999999999955</v>
      </c>
      <c r="Q4">
        <v>47.600000000000023</v>
      </c>
      <c r="R4">
        <v>47.199999999999932</v>
      </c>
      <c r="S4">
        <v>47.600000000000023</v>
      </c>
      <c r="T4">
        <v>60.799999999999955</v>
      </c>
      <c r="U4">
        <v>52.399999999999977</v>
      </c>
      <c r="V4">
        <v>52</v>
      </c>
      <c r="W4">
        <v>49.600000000000023</v>
      </c>
      <c r="X4">
        <v>42.399999999999977</v>
      </c>
      <c r="Y4">
        <v>33</v>
      </c>
      <c r="Z4">
        <v>31.600000000000023</v>
      </c>
      <c r="AA4">
        <v>37</v>
      </c>
      <c r="AB4">
        <v>42.399999999999977</v>
      </c>
      <c r="AC4">
        <v>42.399999999999977</v>
      </c>
      <c r="AD4">
        <v>39.600000000000023</v>
      </c>
      <c r="AE4">
        <v>40.600000000000023</v>
      </c>
      <c r="AF4">
        <v>51.600000000000023</v>
      </c>
      <c r="AG4">
        <v>56.399999999999977</v>
      </c>
      <c r="AH4">
        <v>61.799999999999955</v>
      </c>
      <c r="AI4">
        <v>56.600000000000023</v>
      </c>
      <c r="AJ4">
        <v>69.199999999999932</v>
      </c>
      <c r="AK4">
        <v>71.399999999999977</v>
      </c>
      <c r="AL4">
        <v>81.799999999999955</v>
      </c>
      <c r="AM4">
        <v>87.199999999999932</v>
      </c>
      <c r="AN4">
        <v>83.799999999999955</v>
      </c>
      <c r="AO4">
        <v>91</v>
      </c>
      <c r="AP4">
        <v>98.399999999999977</v>
      </c>
      <c r="AQ4">
        <v>110</v>
      </c>
      <c r="AR4">
        <v>115.60000000000002</v>
      </c>
      <c r="AS4">
        <v>103.60000000000002</v>
      </c>
      <c r="AT4">
        <v>96.399999999999977</v>
      </c>
      <c r="AU4">
        <v>110.60000000000002</v>
      </c>
      <c r="AV4">
        <v>103.79999999999995</v>
      </c>
      <c r="AW4">
        <v>98</v>
      </c>
      <c r="AX4">
        <v>95.600000000000023</v>
      </c>
      <c r="AY4">
        <v>92.199999999999932</v>
      </c>
      <c r="AZ4">
        <v>72.199999999999932</v>
      </c>
      <c r="BA4">
        <v>77</v>
      </c>
      <c r="BB4">
        <v>76.600000000000023</v>
      </c>
    </row>
    <row r="5" spans="1:54">
      <c r="A5" t="s">
        <v>17</v>
      </c>
      <c r="B5">
        <v>-14.800000000000011</v>
      </c>
      <c r="C5">
        <v>-24.800000000000011</v>
      </c>
      <c r="D5">
        <v>-0.39999999999997726</v>
      </c>
      <c r="E5">
        <v>16.199999999999989</v>
      </c>
      <c r="F5">
        <v>19.199999999999989</v>
      </c>
      <c r="G5">
        <v>5.1999999999999886</v>
      </c>
      <c r="H5">
        <v>15.5</v>
      </c>
      <c r="I5">
        <v>11</v>
      </c>
      <c r="J5">
        <v>1.5</v>
      </c>
      <c r="K5">
        <v>13.199999999999989</v>
      </c>
      <c r="L5">
        <v>20.899999999999977</v>
      </c>
      <c r="M5">
        <v>18.399999999999977</v>
      </c>
      <c r="N5">
        <v>12.899999999999977</v>
      </c>
      <c r="O5">
        <v>11.5</v>
      </c>
      <c r="P5">
        <v>14</v>
      </c>
      <c r="Q5">
        <v>18.800000000000011</v>
      </c>
      <c r="R5">
        <v>10</v>
      </c>
      <c r="S5">
        <v>20.399999999999977</v>
      </c>
      <c r="T5">
        <v>43.399999999999977</v>
      </c>
      <c r="U5">
        <v>14.399999999999977</v>
      </c>
      <c r="V5">
        <v>12.899999999999977</v>
      </c>
      <c r="W5">
        <v>27.300000000000011</v>
      </c>
      <c r="X5">
        <v>43.100000000000023</v>
      </c>
      <c r="Y5">
        <v>24.800000000000011</v>
      </c>
      <c r="Z5">
        <v>18.300000000000011</v>
      </c>
      <c r="AA5">
        <v>10.300000000000011</v>
      </c>
      <c r="AB5">
        <v>18.300000000000011</v>
      </c>
      <c r="AC5">
        <v>29.899999999999977</v>
      </c>
      <c r="AD5">
        <v>47</v>
      </c>
      <c r="AE5">
        <v>46</v>
      </c>
      <c r="AF5">
        <v>29</v>
      </c>
      <c r="AG5">
        <v>40</v>
      </c>
      <c r="AH5">
        <v>40.5</v>
      </c>
      <c r="AI5">
        <v>29</v>
      </c>
      <c r="AJ5">
        <v>28.5</v>
      </c>
      <c r="AK5">
        <v>26.100000000000023</v>
      </c>
      <c r="AL5">
        <v>24.700000000000045</v>
      </c>
      <c r="AM5">
        <v>18.899999999999977</v>
      </c>
      <c r="AN5">
        <v>9.7999999999999545</v>
      </c>
      <c r="AO5">
        <v>11.200000000000045</v>
      </c>
      <c r="AP5">
        <v>14.700000000000045</v>
      </c>
      <c r="AQ5">
        <v>20.700000000000045</v>
      </c>
      <c r="AR5">
        <v>22.399999999999977</v>
      </c>
      <c r="AS5">
        <v>21.399999999999977</v>
      </c>
      <c r="AT5">
        <v>18.899999999999977</v>
      </c>
      <c r="AU5">
        <v>19.100000000000023</v>
      </c>
      <c r="AV5">
        <v>13.600000000000023</v>
      </c>
      <c r="AW5">
        <v>28.200000000000045</v>
      </c>
      <c r="AX5">
        <v>27.899999999999977</v>
      </c>
      <c r="AY5">
        <v>20.399999999999977</v>
      </c>
      <c r="AZ5">
        <v>20.200000000000045</v>
      </c>
      <c r="BA5">
        <v>22.100000000000023</v>
      </c>
      <c r="BB5">
        <v>6.2999999999999545</v>
      </c>
    </row>
    <row r="6" spans="1:54">
      <c r="A6" t="s">
        <v>11</v>
      </c>
      <c r="B6">
        <v>217.5</v>
      </c>
      <c r="C6">
        <v>190</v>
      </c>
      <c r="D6">
        <v>161.59999999999991</v>
      </c>
      <c r="E6">
        <v>158</v>
      </c>
      <c r="F6">
        <v>165</v>
      </c>
      <c r="G6">
        <v>120</v>
      </c>
      <c r="H6">
        <v>183</v>
      </c>
      <c r="I6">
        <v>192</v>
      </c>
      <c r="J6">
        <v>159</v>
      </c>
      <c r="K6">
        <v>134.5</v>
      </c>
      <c r="L6">
        <v>214</v>
      </c>
      <c r="M6">
        <v>246</v>
      </c>
      <c r="N6">
        <v>254</v>
      </c>
      <c r="O6">
        <v>129</v>
      </c>
      <c r="P6">
        <v>191</v>
      </c>
      <c r="Q6">
        <v>246</v>
      </c>
      <c r="R6">
        <v>237</v>
      </c>
      <c r="S6">
        <v>255.5</v>
      </c>
      <c r="T6">
        <v>291</v>
      </c>
      <c r="U6">
        <v>247</v>
      </c>
      <c r="V6">
        <v>262.59999999999991</v>
      </c>
      <c r="W6">
        <v>237.59999999999991</v>
      </c>
      <c r="X6">
        <v>297</v>
      </c>
      <c r="Y6">
        <v>249</v>
      </c>
      <c r="Z6">
        <v>228</v>
      </c>
      <c r="AA6">
        <v>245</v>
      </c>
      <c r="AB6">
        <v>303</v>
      </c>
      <c r="AC6">
        <v>291</v>
      </c>
      <c r="AD6">
        <v>271</v>
      </c>
      <c r="AE6">
        <v>288</v>
      </c>
      <c r="AF6">
        <v>234</v>
      </c>
      <c r="AG6">
        <v>185</v>
      </c>
      <c r="AH6">
        <v>249</v>
      </c>
      <c r="AI6">
        <v>202</v>
      </c>
      <c r="AJ6">
        <v>229</v>
      </c>
      <c r="AK6">
        <v>206</v>
      </c>
      <c r="AL6">
        <v>191</v>
      </c>
      <c r="AM6">
        <v>199</v>
      </c>
      <c r="AN6">
        <v>61</v>
      </c>
      <c r="AO6">
        <v>144</v>
      </c>
      <c r="AP6">
        <v>145</v>
      </c>
      <c r="AQ6">
        <v>89</v>
      </c>
      <c r="AR6">
        <v>92</v>
      </c>
      <c r="AS6">
        <v>80</v>
      </c>
      <c r="AT6">
        <v>73</v>
      </c>
      <c r="AU6">
        <v>67</v>
      </c>
      <c r="AV6">
        <v>43</v>
      </c>
      <c r="AW6">
        <v>79</v>
      </c>
      <c r="AX6">
        <v>95</v>
      </c>
      <c r="AY6">
        <v>99</v>
      </c>
      <c r="AZ6">
        <v>75</v>
      </c>
      <c r="BA6">
        <v>75</v>
      </c>
      <c r="BB6">
        <v>54</v>
      </c>
    </row>
    <row r="7" spans="1:54">
      <c r="A7" t="s">
        <v>8</v>
      </c>
      <c r="B7">
        <v>111</v>
      </c>
      <c r="C7">
        <v>101</v>
      </c>
      <c r="D7">
        <v>87</v>
      </c>
      <c r="E7">
        <v>98</v>
      </c>
      <c r="F7">
        <v>140</v>
      </c>
      <c r="G7">
        <v>40</v>
      </c>
      <c r="H7">
        <v>106</v>
      </c>
      <c r="I7">
        <v>145</v>
      </c>
      <c r="J7">
        <v>65</v>
      </c>
      <c r="K7">
        <v>48</v>
      </c>
      <c r="L7">
        <v>97</v>
      </c>
      <c r="M7">
        <v>142</v>
      </c>
      <c r="N7">
        <v>128</v>
      </c>
      <c r="O7">
        <v>54</v>
      </c>
      <c r="P7">
        <v>149</v>
      </c>
      <c r="Q7">
        <v>221</v>
      </c>
      <c r="R7">
        <v>163</v>
      </c>
      <c r="S7">
        <v>257</v>
      </c>
      <c r="T7">
        <v>234</v>
      </c>
      <c r="U7">
        <v>153</v>
      </c>
      <c r="V7">
        <v>170</v>
      </c>
      <c r="W7">
        <v>144</v>
      </c>
      <c r="X7">
        <v>155</v>
      </c>
      <c r="Y7">
        <v>93</v>
      </c>
      <c r="Z7">
        <v>88</v>
      </c>
      <c r="AA7">
        <v>94</v>
      </c>
      <c r="AB7">
        <v>112</v>
      </c>
      <c r="AC7">
        <v>99</v>
      </c>
      <c r="AD7">
        <v>117</v>
      </c>
      <c r="AE7">
        <v>87</v>
      </c>
      <c r="AF7">
        <v>144</v>
      </c>
      <c r="AG7">
        <v>58</v>
      </c>
      <c r="AH7">
        <v>73</v>
      </c>
      <c r="AI7">
        <v>20</v>
      </c>
      <c r="AJ7">
        <v>79</v>
      </c>
      <c r="AK7">
        <v>83</v>
      </c>
      <c r="AL7">
        <v>81</v>
      </c>
      <c r="AM7">
        <v>120</v>
      </c>
      <c r="AN7">
        <v>158</v>
      </c>
      <c r="AO7">
        <v>143</v>
      </c>
      <c r="AP7">
        <v>144</v>
      </c>
      <c r="AQ7">
        <v>85</v>
      </c>
      <c r="AR7">
        <v>97</v>
      </c>
      <c r="AS7">
        <v>43</v>
      </c>
      <c r="AT7">
        <v>68</v>
      </c>
      <c r="AU7">
        <v>70</v>
      </c>
      <c r="AV7">
        <v>52</v>
      </c>
      <c r="AW7">
        <v>108</v>
      </c>
      <c r="AX7">
        <v>156</v>
      </c>
      <c r="AY7">
        <v>151</v>
      </c>
      <c r="AZ7">
        <v>156</v>
      </c>
      <c r="BA7">
        <v>158</v>
      </c>
      <c r="BB7">
        <v>147</v>
      </c>
    </row>
    <row r="8" spans="1:54">
      <c r="A8" t="s">
        <v>32</v>
      </c>
      <c r="B8">
        <v>-700</v>
      </c>
      <c r="C8">
        <v>-700</v>
      </c>
      <c r="D8">
        <v>-700</v>
      </c>
      <c r="E8">
        <v>-700</v>
      </c>
      <c r="F8">
        <v>-835</v>
      </c>
      <c r="G8">
        <v>-795</v>
      </c>
      <c r="H8">
        <v>-735</v>
      </c>
      <c r="I8">
        <v>-800</v>
      </c>
      <c r="J8">
        <v>-805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-700</v>
      </c>
      <c r="Q8">
        <v>-770</v>
      </c>
      <c r="R8">
        <v>-775</v>
      </c>
      <c r="S8">
        <v>-800</v>
      </c>
      <c r="T8">
        <v>-805</v>
      </c>
      <c r="U8">
        <v>-850</v>
      </c>
      <c r="V8">
        <v>-855</v>
      </c>
      <c r="W8">
        <v>-850</v>
      </c>
      <c r="X8">
        <v>-850</v>
      </c>
      <c r="Y8">
        <v>-860</v>
      </c>
      <c r="Z8">
        <v>-870</v>
      </c>
      <c r="AA8">
        <v>-850</v>
      </c>
      <c r="AB8">
        <v>-970</v>
      </c>
      <c r="AC8">
        <v>-850</v>
      </c>
      <c r="AD8">
        <v>-850</v>
      </c>
      <c r="AE8">
        <v>-800</v>
      </c>
      <c r="AF8">
        <v>-800</v>
      </c>
      <c r="AG8">
        <v>-800</v>
      </c>
      <c r="AH8">
        <v>-800</v>
      </c>
      <c r="AI8">
        <v>-790</v>
      </c>
      <c r="AJ8">
        <v>-700</v>
      </c>
      <c r="AK8">
        <v>-800</v>
      </c>
      <c r="AL8">
        <v>-900</v>
      </c>
      <c r="AM8">
        <v>-790</v>
      </c>
      <c r="AN8">
        <v>-900</v>
      </c>
      <c r="AO8">
        <v>-1000</v>
      </c>
      <c r="AP8">
        <v>-890</v>
      </c>
      <c r="AQ8">
        <v>-910</v>
      </c>
      <c r="AR8">
        <v>-1000</v>
      </c>
      <c r="AS8">
        <v>-1000</v>
      </c>
      <c r="AT8">
        <v>-1200</v>
      </c>
      <c r="AU8">
        <v>-1200</v>
      </c>
      <c r="AV8">
        <v>-1300</v>
      </c>
      <c r="AW8">
        <v>-1410</v>
      </c>
      <c r="AX8">
        <v>-1500</v>
      </c>
      <c r="AY8">
        <v>-1700</v>
      </c>
      <c r="AZ8">
        <v>-1800</v>
      </c>
      <c r="BA8">
        <v>-1800</v>
      </c>
      <c r="BB8">
        <v>-1900</v>
      </c>
    </row>
    <row r="9" spans="1:54">
      <c r="A9" t="s">
        <v>16</v>
      </c>
      <c r="B9">
        <v>47</v>
      </c>
      <c r="C9">
        <v>31</v>
      </c>
      <c r="D9">
        <v>42</v>
      </c>
      <c r="E9">
        <v>66</v>
      </c>
      <c r="F9">
        <v>39</v>
      </c>
      <c r="G9">
        <v>41</v>
      </c>
      <c r="H9">
        <v>43</v>
      </c>
      <c r="I9">
        <v>52</v>
      </c>
      <c r="J9">
        <v>67</v>
      </c>
      <c r="K9">
        <v>75</v>
      </c>
      <c r="L9">
        <v>155</v>
      </c>
      <c r="M9">
        <v>150</v>
      </c>
      <c r="N9">
        <v>149</v>
      </c>
      <c r="O9">
        <v>124</v>
      </c>
      <c r="P9">
        <v>160</v>
      </c>
      <c r="Q9">
        <v>167</v>
      </c>
      <c r="R9">
        <v>165</v>
      </c>
      <c r="S9">
        <v>154</v>
      </c>
      <c r="T9">
        <v>165</v>
      </c>
      <c r="U9">
        <v>153</v>
      </c>
      <c r="V9">
        <v>79</v>
      </c>
      <c r="W9">
        <v>77</v>
      </c>
      <c r="X9">
        <v>37</v>
      </c>
      <c r="Y9">
        <v>49</v>
      </c>
      <c r="Z9">
        <v>63</v>
      </c>
      <c r="AA9">
        <v>52</v>
      </c>
      <c r="AB9">
        <v>6</v>
      </c>
      <c r="AC9">
        <v>7</v>
      </c>
      <c r="AD9">
        <v>19</v>
      </c>
      <c r="AE9">
        <v>14</v>
      </c>
      <c r="AF9">
        <v>0</v>
      </c>
      <c r="AG9">
        <v>-4</v>
      </c>
      <c r="AH9">
        <v>-4</v>
      </c>
      <c r="AI9">
        <v>-18</v>
      </c>
      <c r="AJ9">
        <v>-10</v>
      </c>
      <c r="AK9">
        <v>-16</v>
      </c>
      <c r="AL9">
        <v>-12</v>
      </c>
      <c r="AM9">
        <v>-35</v>
      </c>
      <c r="AN9">
        <v>-38</v>
      </c>
      <c r="AO9">
        <v>4</v>
      </c>
      <c r="AP9">
        <v>-4</v>
      </c>
      <c r="AQ9">
        <v>4</v>
      </c>
      <c r="AR9">
        <v>8</v>
      </c>
      <c r="AS9">
        <v>-16</v>
      </c>
      <c r="AT9">
        <v>-38</v>
      </c>
      <c r="AU9">
        <v>-32</v>
      </c>
      <c r="AV9">
        <v>-36</v>
      </c>
      <c r="AW9">
        <v>-13</v>
      </c>
      <c r="AX9">
        <v>-28</v>
      </c>
      <c r="AY9">
        <v>-44</v>
      </c>
      <c r="AZ9">
        <v>-47</v>
      </c>
      <c r="BA9">
        <v>-35</v>
      </c>
      <c r="BB9">
        <v>-38</v>
      </c>
    </row>
    <row r="10" spans="1:54">
      <c r="A10" t="s">
        <v>33</v>
      </c>
      <c r="B10">
        <v>30</v>
      </c>
      <c r="C10">
        <v>-45</v>
      </c>
      <c r="D10">
        <v>30</v>
      </c>
      <c r="E10">
        <v>35</v>
      </c>
      <c r="F10">
        <v>70</v>
      </c>
      <c r="G10">
        <v>15</v>
      </c>
      <c r="H10">
        <v>-50</v>
      </c>
      <c r="I10">
        <v>30</v>
      </c>
      <c r="J10">
        <v>0</v>
      </c>
      <c r="K10">
        <v>-140</v>
      </c>
      <c r="L10">
        <v>-60</v>
      </c>
      <c r="M10">
        <v>-60</v>
      </c>
      <c r="N10">
        <v>-80</v>
      </c>
      <c r="O10">
        <v>-120</v>
      </c>
      <c r="P10">
        <v>-20</v>
      </c>
      <c r="Q10">
        <v>110</v>
      </c>
      <c r="R10">
        <v>-40</v>
      </c>
      <c r="S10">
        <v>-40</v>
      </c>
      <c r="T10">
        <v>-5</v>
      </c>
      <c r="U10">
        <v>-65</v>
      </c>
      <c r="V10">
        <v>-60</v>
      </c>
      <c r="W10">
        <v>-75</v>
      </c>
      <c r="X10">
        <v>-55</v>
      </c>
      <c r="Y10">
        <v>-75</v>
      </c>
      <c r="Z10">
        <v>-55</v>
      </c>
      <c r="AA10">
        <v>-55</v>
      </c>
      <c r="AB10">
        <v>-20</v>
      </c>
      <c r="AC10">
        <v>35</v>
      </c>
      <c r="AD10">
        <v>-65</v>
      </c>
      <c r="AE10">
        <v>135</v>
      </c>
      <c r="AF10">
        <v>-15</v>
      </c>
      <c r="AG10">
        <v>-20</v>
      </c>
      <c r="AH10">
        <v>10</v>
      </c>
      <c r="AI10">
        <v>-105</v>
      </c>
      <c r="AJ10">
        <v>-95</v>
      </c>
      <c r="AK10">
        <v>-85</v>
      </c>
      <c r="AL10">
        <v>5</v>
      </c>
      <c r="AM10">
        <v>-50</v>
      </c>
      <c r="AN10">
        <v>45</v>
      </c>
      <c r="AO10">
        <v>-65</v>
      </c>
      <c r="AP10">
        <v>-75</v>
      </c>
      <c r="AQ10">
        <v>-70</v>
      </c>
      <c r="AR10">
        <v>10</v>
      </c>
      <c r="AS10">
        <v>-105</v>
      </c>
      <c r="AT10">
        <v>-120</v>
      </c>
      <c r="AU10">
        <v>-45</v>
      </c>
      <c r="AV10">
        <v>-90</v>
      </c>
      <c r="AW10">
        <v>20</v>
      </c>
      <c r="AX10">
        <v>-175</v>
      </c>
      <c r="AY10">
        <v>-110</v>
      </c>
      <c r="AZ10">
        <v>-115</v>
      </c>
      <c r="BA10">
        <v>-265</v>
      </c>
      <c r="BB10">
        <v>-140</v>
      </c>
    </row>
    <row r="11" spans="1:54">
      <c r="A11" t="s">
        <v>18</v>
      </c>
      <c r="B11">
        <v>0</v>
      </c>
      <c r="C11">
        <v>35</v>
      </c>
      <c r="D11">
        <v>35</v>
      </c>
      <c r="E11">
        <v>0</v>
      </c>
      <c r="F11">
        <v>0</v>
      </c>
      <c r="G11">
        <v>0</v>
      </c>
      <c r="H11">
        <v>0</v>
      </c>
      <c r="I11">
        <v>0</v>
      </c>
      <c r="J11">
        <v>-40</v>
      </c>
      <c r="K11">
        <v>-30</v>
      </c>
      <c r="L11">
        <v>-80</v>
      </c>
      <c r="M11">
        <v>-80</v>
      </c>
      <c r="N11">
        <v>-40</v>
      </c>
      <c r="O11">
        <v>-40</v>
      </c>
      <c r="P11">
        <v>-40</v>
      </c>
      <c r="Q11">
        <v>-50</v>
      </c>
      <c r="R11">
        <v>-75</v>
      </c>
      <c r="S11">
        <v>-125</v>
      </c>
      <c r="T11">
        <v>-80</v>
      </c>
      <c r="U11">
        <v>-100</v>
      </c>
      <c r="V11">
        <v>-100</v>
      </c>
      <c r="W11">
        <v>-100</v>
      </c>
      <c r="X11">
        <v>-100</v>
      </c>
      <c r="Y11">
        <v>-125</v>
      </c>
      <c r="Z11">
        <v>-145</v>
      </c>
      <c r="AA11">
        <v>-100</v>
      </c>
      <c r="AB11">
        <v>-85</v>
      </c>
      <c r="AC11">
        <v>-115</v>
      </c>
      <c r="AD11">
        <v>-100</v>
      </c>
      <c r="AE11">
        <v>-100</v>
      </c>
      <c r="AF11">
        <v>-95</v>
      </c>
      <c r="AG11">
        <v>-135</v>
      </c>
      <c r="AH11">
        <v>-150</v>
      </c>
      <c r="AI11">
        <v>-170</v>
      </c>
      <c r="AJ11">
        <v>-200</v>
      </c>
      <c r="AK11">
        <v>-150</v>
      </c>
      <c r="AL11">
        <v>-165</v>
      </c>
      <c r="AM11">
        <v>-140</v>
      </c>
      <c r="AN11">
        <v>-70</v>
      </c>
      <c r="AO11">
        <v>-100</v>
      </c>
      <c r="AP11">
        <v>-100</v>
      </c>
      <c r="AQ11">
        <v>-70</v>
      </c>
      <c r="AR11">
        <v>-70</v>
      </c>
      <c r="AS11">
        <v>-85</v>
      </c>
      <c r="AT11">
        <v>-40</v>
      </c>
      <c r="AU11">
        <v>-70</v>
      </c>
      <c r="AV11">
        <v>-115</v>
      </c>
      <c r="AW11">
        <v>-75</v>
      </c>
      <c r="AX11">
        <v>-80</v>
      </c>
      <c r="AY11">
        <v>10</v>
      </c>
      <c r="AZ11">
        <v>-100</v>
      </c>
      <c r="BA11">
        <v>-180</v>
      </c>
      <c r="BB11">
        <v>-115</v>
      </c>
    </row>
    <row r="12" spans="1:54">
      <c r="A12" t="s">
        <v>34</v>
      </c>
      <c r="B12">
        <v>-50</v>
      </c>
      <c r="C12">
        <v>-50</v>
      </c>
      <c r="D12">
        <v>-50</v>
      </c>
      <c r="E12">
        <v>-80</v>
      </c>
      <c r="F12">
        <v>-70</v>
      </c>
      <c r="G12">
        <v>-80</v>
      </c>
      <c r="H12">
        <v>-80</v>
      </c>
      <c r="I12">
        <v>-80</v>
      </c>
      <c r="J12">
        <v>-130</v>
      </c>
      <c r="K12">
        <v>-100</v>
      </c>
      <c r="L12">
        <v>-100</v>
      </c>
      <c r="M12">
        <v>-100</v>
      </c>
      <c r="N12">
        <v>-110</v>
      </c>
      <c r="O12">
        <v>-110</v>
      </c>
      <c r="P12">
        <v>-110</v>
      </c>
      <c r="Q12">
        <v>-120</v>
      </c>
      <c r="R12">
        <v>-165</v>
      </c>
      <c r="S12">
        <v>-125</v>
      </c>
      <c r="T12">
        <v>-100</v>
      </c>
      <c r="U12">
        <v>-130</v>
      </c>
      <c r="V12">
        <v>-130</v>
      </c>
      <c r="W12">
        <v>-150</v>
      </c>
      <c r="X12">
        <v>-150</v>
      </c>
      <c r="Y12">
        <v>-125</v>
      </c>
      <c r="Z12">
        <v>-107</v>
      </c>
      <c r="AA12">
        <v>-140</v>
      </c>
      <c r="AB12">
        <v>-114</v>
      </c>
      <c r="AC12">
        <v>-150</v>
      </c>
      <c r="AD12">
        <v>-120</v>
      </c>
      <c r="AE12">
        <v>-130</v>
      </c>
      <c r="AF12">
        <v>-118</v>
      </c>
      <c r="AG12">
        <v>-160</v>
      </c>
      <c r="AH12">
        <v>-130</v>
      </c>
      <c r="AI12">
        <v>-145</v>
      </c>
      <c r="AJ12">
        <v>-172</v>
      </c>
      <c r="AK12">
        <v>-100</v>
      </c>
      <c r="AL12">
        <v>-133</v>
      </c>
      <c r="AM12">
        <v>-129</v>
      </c>
      <c r="AN12">
        <v>-132</v>
      </c>
      <c r="AO12">
        <v>-125</v>
      </c>
      <c r="AP12">
        <v>-22</v>
      </c>
      <c r="AQ12">
        <v>-75</v>
      </c>
      <c r="AR12">
        <v>-75</v>
      </c>
      <c r="AS12">
        <v>-75</v>
      </c>
      <c r="AT12">
        <v>-75</v>
      </c>
      <c r="AU12">
        <v>-65</v>
      </c>
      <c r="AV12">
        <v>-122</v>
      </c>
      <c r="AW12">
        <v>-69</v>
      </c>
      <c r="AX12">
        <v>-60</v>
      </c>
      <c r="AY12">
        <v>-12</v>
      </c>
      <c r="AZ12">
        <v>-65</v>
      </c>
      <c r="BA12">
        <v>-150</v>
      </c>
      <c r="BB12">
        <v>-83</v>
      </c>
    </row>
    <row r="13" spans="1:54">
      <c r="A13" t="s">
        <v>12</v>
      </c>
      <c r="B13">
        <v>28</v>
      </c>
      <c r="C13">
        <v>-10</v>
      </c>
      <c r="D13">
        <v>-2</v>
      </c>
      <c r="E13">
        <v>-30</v>
      </c>
      <c r="F13">
        <v>14</v>
      </c>
      <c r="G13">
        <v>20</v>
      </c>
      <c r="H13">
        <v>60</v>
      </c>
      <c r="I13">
        <v>42</v>
      </c>
      <c r="J13">
        <v>-14</v>
      </c>
      <c r="K13">
        <v>-20</v>
      </c>
      <c r="L13">
        <v>16</v>
      </c>
      <c r="M13">
        <v>-6</v>
      </c>
      <c r="N13">
        <v>20</v>
      </c>
      <c r="O13">
        <v>24</v>
      </c>
      <c r="P13">
        <v>10</v>
      </c>
      <c r="Q13">
        <v>-18</v>
      </c>
      <c r="R13">
        <v>-22</v>
      </c>
      <c r="S13">
        <v>-6</v>
      </c>
      <c r="T13">
        <v>6</v>
      </c>
      <c r="U13">
        <v>3</v>
      </c>
      <c r="V13">
        <v>-12</v>
      </c>
      <c r="W13">
        <v>38</v>
      </c>
      <c r="X13">
        <v>55</v>
      </c>
      <c r="Y13">
        <v>76</v>
      </c>
      <c r="Z13">
        <v>100</v>
      </c>
      <c r="AA13">
        <v>120</v>
      </c>
      <c r="AB13">
        <v>40</v>
      </c>
      <c r="AC13">
        <v>102</v>
      </c>
      <c r="AD13">
        <v>88</v>
      </c>
      <c r="AE13">
        <v>179</v>
      </c>
      <c r="AF13">
        <v>202</v>
      </c>
      <c r="AG13">
        <v>191</v>
      </c>
      <c r="AH13">
        <v>150</v>
      </c>
      <c r="AI13">
        <v>172</v>
      </c>
      <c r="AJ13">
        <v>99</v>
      </c>
      <c r="AK13">
        <v>99</v>
      </c>
      <c r="AL13">
        <v>129</v>
      </c>
      <c r="AM13">
        <v>156</v>
      </c>
      <c r="AN13">
        <v>150</v>
      </c>
      <c r="AO13">
        <v>175</v>
      </c>
      <c r="AP13">
        <v>-84</v>
      </c>
      <c r="AQ13">
        <v>22</v>
      </c>
      <c r="AR13">
        <v>10</v>
      </c>
      <c r="AS13">
        <v>-10</v>
      </c>
      <c r="AT13">
        <v>6</v>
      </c>
      <c r="AU13">
        <v>-30</v>
      </c>
      <c r="AV13">
        <v>-45</v>
      </c>
      <c r="AW13">
        <v>-22</v>
      </c>
      <c r="AX13">
        <v>-61</v>
      </c>
      <c r="AY13">
        <v>-75</v>
      </c>
      <c r="AZ13">
        <v>-40</v>
      </c>
      <c r="BA13">
        <v>-35</v>
      </c>
      <c r="BB13">
        <v>-37</v>
      </c>
    </row>
    <row r="14" spans="1:54">
      <c r="A14" t="s">
        <v>23</v>
      </c>
      <c r="B14">
        <v>-72</v>
      </c>
      <c r="C14">
        <v>-102</v>
      </c>
      <c r="D14">
        <v>-86</v>
      </c>
      <c r="E14">
        <v>-64</v>
      </c>
      <c r="F14">
        <v>-30</v>
      </c>
      <c r="G14">
        <v>-74</v>
      </c>
      <c r="H14">
        <v>-56</v>
      </c>
      <c r="I14">
        <v>-58</v>
      </c>
      <c r="J14">
        <v>-50</v>
      </c>
      <c r="K14">
        <v>14</v>
      </c>
      <c r="L14">
        <v>-59</v>
      </c>
      <c r="M14">
        <v>-67</v>
      </c>
      <c r="N14">
        <v>-119</v>
      </c>
      <c r="O14">
        <v>-161</v>
      </c>
      <c r="P14">
        <v>-127</v>
      </c>
      <c r="Q14">
        <v>-107</v>
      </c>
      <c r="R14">
        <v>-117</v>
      </c>
      <c r="S14">
        <v>-119</v>
      </c>
      <c r="T14">
        <v>-59</v>
      </c>
      <c r="U14">
        <v>-75</v>
      </c>
      <c r="V14">
        <v>-69</v>
      </c>
      <c r="W14">
        <v>-55</v>
      </c>
      <c r="X14">
        <v>-35</v>
      </c>
      <c r="Y14">
        <v>-16</v>
      </c>
      <c r="Z14">
        <v>14</v>
      </c>
      <c r="AA14">
        <v>26</v>
      </c>
      <c r="AB14">
        <v>40</v>
      </c>
      <c r="AC14">
        <v>-30</v>
      </c>
      <c r="AD14">
        <v>4</v>
      </c>
      <c r="AE14">
        <v>-8</v>
      </c>
      <c r="AF14">
        <v>-10</v>
      </c>
      <c r="AG14">
        <v>-28</v>
      </c>
      <c r="AH14">
        <v>-18</v>
      </c>
      <c r="AI14">
        <v>-70</v>
      </c>
      <c r="AJ14">
        <v>-48</v>
      </c>
      <c r="AK14">
        <v>-96</v>
      </c>
      <c r="AL14">
        <v>-80</v>
      </c>
      <c r="AM14">
        <v>-78</v>
      </c>
      <c r="AN14">
        <v>-78</v>
      </c>
      <c r="AO14">
        <v>-30</v>
      </c>
      <c r="AP14">
        <v>-18</v>
      </c>
      <c r="AQ14">
        <v>2</v>
      </c>
      <c r="AR14">
        <v>-6</v>
      </c>
      <c r="AS14">
        <v>-66</v>
      </c>
      <c r="AT14">
        <v>-164</v>
      </c>
      <c r="AU14">
        <v>-158</v>
      </c>
      <c r="AV14">
        <v>-214</v>
      </c>
      <c r="AW14">
        <v>-276</v>
      </c>
      <c r="AX14">
        <v>-298</v>
      </c>
      <c r="AY14">
        <v>-294</v>
      </c>
      <c r="AZ14">
        <v>-328</v>
      </c>
      <c r="BA14">
        <v>-464</v>
      </c>
      <c r="BB14">
        <v>-516</v>
      </c>
    </row>
    <row r="15" spans="1:54">
      <c r="A15" t="s">
        <v>5</v>
      </c>
      <c r="B15">
        <v>225</v>
      </c>
      <c r="C15">
        <v>157</v>
      </c>
      <c r="D15">
        <v>120</v>
      </c>
      <c r="E15">
        <v>51</v>
      </c>
      <c r="F15">
        <v>84</v>
      </c>
      <c r="G15">
        <v>-31</v>
      </c>
      <c r="H15">
        <v>6</v>
      </c>
      <c r="I15">
        <v>21</v>
      </c>
      <c r="J15">
        <v>12</v>
      </c>
      <c r="K15">
        <v>-42</v>
      </c>
      <c r="L15">
        <v>80</v>
      </c>
      <c r="M15">
        <v>112</v>
      </c>
      <c r="N15">
        <v>86</v>
      </c>
      <c r="O15">
        <v>81</v>
      </c>
      <c r="P15">
        <v>86</v>
      </c>
      <c r="Q15">
        <v>114</v>
      </c>
      <c r="R15">
        <v>166</v>
      </c>
      <c r="S15">
        <v>152</v>
      </c>
      <c r="T15">
        <v>130</v>
      </c>
      <c r="U15">
        <v>32</v>
      </c>
      <c r="V15">
        <v>55</v>
      </c>
      <c r="W15">
        <v>63</v>
      </c>
      <c r="X15">
        <v>11</v>
      </c>
      <c r="Y15">
        <v>103</v>
      </c>
      <c r="Z15">
        <v>24</v>
      </c>
      <c r="AA15">
        <v>-48</v>
      </c>
      <c r="AB15">
        <v>-79</v>
      </c>
      <c r="AC15">
        <v>-53</v>
      </c>
      <c r="AD15">
        <v>-241</v>
      </c>
      <c r="AE15">
        <v>-192</v>
      </c>
      <c r="AF15">
        <v>-126</v>
      </c>
      <c r="AG15">
        <v>-118</v>
      </c>
      <c r="AH15">
        <v>-78</v>
      </c>
      <c r="AI15">
        <v>-47</v>
      </c>
      <c r="AJ15">
        <v>-6</v>
      </c>
      <c r="AK15">
        <v>22</v>
      </c>
      <c r="AL15">
        <v>24</v>
      </c>
      <c r="AM15">
        <v>71</v>
      </c>
      <c r="AN15">
        <v>-15</v>
      </c>
      <c r="AO15">
        <v>71</v>
      </c>
      <c r="AP15">
        <v>76</v>
      </c>
      <c r="AQ15">
        <v>83</v>
      </c>
      <c r="AR15">
        <v>78</v>
      </c>
      <c r="AS15">
        <v>13</v>
      </c>
      <c r="AT15">
        <v>21</v>
      </c>
      <c r="AU15">
        <v>14</v>
      </c>
      <c r="AV15">
        <v>147</v>
      </c>
      <c r="AW15">
        <v>218</v>
      </c>
      <c r="AX15">
        <v>206</v>
      </c>
      <c r="AY15">
        <v>187</v>
      </c>
      <c r="AZ15">
        <v>253</v>
      </c>
      <c r="BA15">
        <v>273</v>
      </c>
      <c r="BB15">
        <v>258</v>
      </c>
    </row>
    <row r="16" spans="1:54">
      <c r="A16" t="s">
        <v>14</v>
      </c>
      <c r="B16">
        <v>-60</v>
      </c>
      <c r="C16">
        <v>-46</v>
      </c>
      <c r="D16">
        <v>-84</v>
      </c>
      <c r="E16">
        <v>-119</v>
      </c>
      <c r="F16">
        <v>-103</v>
      </c>
      <c r="G16">
        <v>-167</v>
      </c>
      <c r="H16">
        <v>-157</v>
      </c>
      <c r="I16">
        <v>-166</v>
      </c>
      <c r="J16">
        <v>-183</v>
      </c>
      <c r="K16">
        <v>-223</v>
      </c>
      <c r="L16">
        <v>-154</v>
      </c>
      <c r="M16">
        <v>-97</v>
      </c>
      <c r="N16">
        <v>-73</v>
      </c>
      <c r="O16">
        <v>-55</v>
      </c>
      <c r="P16">
        <v>-55</v>
      </c>
      <c r="Q16">
        <v>-48</v>
      </c>
      <c r="R16">
        <v>-62</v>
      </c>
      <c r="S16">
        <v>-77</v>
      </c>
      <c r="T16">
        <v>-109</v>
      </c>
      <c r="U16">
        <v>-65</v>
      </c>
      <c r="V16">
        <v>-59</v>
      </c>
      <c r="W16">
        <v>-57</v>
      </c>
      <c r="X16">
        <v>-64</v>
      </c>
      <c r="Y16">
        <v>-55</v>
      </c>
      <c r="Z16">
        <v>12</v>
      </c>
      <c r="AA16">
        <v>24</v>
      </c>
      <c r="AB16">
        <v>27</v>
      </c>
      <c r="AC16">
        <v>39</v>
      </c>
      <c r="AD16">
        <v>16</v>
      </c>
      <c r="AE16">
        <v>-46</v>
      </c>
      <c r="AF16">
        <v>-25</v>
      </c>
      <c r="AG16">
        <v>-41</v>
      </c>
      <c r="AH16">
        <v>-50</v>
      </c>
      <c r="AI16">
        <v>-61</v>
      </c>
      <c r="AJ16">
        <v>-20</v>
      </c>
      <c r="AK16">
        <v>-10</v>
      </c>
      <c r="AL16">
        <v>-1</v>
      </c>
      <c r="AM16">
        <v>8</v>
      </c>
      <c r="AN16">
        <v>22</v>
      </c>
      <c r="AO16">
        <v>37</v>
      </c>
      <c r="AP16">
        <v>65</v>
      </c>
      <c r="AQ16">
        <v>89</v>
      </c>
      <c r="AR16">
        <v>88</v>
      </c>
      <c r="AS16">
        <v>112</v>
      </c>
      <c r="AT16">
        <v>131</v>
      </c>
      <c r="AU16">
        <v>150</v>
      </c>
      <c r="AV16">
        <v>156</v>
      </c>
      <c r="AW16">
        <v>178</v>
      </c>
      <c r="AX16">
        <v>119</v>
      </c>
      <c r="AY16">
        <v>114</v>
      </c>
      <c r="AZ16">
        <v>122</v>
      </c>
      <c r="BA16">
        <v>123</v>
      </c>
      <c r="BB16">
        <v>114</v>
      </c>
    </row>
    <row r="17" spans="1:54">
      <c r="A17" t="s">
        <v>10</v>
      </c>
      <c r="B17">
        <v>18</v>
      </c>
      <c r="C17">
        <v>26</v>
      </c>
      <c r="D17">
        <v>7</v>
      </c>
      <c r="E17">
        <v>21</v>
      </c>
      <c r="F17">
        <v>72</v>
      </c>
      <c r="G17">
        <v>45</v>
      </c>
      <c r="H17">
        <v>53</v>
      </c>
      <c r="I17">
        <v>78</v>
      </c>
      <c r="J17">
        <v>94</v>
      </c>
      <c r="K17">
        <v>67</v>
      </c>
      <c r="L17">
        <v>75</v>
      </c>
      <c r="M17">
        <v>92</v>
      </c>
      <c r="N17">
        <v>97</v>
      </c>
      <c r="O17">
        <v>51</v>
      </c>
      <c r="P17">
        <v>83</v>
      </c>
      <c r="Q17">
        <v>68</v>
      </c>
      <c r="R17">
        <v>60</v>
      </c>
      <c r="S17">
        <v>70</v>
      </c>
      <c r="T17">
        <v>58</v>
      </c>
      <c r="U17">
        <v>99</v>
      </c>
      <c r="V17">
        <v>75</v>
      </c>
      <c r="W17">
        <v>92</v>
      </c>
      <c r="X17">
        <v>136</v>
      </c>
      <c r="Y17">
        <v>94</v>
      </c>
      <c r="Z17">
        <v>104</v>
      </c>
      <c r="AA17">
        <v>115</v>
      </c>
      <c r="AB17">
        <v>117</v>
      </c>
      <c r="AC17">
        <v>116</v>
      </c>
      <c r="AD17">
        <v>123</v>
      </c>
      <c r="AE17">
        <v>105</v>
      </c>
      <c r="AF17">
        <v>110</v>
      </c>
      <c r="AG17">
        <v>110</v>
      </c>
      <c r="AH17">
        <v>140</v>
      </c>
      <c r="AI17">
        <v>101</v>
      </c>
      <c r="AJ17">
        <v>62</v>
      </c>
      <c r="AK17">
        <v>62</v>
      </c>
      <c r="AL17">
        <v>88</v>
      </c>
      <c r="AM17">
        <v>68</v>
      </c>
      <c r="AN17">
        <v>53</v>
      </c>
      <c r="AO17">
        <v>-39</v>
      </c>
      <c r="AP17">
        <v>-24</v>
      </c>
      <c r="AQ17">
        <v>77</v>
      </c>
      <c r="AR17">
        <v>29</v>
      </c>
      <c r="AS17">
        <v>54</v>
      </c>
      <c r="AT17">
        <v>55</v>
      </c>
      <c r="AU17">
        <v>56</v>
      </c>
      <c r="AV17">
        <v>61</v>
      </c>
      <c r="AW17">
        <v>61</v>
      </c>
      <c r="AX17">
        <v>35</v>
      </c>
      <c r="AY17">
        <v>46</v>
      </c>
      <c r="AZ17">
        <v>22</v>
      </c>
      <c r="BA17">
        <v>59</v>
      </c>
      <c r="BB17">
        <v>59</v>
      </c>
    </row>
    <row r="18" spans="1:54">
      <c r="A18" t="s">
        <v>20</v>
      </c>
      <c r="B18">
        <v>-7</v>
      </c>
      <c r="C18">
        <v>-2</v>
      </c>
      <c r="D18">
        <v>11</v>
      </c>
      <c r="E18">
        <v>19</v>
      </c>
      <c r="F18">
        <v>12</v>
      </c>
      <c r="G18">
        <v>13</v>
      </c>
      <c r="H18">
        <v>5</v>
      </c>
      <c r="I18">
        <v>14</v>
      </c>
      <c r="J18">
        <v>4</v>
      </c>
      <c r="K18">
        <v>29</v>
      </c>
      <c r="L18">
        <v>-40</v>
      </c>
      <c r="M18">
        <v>-18</v>
      </c>
      <c r="N18">
        <v>4</v>
      </c>
      <c r="O18">
        <v>-1</v>
      </c>
      <c r="P18">
        <v>25</v>
      </c>
      <c r="Q18">
        <v>11</v>
      </c>
      <c r="R18">
        <v>19</v>
      </c>
      <c r="S18">
        <v>-18</v>
      </c>
      <c r="T18">
        <v>-2</v>
      </c>
      <c r="U18">
        <v>19</v>
      </c>
      <c r="V18">
        <v>-21</v>
      </c>
      <c r="W18">
        <v>-7</v>
      </c>
      <c r="X18">
        <v>-14</v>
      </c>
      <c r="Y18">
        <v>4</v>
      </c>
      <c r="Z18">
        <v>20</v>
      </c>
      <c r="AA18">
        <v>20</v>
      </c>
      <c r="AB18">
        <v>-18</v>
      </c>
      <c r="AC18">
        <v>-10</v>
      </c>
      <c r="AD18">
        <v>-10</v>
      </c>
      <c r="AE18">
        <v>-10</v>
      </c>
      <c r="AF18">
        <v>-10</v>
      </c>
      <c r="AG18">
        <v>-10</v>
      </c>
      <c r="AH18">
        <v>0</v>
      </c>
      <c r="AI18">
        <v>0</v>
      </c>
      <c r="AJ18">
        <v>-23</v>
      </c>
      <c r="AK18">
        <v>-32</v>
      </c>
      <c r="AL18">
        <v>-30</v>
      </c>
      <c r="AM18">
        <v>-35</v>
      </c>
      <c r="AN18">
        <v>-31</v>
      </c>
      <c r="AO18">
        <v>-174</v>
      </c>
      <c r="AP18">
        <v>-164</v>
      </c>
      <c r="AQ18">
        <v>-81</v>
      </c>
      <c r="AR18">
        <v>-90</v>
      </c>
      <c r="AS18">
        <v>-48</v>
      </c>
      <c r="AT18">
        <v>-45</v>
      </c>
      <c r="AU18">
        <v>-33</v>
      </c>
      <c r="AV18">
        <v>-33</v>
      </c>
      <c r="AW18">
        <v>-48</v>
      </c>
      <c r="AX18">
        <v>-45</v>
      </c>
      <c r="AY18">
        <v>-53</v>
      </c>
      <c r="AZ18">
        <v>-40</v>
      </c>
      <c r="BA18">
        <v>-48</v>
      </c>
      <c r="BB18">
        <v>-65</v>
      </c>
    </row>
    <row r="19" spans="1:54">
      <c r="A19" t="s">
        <v>13</v>
      </c>
      <c r="B19">
        <v>38</v>
      </c>
      <c r="C19">
        <v>51</v>
      </c>
      <c r="D19">
        <v>60</v>
      </c>
      <c r="E19">
        <v>59</v>
      </c>
      <c r="F19">
        <v>66</v>
      </c>
      <c r="G19">
        <v>70</v>
      </c>
      <c r="H19">
        <v>76</v>
      </c>
      <c r="I19">
        <v>77</v>
      </c>
      <c r="J19">
        <v>74</v>
      </c>
      <c r="K19">
        <v>53</v>
      </c>
      <c r="L19">
        <v>51</v>
      </c>
      <c r="M19">
        <v>64</v>
      </c>
      <c r="N19">
        <v>61</v>
      </c>
      <c r="O19">
        <v>105</v>
      </c>
      <c r="P19">
        <v>105</v>
      </c>
      <c r="Q19">
        <v>98</v>
      </c>
      <c r="R19">
        <v>108</v>
      </c>
      <c r="S19">
        <v>104</v>
      </c>
      <c r="T19">
        <v>131</v>
      </c>
      <c r="U19">
        <v>136</v>
      </c>
      <c r="V19">
        <v>133</v>
      </c>
      <c r="W19">
        <v>130</v>
      </c>
      <c r="X19">
        <v>116</v>
      </c>
      <c r="Y19">
        <v>107</v>
      </c>
      <c r="Z19">
        <v>124</v>
      </c>
      <c r="AA19">
        <v>122</v>
      </c>
      <c r="AB19">
        <v>127</v>
      </c>
      <c r="AC19">
        <v>130</v>
      </c>
      <c r="AD19">
        <v>128</v>
      </c>
      <c r="AE19">
        <v>116</v>
      </c>
      <c r="AF19">
        <v>93</v>
      </c>
      <c r="AG19">
        <v>63</v>
      </c>
      <c r="AH19">
        <v>71</v>
      </c>
      <c r="AI19">
        <v>60</v>
      </c>
      <c r="AJ19">
        <v>72</v>
      </c>
      <c r="AK19">
        <v>60</v>
      </c>
      <c r="AL19">
        <v>62</v>
      </c>
      <c r="AM19">
        <v>61</v>
      </c>
      <c r="AN19">
        <v>57</v>
      </c>
      <c r="AO19">
        <v>51</v>
      </c>
      <c r="AP19">
        <v>55</v>
      </c>
      <c r="AQ19">
        <v>70</v>
      </c>
      <c r="AR19">
        <v>52</v>
      </c>
      <c r="AS19">
        <v>44</v>
      </c>
      <c r="AT19">
        <v>45</v>
      </c>
      <c r="AU19">
        <v>55</v>
      </c>
      <c r="AV19">
        <v>54</v>
      </c>
      <c r="AW19">
        <v>45</v>
      </c>
      <c r="AX19">
        <v>62</v>
      </c>
      <c r="AY19">
        <v>58</v>
      </c>
      <c r="AZ19">
        <v>55</v>
      </c>
      <c r="BA19">
        <v>54</v>
      </c>
      <c r="BB19">
        <v>53</v>
      </c>
    </row>
    <row r="20" spans="1:54">
      <c r="A20" t="s">
        <v>7</v>
      </c>
      <c r="B20">
        <v>91</v>
      </c>
      <c r="C20">
        <v>103</v>
      </c>
      <c r="D20">
        <v>105</v>
      </c>
      <c r="E20">
        <v>63</v>
      </c>
      <c r="F20">
        <v>58</v>
      </c>
      <c r="G20">
        <v>62</v>
      </c>
      <c r="H20">
        <v>76</v>
      </c>
      <c r="I20">
        <v>79</v>
      </c>
      <c r="J20">
        <v>83</v>
      </c>
      <c r="K20">
        <v>79</v>
      </c>
      <c r="L20">
        <v>35</v>
      </c>
      <c r="M20">
        <v>116</v>
      </c>
      <c r="N20">
        <v>112</v>
      </c>
      <c r="O20">
        <v>103</v>
      </c>
      <c r="P20">
        <v>104</v>
      </c>
      <c r="Q20">
        <v>81</v>
      </c>
      <c r="R20">
        <v>124</v>
      </c>
      <c r="S20">
        <v>117</v>
      </c>
      <c r="T20">
        <v>123</v>
      </c>
      <c r="U20">
        <v>175</v>
      </c>
      <c r="V20">
        <v>158</v>
      </c>
      <c r="W20">
        <v>161</v>
      </c>
      <c r="X20">
        <v>153</v>
      </c>
      <c r="Y20">
        <v>162</v>
      </c>
      <c r="Z20">
        <v>172</v>
      </c>
      <c r="AA20">
        <v>157</v>
      </c>
      <c r="AB20">
        <v>149</v>
      </c>
      <c r="AC20">
        <v>159</v>
      </c>
      <c r="AD20">
        <v>121</v>
      </c>
      <c r="AE20">
        <v>111</v>
      </c>
      <c r="AF20">
        <v>109</v>
      </c>
      <c r="AG20">
        <v>103</v>
      </c>
      <c r="AH20">
        <v>98</v>
      </c>
      <c r="AI20">
        <v>139</v>
      </c>
      <c r="AJ20">
        <v>145</v>
      </c>
      <c r="AK20">
        <v>133</v>
      </c>
      <c r="AL20">
        <v>132</v>
      </c>
      <c r="AM20">
        <v>73</v>
      </c>
      <c r="AN20">
        <v>86</v>
      </c>
      <c r="AO20">
        <v>89</v>
      </c>
      <c r="AP20">
        <v>91</v>
      </c>
      <c r="AQ20">
        <v>117</v>
      </c>
      <c r="AR20">
        <v>87</v>
      </c>
      <c r="AS20">
        <v>76</v>
      </c>
      <c r="AT20">
        <v>73</v>
      </c>
      <c r="AU20">
        <v>91</v>
      </c>
      <c r="AV20">
        <v>93</v>
      </c>
      <c r="AW20">
        <v>99</v>
      </c>
      <c r="AX20">
        <v>138</v>
      </c>
      <c r="AY20">
        <v>133</v>
      </c>
      <c r="AZ20">
        <v>129</v>
      </c>
      <c r="BA20">
        <v>164</v>
      </c>
      <c r="BB20">
        <v>167</v>
      </c>
    </row>
    <row r="21" spans="1:54">
      <c r="A21" t="s">
        <v>35</v>
      </c>
      <c r="B21">
        <v>62</v>
      </c>
      <c r="C21">
        <v>58</v>
      </c>
      <c r="D21">
        <v>62</v>
      </c>
      <c r="E21">
        <v>82</v>
      </c>
      <c r="F21">
        <v>90</v>
      </c>
      <c r="G21">
        <v>58</v>
      </c>
      <c r="H21">
        <v>136</v>
      </c>
      <c r="I21">
        <v>110</v>
      </c>
      <c r="J21">
        <v>94</v>
      </c>
      <c r="K21">
        <v>218</v>
      </c>
      <c r="L21">
        <v>-24</v>
      </c>
      <c r="M21">
        <v>6</v>
      </c>
      <c r="N21">
        <v>-76</v>
      </c>
      <c r="O21">
        <v>10</v>
      </c>
      <c r="P21">
        <v>74</v>
      </c>
      <c r="Q21">
        <v>32</v>
      </c>
      <c r="R21">
        <v>80</v>
      </c>
      <c r="S21">
        <v>50</v>
      </c>
      <c r="T21">
        <v>56</v>
      </c>
      <c r="U21">
        <v>32</v>
      </c>
      <c r="V21">
        <v>26</v>
      </c>
      <c r="W21">
        <v>0</v>
      </c>
      <c r="X21">
        <v>-6</v>
      </c>
      <c r="Y21">
        <v>26</v>
      </c>
      <c r="Z21">
        <v>6</v>
      </c>
      <c r="AA21">
        <v>20</v>
      </c>
      <c r="AB21">
        <v>-24</v>
      </c>
      <c r="AC21">
        <v>8</v>
      </c>
      <c r="AD21">
        <v>40</v>
      </c>
      <c r="AE21">
        <v>-2</v>
      </c>
      <c r="AF21">
        <v>54</v>
      </c>
      <c r="AG21">
        <v>-12</v>
      </c>
      <c r="AH21">
        <v>-34</v>
      </c>
      <c r="AI21">
        <v>-54</v>
      </c>
      <c r="AJ21">
        <v>-36</v>
      </c>
      <c r="AK21">
        <v>-76</v>
      </c>
      <c r="AL21">
        <v>-36</v>
      </c>
      <c r="AM21">
        <v>-42</v>
      </c>
      <c r="AN21">
        <v>-78</v>
      </c>
      <c r="AO21">
        <v>-68</v>
      </c>
      <c r="AP21">
        <v>-74</v>
      </c>
      <c r="AQ21">
        <v>-60</v>
      </c>
      <c r="AR21">
        <v>-54</v>
      </c>
      <c r="AS21">
        <v>-90</v>
      </c>
      <c r="AT21">
        <v>-62</v>
      </c>
      <c r="AU21">
        <v>-130</v>
      </c>
      <c r="AV21">
        <v>-140</v>
      </c>
      <c r="AW21">
        <v>-166</v>
      </c>
      <c r="AX21">
        <v>-208</v>
      </c>
      <c r="AY21">
        <v>-168</v>
      </c>
      <c r="AZ21">
        <v>-214</v>
      </c>
      <c r="BA21">
        <v>-196</v>
      </c>
      <c r="BB21">
        <v>-178</v>
      </c>
    </row>
    <row r="22" spans="1:54">
      <c r="A22" t="s">
        <v>22</v>
      </c>
      <c r="B22">
        <v>-16</v>
      </c>
      <c r="C22">
        <v>-28</v>
      </c>
      <c r="D22">
        <v>-40</v>
      </c>
      <c r="E22">
        <v>54</v>
      </c>
      <c r="F22">
        <v>16</v>
      </c>
      <c r="G22">
        <v>4</v>
      </c>
      <c r="H22">
        <v>14</v>
      </c>
      <c r="I22">
        <v>-2</v>
      </c>
      <c r="J22">
        <v>48</v>
      </c>
      <c r="K22">
        <v>56</v>
      </c>
      <c r="L22">
        <v>-44</v>
      </c>
      <c r="M22">
        <v>-34</v>
      </c>
      <c r="N22">
        <v>-52</v>
      </c>
      <c r="O22">
        <v>-44</v>
      </c>
      <c r="P22">
        <v>-34</v>
      </c>
      <c r="Q22">
        <v>-62</v>
      </c>
      <c r="R22">
        <v>-70</v>
      </c>
      <c r="S22">
        <v>-70</v>
      </c>
      <c r="T22">
        <v>-44</v>
      </c>
      <c r="U22">
        <v>-50</v>
      </c>
      <c r="V22">
        <v>-90</v>
      </c>
      <c r="W22">
        <v>-120</v>
      </c>
      <c r="X22">
        <v>-78</v>
      </c>
      <c r="Y22">
        <v>-40</v>
      </c>
      <c r="Z22">
        <v>-70</v>
      </c>
      <c r="AA22">
        <v>-68</v>
      </c>
      <c r="AB22">
        <v>-94</v>
      </c>
      <c r="AC22">
        <v>-44</v>
      </c>
      <c r="AD22">
        <v>6</v>
      </c>
      <c r="AE22">
        <v>-44</v>
      </c>
      <c r="AF22">
        <v>-42</v>
      </c>
      <c r="AG22">
        <v>-66</v>
      </c>
      <c r="AH22">
        <v>-94</v>
      </c>
      <c r="AI22">
        <v>-46</v>
      </c>
      <c r="AJ22">
        <v>-68</v>
      </c>
      <c r="AK22">
        <v>-110</v>
      </c>
      <c r="AL22">
        <v>-86</v>
      </c>
      <c r="AM22">
        <v>-68</v>
      </c>
      <c r="AN22">
        <v>-96</v>
      </c>
      <c r="AO22">
        <v>-60</v>
      </c>
      <c r="AP22">
        <v>-108</v>
      </c>
      <c r="AQ22">
        <v>-114</v>
      </c>
      <c r="AR22">
        <v>-132</v>
      </c>
      <c r="AS22">
        <v>-100</v>
      </c>
      <c r="AT22">
        <v>-82</v>
      </c>
      <c r="AU22">
        <v>-86</v>
      </c>
      <c r="AV22">
        <v>-78</v>
      </c>
      <c r="AW22">
        <v>-106</v>
      </c>
      <c r="AX22">
        <v>-92</v>
      </c>
      <c r="AY22">
        <v>-100</v>
      </c>
      <c r="AZ22">
        <v>-96</v>
      </c>
      <c r="BA22">
        <v>-88</v>
      </c>
      <c r="BB22">
        <v>-106</v>
      </c>
    </row>
    <row r="23" spans="1:54">
      <c r="A23" t="s">
        <v>15</v>
      </c>
      <c r="B23">
        <v>304</v>
      </c>
      <c r="C23">
        <v>320</v>
      </c>
      <c r="D23">
        <v>334</v>
      </c>
      <c r="E23">
        <v>396</v>
      </c>
      <c r="F23">
        <v>394</v>
      </c>
      <c r="G23">
        <v>302</v>
      </c>
      <c r="H23">
        <v>340</v>
      </c>
      <c r="I23">
        <v>340</v>
      </c>
      <c r="J23">
        <v>330</v>
      </c>
      <c r="K23">
        <v>402</v>
      </c>
      <c r="L23">
        <v>304</v>
      </c>
      <c r="M23">
        <v>312</v>
      </c>
      <c r="N23">
        <v>260</v>
      </c>
      <c r="O23">
        <v>242</v>
      </c>
      <c r="P23">
        <v>284</v>
      </c>
      <c r="Q23">
        <v>280</v>
      </c>
      <c r="R23">
        <v>362</v>
      </c>
      <c r="S23">
        <v>320</v>
      </c>
      <c r="T23">
        <v>300</v>
      </c>
      <c r="U23">
        <v>254</v>
      </c>
      <c r="V23">
        <v>276</v>
      </c>
      <c r="W23">
        <v>262</v>
      </c>
      <c r="X23">
        <v>254</v>
      </c>
      <c r="Y23">
        <v>110</v>
      </c>
      <c r="Z23">
        <v>118</v>
      </c>
      <c r="AA23">
        <v>102</v>
      </c>
      <c r="AB23">
        <v>92</v>
      </c>
      <c r="AC23">
        <v>184</v>
      </c>
      <c r="AD23">
        <v>204</v>
      </c>
      <c r="AE23">
        <v>202</v>
      </c>
      <c r="AF23">
        <v>208</v>
      </c>
      <c r="AG23">
        <v>204</v>
      </c>
      <c r="AH23">
        <v>202</v>
      </c>
      <c r="AI23">
        <v>140</v>
      </c>
      <c r="AJ23">
        <v>142</v>
      </c>
      <c r="AK23">
        <v>120</v>
      </c>
      <c r="AL23">
        <v>-848</v>
      </c>
      <c r="AM23">
        <v>158</v>
      </c>
      <c r="AN23">
        <v>170</v>
      </c>
      <c r="AO23">
        <v>272</v>
      </c>
      <c r="AP23">
        <v>244</v>
      </c>
      <c r="AQ23">
        <v>212</v>
      </c>
      <c r="AR23">
        <v>210</v>
      </c>
      <c r="AS23">
        <v>178</v>
      </c>
      <c r="AT23">
        <v>180</v>
      </c>
      <c r="AU23">
        <v>180</v>
      </c>
      <c r="AV23">
        <v>156</v>
      </c>
      <c r="AW23">
        <v>86</v>
      </c>
      <c r="AX23">
        <v>62</v>
      </c>
      <c r="AY23">
        <v>120</v>
      </c>
      <c r="AZ23">
        <v>88</v>
      </c>
      <c r="BA23">
        <v>90</v>
      </c>
      <c r="BB23">
        <v>90</v>
      </c>
    </row>
    <row r="24" spans="1:54">
      <c r="A24" t="s">
        <v>9</v>
      </c>
      <c r="B24">
        <v>211</v>
      </c>
      <c r="C24">
        <v>244</v>
      </c>
      <c r="D24">
        <v>274</v>
      </c>
      <c r="E24">
        <v>299</v>
      </c>
      <c r="F24">
        <v>240</v>
      </c>
      <c r="G24">
        <v>210</v>
      </c>
      <c r="H24">
        <v>172</v>
      </c>
      <c r="I24">
        <v>109</v>
      </c>
      <c r="J24">
        <v>89</v>
      </c>
      <c r="K24">
        <v>69</v>
      </c>
      <c r="L24">
        <v>68</v>
      </c>
      <c r="M24">
        <v>71</v>
      </c>
      <c r="N24">
        <v>36</v>
      </c>
      <c r="O24">
        <v>31</v>
      </c>
      <c r="P24">
        <v>43</v>
      </c>
      <c r="Q24">
        <v>0</v>
      </c>
      <c r="R24">
        <v>-17</v>
      </c>
      <c r="S24">
        <v>-22</v>
      </c>
      <c r="T24">
        <v>-6</v>
      </c>
      <c r="U24">
        <v>2</v>
      </c>
      <c r="V24">
        <v>8</v>
      </c>
      <c r="W24">
        <v>-4</v>
      </c>
      <c r="X24">
        <v>29</v>
      </c>
      <c r="Y24">
        <v>75</v>
      </c>
      <c r="Z24">
        <v>52</v>
      </c>
      <c r="AA24">
        <v>71</v>
      </c>
      <c r="AB24">
        <v>79</v>
      </c>
      <c r="AC24">
        <v>245</v>
      </c>
      <c r="AD24">
        <v>138</v>
      </c>
      <c r="AE24">
        <v>124</v>
      </c>
      <c r="AF24">
        <v>111</v>
      </c>
      <c r="AG24">
        <v>141</v>
      </c>
      <c r="AH24">
        <v>128</v>
      </c>
      <c r="AI24">
        <v>251</v>
      </c>
      <c r="AJ24">
        <v>246</v>
      </c>
      <c r="AK24">
        <v>238</v>
      </c>
      <c r="AL24">
        <v>124</v>
      </c>
      <c r="AM24">
        <v>112</v>
      </c>
      <c r="AN24">
        <v>118</v>
      </c>
      <c r="AO24">
        <v>171</v>
      </c>
      <c r="AP24">
        <v>183</v>
      </c>
      <c r="AQ24">
        <v>132</v>
      </c>
      <c r="AR24">
        <v>122</v>
      </c>
      <c r="AS24">
        <v>132</v>
      </c>
      <c r="AT24">
        <v>160</v>
      </c>
      <c r="AU24">
        <v>138</v>
      </c>
      <c r="AV24">
        <v>136</v>
      </c>
      <c r="AW24">
        <v>186</v>
      </c>
      <c r="AX24">
        <v>163</v>
      </c>
      <c r="AY24">
        <v>213</v>
      </c>
      <c r="AZ24">
        <v>206</v>
      </c>
      <c r="BA24">
        <v>183</v>
      </c>
      <c r="BB24">
        <v>174</v>
      </c>
    </row>
    <row r="25" spans="1:54">
      <c r="A25" t="s">
        <v>36</v>
      </c>
      <c r="B25">
        <v>488</v>
      </c>
      <c r="C25">
        <v>463</v>
      </c>
      <c r="D25">
        <v>488</v>
      </c>
      <c r="E25">
        <v>465</v>
      </c>
      <c r="F25">
        <v>445</v>
      </c>
      <c r="G25">
        <v>440</v>
      </c>
      <c r="H25">
        <v>550</v>
      </c>
      <c r="I25">
        <v>525</v>
      </c>
      <c r="J25">
        <v>540</v>
      </c>
      <c r="K25">
        <v>560</v>
      </c>
      <c r="L25">
        <v>630</v>
      </c>
      <c r="M25">
        <v>615</v>
      </c>
      <c r="N25">
        <v>590</v>
      </c>
      <c r="O25">
        <v>575</v>
      </c>
      <c r="P25">
        <v>665</v>
      </c>
      <c r="Q25">
        <v>640</v>
      </c>
      <c r="R25">
        <v>465</v>
      </c>
      <c r="S25">
        <v>455</v>
      </c>
      <c r="T25">
        <v>545</v>
      </c>
      <c r="U25">
        <v>450</v>
      </c>
      <c r="V25">
        <v>480</v>
      </c>
      <c r="W25">
        <v>635</v>
      </c>
      <c r="X25">
        <v>635</v>
      </c>
      <c r="Y25">
        <v>610</v>
      </c>
      <c r="Z25">
        <v>550</v>
      </c>
      <c r="AA25">
        <v>555</v>
      </c>
      <c r="AB25">
        <v>490</v>
      </c>
      <c r="AC25">
        <v>470</v>
      </c>
      <c r="AD25">
        <v>325</v>
      </c>
      <c r="AE25">
        <v>400</v>
      </c>
      <c r="AF25">
        <v>305</v>
      </c>
      <c r="AG25">
        <v>80</v>
      </c>
      <c r="AH25">
        <v>115</v>
      </c>
      <c r="AI25">
        <v>300</v>
      </c>
      <c r="AJ25">
        <v>350</v>
      </c>
      <c r="AK25">
        <v>270</v>
      </c>
      <c r="AL25">
        <v>260</v>
      </c>
      <c r="AM25">
        <v>245</v>
      </c>
      <c r="AN25">
        <v>370</v>
      </c>
      <c r="AO25">
        <v>470</v>
      </c>
      <c r="AP25">
        <v>430</v>
      </c>
      <c r="AQ25">
        <v>585</v>
      </c>
      <c r="AR25">
        <v>565</v>
      </c>
      <c r="AS25">
        <v>505</v>
      </c>
      <c r="AT25">
        <v>395</v>
      </c>
      <c r="AU25">
        <v>400</v>
      </c>
      <c r="AV25">
        <v>370</v>
      </c>
      <c r="AW25">
        <v>285</v>
      </c>
      <c r="AX25">
        <v>255</v>
      </c>
      <c r="AY25">
        <v>195</v>
      </c>
      <c r="AZ25">
        <v>50</v>
      </c>
      <c r="BA25">
        <v>-70</v>
      </c>
      <c r="BB25">
        <v>-65</v>
      </c>
    </row>
    <row r="26" spans="1:54">
      <c r="A26" t="s">
        <v>21</v>
      </c>
      <c r="B26">
        <v>35</v>
      </c>
      <c r="C26">
        <v>35</v>
      </c>
      <c r="D26">
        <v>-195</v>
      </c>
      <c r="E26">
        <v>85</v>
      </c>
      <c r="F26">
        <v>85</v>
      </c>
      <c r="G26">
        <v>85</v>
      </c>
      <c r="H26">
        <v>85</v>
      </c>
      <c r="I26">
        <v>85</v>
      </c>
      <c r="J26">
        <v>145</v>
      </c>
      <c r="K26">
        <v>-150</v>
      </c>
      <c r="L26">
        <v>-150</v>
      </c>
      <c r="M26">
        <v>-280</v>
      </c>
      <c r="N26">
        <v>-280</v>
      </c>
      <c r="O26">
        <v>30</v>
      </c>
      <c r="P26">
        <v>30</v>
      </c>
      <c r="Q26">
        <v>30</v>
      </c>
      <c r="R26">
        <v>-20</v>
      </c>
      <c r="S26">
        <v>65</v>
      </c>
      <c r="T26">
        <v>-145</v>
      </c>
      <c r="U26">
        <v>45</v>
      </c>
      <c r="V26">
        <v>-50</v>
      </c>
      <c r="W26">
        <v>-150</v>
      </c>
      <c r="X26">
        <v>-150</v>
      </c>
      <c r="Y26">
        <v>-185</v>
      </c>
      <c r="Z26">
        <v>-185</v>
      </c>
      <c r="AA26">
        <v>-185</v>
      </c>
      <c r="AB26">
        <v>-130</v>
      </c>
      <c r="AC26">
        <v>-130</v>
      </c>
      <c r="AD26">
        <v>-350</v>
      </c>
      <c r="AE26">
        <v>-350</v>
      </c>
      <c r="AF26">
        <v>-175</v>
      </c>
      <c r="AG26">
        <v>-120</v>
      </c>
      <c r="AH26">
        <v>-120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-180</v>
      </c>
      <c r="AR26">
        <v>-450</v>
      </c>
      <c r="AS26">
        <v>-380</v>
      </c>
      <c r="AT26">
        <v>-350</v>
      </c>
      <c r="AU26">
        <v>-225</v>
      </c>
      <c r="AV26">
        <v>-135</v>
      </c>
      <c r="AW26">
        <v>-405</v>
      </c>
      <c r="AX26">
        <v>-430</v>
      </c>
      <c r="AY26">
        <v>-485</v>
      </c>
      <c r="AZ26">
        <v>-435</v>
      </c>
      <c r="BA26">
        <v>-510</v>
      </c>
      <c r="BB26">
        <v>-540</v>
      </c>
    </row>
    <row r="27" spans="1:54">
      <c r="A27" t="s">
        <v>37</v>
      </c>
      <c r="B27">
        <v>-160</v>
      </c>
      <c r="C27">
        <v>-110</v>
      </c>
      <c r="D27">
        <v>-360</v>
      </c>
      <c r="E27">
        <v>-10</v>
      </c>
      <c r="F27">
        <v>-90</v>
      </c>
      <c r="G27">
        <v>10</v>
      </c>
      <c r="H27">
        <v>10</v>
      </c>
      <c r="I27">
        <v>-100</v>
      </c>
      <c r="J27">
        <v>-160</v>
      </c>
      <c r="K27">
        <v>-280</v>
      </c>
      <c r="L27">
        <v>60</v>
      </c>
      <c r="M27">
        <v>50</v>
      </c>
      <c r="N27">
        <v>-400</v>
      </c>
      <c r="O27">
        <v>-480</v>
      </c>
      <c r="P27">
        <v>-350</v>
      </c>
      <c r="Q27">
        <v>130</v>
      </c>
      <c r="R27">
        <v>-200</v>
      </c>
      <c r="S27">
        <v>-140</v>
      </c>
      <c r="T27">
        <v>-530</v>
      </c>
      <c r="U27">
        <v>-330</v>
      </c>
      <c r="V27">
        <v>-280</v>
      </c>
      <c r="W27">
        <v>-790</v>
      </c>
      <c r="X27">
        <v>-740</v>
      </c>
      <c r="Y27">
        <v>-70</v>
      </c>
      <c r="Z27">
        <v>-50</v>
      </c>
      <c r="AA27">
        <v>-190</v>
      </c>
      <c r="AB27">
        <v>-330</v>
      </c>
      <c r="AC27">
        <v>0</v>
      </c>
      <c r="AD27">
        <v>-130</v>
      </c>
      <c r="AE27">
        <v>-180</v>
      </c>
      <c r="AF27">
        <v>-110</v>
      </c>
      <c r="AG27">
        <v>-360</v>
      </c>
      <c r="AH27">
        <v>-250</v>
      </c>
      <c r="AI27">
        <v>-250</v>
      </c>
      <c r="AJ27">
        <v>-60</v>
      </c>
      <c r="AK27">
        <v>70</v>
      </c>
      <c r="AL27">
        <v>-200</v>
      </c>
      <c r="AM27">
        <v>-180</v>
      </c>
      <c r="AN27">
        <v>1870</v>
      </c>
      <c r="AO27">
        <v>620</v>
      </c>
      <c r="AP27">
        <v>620</v>
      </c>
      <c r="AQ27">
        <v>620</v>
      </c>
      <c r="AR27">
        <v>-20</v>
      </c>
      <c r="AS27">
        <v>-50</v>
      </c>
      <c r="AT27">
        <v>-160</v>
      </c>
      <c r="AU27">
        <v>-140</v>
      </c>
      <c r="AV27">
        <v>-180</v>
      </c>
      <c r="AW27">
        <v>50</v>
      </c>
      <c r="AX27">
        <v>-270</v>
      </c>
      <c r="AY27">
        <v>-310</v>
      </c>
      <c r="AZ27">
        <v>-40</v>
      </c>
      <c r="BA27">
        <v>-80</v>
      </c>
      <c r="BB27">
        <v>-140</v>
      </c>
    </row>
    <row r="28" spans="1:54">
      <c r="A28" t="s">
        <v>19</v>
      </c>
      <c r="B28">
        <v>-205</v>
      </c>
      <c r="C28">
        <v>-310</v>
      </c>
      <c r="D28">
        <v>-240</v>
      </c>
      <c r="E28">
        <v>-230</v>
      </c>
      <c r="F28">
        <v>-195</v>
      </c>
      <c r="G28">
        <v>-140</v>
      </c>
      <c r="H28">
        <v>-350</v>
      </c>
      <c r="I28">
        <v>-75</v>
      </c>
      <c r="J28">
        <v>-155</v>
      </c>
      <c r="K28">
        <v>-160</v>
      </c>
      <c r="L28">
        <v>-35</v>
      </c>
      <c r="M28">
        <v>-85</v>
      </c>
      <c r="N28">
        <v>-240</v>
      </c>
      <c r="O28">
        <v>-110</v>
      </c>
      <c r="P28">
        <v>-125</v>
      </c>
      <c r="Q28">
        <v>-45</v>
      </c>
      <c r="R28">
        <v>-80</v>
      </c>
      <c r="S28">
        <v>-95</v>
      </c>
      <c r="T28">
        <v>-160</v>
      </c>
      <c r="U28">
        <v>-180</v>
      </c>
      <c r="V28">
        <v>-125</v>
      </c>
      <c r="W28">
        <v>-60</v>
      </c>
      <c r="X28">
        <v>-110</v>
      </c>
      <c r="Y28">
        <v>-90</v>
      </c>
      <c r="Z28">
        <v>-90</v>
      </c>
      <c r="AA28">
        <v>-80</v>
      </c>
      <c r="AB28">
        <v>-100</v>
      </c>
      <c r="AC28">
        <v>-100</v>
      </c>
      <c r="AD28">
        <v>-100</v>
      </c>
      <c r="AE28">
        <v>-165</v>
      </c>
      <c r="AF28">
        <v>-160</v>
      </c>
      <c r="AG28">
        <v>-205</v>
      </c>
      <c r="AH28">
        <v>-200</v>
      </c>
      <c r="AI28">
        <v>-170</v>
      </c>
      <c r="AJ28">
        <v>-195</v>
      </c>
      <c r="AK28">
        <v>-240</v>
      </c>
      <c r="AL28">
        <v>-270</v>
      </c>
      <c r="AM28">
        <v>-240</v>
      </c>
      <c r="AN28">
        <v>-240</v>
      </c>
      <c r="AO28">
        <v>-30</v>
      </c>
      <c r="AP28">
        <v>-30</v>
      </c>
      <c r="AQ28">
        <v>-30</v>
      </c>
      <c r="AR28">
        <v>-230</v>
      </c>
      <c r="AS28">
        <v>-130</v>
      </c>
      <c r="AT28">
        <v>-85</v>
      </c>
      <c r="AU28">
        <v>-50</v>
      </c>
      <c r="AV28">
        <v>-130</v>
      </c>
      <c r="AW28">
        <v>-95</v>
      </c>
      <c r="AX28">
        <v>-130</v>
      </c>
      <c r="AY28">
        <v>-115</v>
      </c>
      <c r="AZ28">
        <v>-90</v>
      </c>
      <c r="BA28">
        <v>-80</v>
      </c>
      <c r="BB28">
        <v>-150</v>
      </c>
    </row>
    <row r="29" spans="1:54">
      <c r="A29" t="s">
        <v>38</v>
      </c>
      <c r="B29">
        <v>205</v>
      </c>
      <c r="C29">
        <v>220</v>
      </c>
      <c r="D29">
        <v>230</v>
      </c>
      <c r="E29">
        <v>290</v>
      </c>
      <c r="F29">
        <v>60</v>
      </c>
      <c r="G29">
        <v>265</v>
      </c>
      <c r="H29">
        <v>375</v>
      </c>
      <c r="I29">
        <v>-35</v>
      </c>
      <c r="J29">
        <v>40</v>
      </c>
      <c r="K29">
        <v>-80</v>
      </c>
      <c r="L29">
        <v>-75</v>
      </c>
      <c r="M29">
        <v>-65</v>
      </c>
      <c r="N29">
        <v>-90</v>
      </c>
      <c r="O29">
        <v>-210</v>
      </c>
      <c r="P29">
        <v>-215</v>
      </c>
      <c r="Q29">
        <v>190</v>
      </c>
      <c r="R29">
        <v>-50</v>
      </c>
      <c r="S29">
        <v>-120</v>
      </c>
      <c r="T29">
        <v>-180</v>
      </c>
      <c r="U29">
        <v>-135</v>
      </c>
      <c r="V29">
        <v>-295</v>
      </c>
      <c r="W29">
        <v>-170</v>
      </c>
      <c r="X29">
        <v>-10</v>
      </c>
      <c r="Y29">
        <v>70</v>
      </c>
      <c r="Z29">
        <v>-60</v>
      </c>
      <c r="AA29">
        <v>5</v>
      </c>
      <c r="AB29">
        <v>-90</v>
      </c>
      <c r="AC29">
        <v>15</v>
      </c>
      <c r="AD29">
        <v>-95</v>
      </c>
      <c r="AE29">
        <v>55</v>
      </c>
      <c r="AF29">
        <v>70</v>
      </c>
      <c r="AG29">
        <v>0</v>
      </c>
      <c r="AH29">
        <v>40</v>
      </c>
      <c r="AI29">
        <v>-200</v>
      </c>
      <c r="AJ29">
        <v>110</v>
      </c>
      <c r="AK29">
        <v>-100</v>
      </c>
      <c r="AL29">
        <v>-30</v>
      </c>
      <c r="AM29">
        <v>-150</v>
      </c>
      <c r="AN29">
        <v>460</v>
      </c>
      <c r="AO29">
        <v>10</v>
      </c>
      <c r="AP29">
        <v>10</v>
      </c>
      <c r="AQ29">
        <v>10</v>
      </c>
      <c r="AR29">
        <v>-150</v>
      </c>
      <c r="AS29">
        <v>-30</v>
      </c>
      <c r="AT29">
        <v>-50</v>
      </c>
      <c r="AU29">
        <v>-90</v>
      </c>
      <c r="AV29">
        <v>-120</v>
      </c>
      <c r="AW29">
        <v>60</v>
      </c>
      <c r="AX29">
        <v>-20</v>
      </c>
      <c r="AY29">
        <v>-145</v>
      </c>
      <c r="AZ29">
        <v>60</v>
      </c>
      <c r="BA29">
        <v>-80</v>
      </c>
      <c r="BB29">
        <v>-20</v>
      </c>
    </row>
    <row r="30" spans="1:54">
      <c r="A30" t="s">
        <v>39</v>
      </c>
      <c r="B30">
        <v>-910</v>
      </c>
      <c r="C30">
        <v>-2320</v>
      </c>
      <c r="D30">
        <v>-2100</v>
      </c>
      <c r="E30">
        <v>-900</v>
      </c>
      <c r="F30">
        <v>-1550</v>
      </c>
      <c r="G30">
        <v>-760</v>
      </c>
      <c r="H30">
        <v>-1050</v>
      </c>
      <c r="I30">
        <v>-350</v>
      </c>
      <c r="J30">
        <v>-850</v>
      </c>
      <c r="K30">
        <v>-890</v>
      </c>
      <c r="L30">
        <v>3060</v>
      </c>
      <c r="M30">
        <v>3060</v>
      </c>
      <c r="N30">
        <v>2960</v>
      </c>
      <c r="O30">
        <v>1510</v>
      </c>
      <c r="P30">
        <v>-340</v>
      </c>
      <c r="Q30">
        <v>-160</v>
      </c>
      <c r="R30">
        <v>-260</v>
      </c>
      <c r="S30">
        <v>-590</v>
      </c>
      <c r="T30">
        <v>-2730</v>
      </c>
      <c r="U30">
        <v>-1300</v>
      </c>
      <c r="V30">
        <v>-590</v>
      </c>
      <c r="W30">
        <v>-3250</v>
      </c>
      <c r="X30">
        <v>-2550</v>
      </c>
      <c r="Y30">
        <v>-1400</v>
      </c>
      <c r="Z30">
        <v>-1550</v>
      </c>
      <c r="AA30">
        <v>-200</v>
      </c>
      <c r="AB30">
        <v>300</v>
      </c>
      <c r="AC30">
        <v>-250</v>
      </c>
      <c r="AD30">
        <v>-990</v>
      </c>
      <c r="AE30">
        <v>-140</v>
      </c>
      <c r="AF30">
        <v>100</v>
      </c>
      <c r="AG30">
        <v>-850</v>
      </c>
      <c r="AH30">
        <v>-110</v>
      </c>
      <c r="AI30">
        <v>-3380</v>
      </c>
      <c r="AJ30">
        <v>-780</v>
      </c>
      <c r="AK30">
        <v>150</v>
      </c>
      <c r="AL30">
        <v>-230</v>
      </c>
      <c r="AM30">
        <v>-1280</v>
      </c>
      <c r="AN30">
        <v>1960</v>
      </c>
      <c r="AO30">
        <v>-1490</v>
      </c>
      <c r="AP30">
        <v>-1490</v>
      </c>
      <c r="AQ30">
        <v>-1490</v>
      </c>
      <c r="AR30">
        <v>-3790</v>
      </c>
      <c r="AS30">
        <v>-2140</v>
      </c>
      <c r="AT30">
        <v>-890</v>
      </c>
      <c r="AU30">
        <v>-1740</v>
      </c>
      <c r="AV30">
        <v>-1790</v>
      </c>
      <c r="AW30">
        <v>-590</v>
      </c>
      <c r="AX30">
        <v>-1370</v>
      </c>
      <c r="AY30">
        <v>-1480</v>
      </c>
      <c r="AZ30">
        <v>-670</v>
      </c>
      <c r="BA30">
        <v>-2210</v>
      </c>
      <c r="BB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30"/>
  <sheetViews>
    <sheetView workbookViewId="0">
      <selection activeCell="A31" sqref="A31:C33"/>
    </sheetView>
  </sheetViews>
  <sheetFormatPr defaultRowHeight="13.5"/>
  <cols>
    <col min="52" max="52" width="11.125" customWidth="1"/>
    <col min="53" max="53" width="10.5" customWidth="1"/>
  </cols>
  <sheetData>
    <row r="1" spans="1:53">
      <c r="A1" t="s">
        <v>0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43132</v>
      </c>
      <c r="AX1" s="11">
        <v>43131</v>
      </c>
      <c r="AY1" s="11">
        <v>43130</v>
      </c>
      <c r="AZ1" s="11">
        <v>43129</v>
      </c>
      <c r="BA1" s="11">
        <v>43126</v>
      </c>
    </row>
    <row r="2" spans="1:53">
      <c r="A2" t="s">
        <v>4</v>
      </c>
      <c r="B2">
        <v>-10</v>
      </c>
      <c r="C2">
        <v>-63.5</v>
      </c>
      <c r="D2">
        <v>-21</v>
      </c>
      <c r="E2">
        <v>43</v>
      </c>
      <c r="F2">
        <v>84</v>
      </c>
      <c r="G2">
        <v>71</v>
      </c>
      <c r="H2">
        <v>107.5</v>
      </c>
      <c r="I2">
        <v>134.5</v>
      </c>
      <c r="J2">
        <v>74.5</v>
      </c>
      <c r="K2">
        <v>106.5</v>
      </c>
      <c r="L2">
        <v>84</v>
      </c>
      <c r="M2">
        <v>91.5</v>
      </c>
      <c r="N2">
        <v>93</v>
      </c>
      <c r="O2">
        <v>73</v>
      </c>
      <c r="P2">
        <v>165</v>
      </c>
      <c r="Q2">
        <v>249</v>
      </c>
      <c r="R2">
        <v>191.5</v>
      </c>
      <c r="S2">
        <v>187</v>
      </c>
      <c r="T2">
        <v>254.5</v>
      </c>
      <c r="U2">
        <v>176.5</v>
      </c>
      <c r="V2">
        <v>171.5</v>
      </c>
      <c r="W2">
        <v>193</v>
      </c>
      <c r="X2">
        <v>180</v>
      </c>
      <c r="Y2">
        <v>125.5</v>
      </c>
      <c r="Z2">
        <v>172.5</v>
      </c>
      <c r="AA2">
        <v>148.5</v>
      </c>
      <c r="AB2">
        <v>165</v>
      </c>
      <c r="AC2">
        <v>133</v>
      </c>
      <c r="AD2">
        <v>105</v>
      </c>
      <c r="AE2">
        <v>-6</v>
      </c>
      <c r="AF2">
        <v>-44</v>
      </c>
      <c r="AG2">
        <v>-52.5</v>
      </c>
      <c r="AH2">
        <v>-2</v>
      </c>
      <c r="AI2">
        <v>-77.5</v>
      </c>
      <c r="AJ2">
        <v>-66</v>
      </c>
      <c r="AK2">
        <v>-80</v>
      </c>
      <c r="AL2">
        <v>-97</v>
      </c>
      <c r="AM2">
        <v>-106.5</v>
      </c>
      <c r="AN2">
        <v>-55</v>
      </c>
      <c r="AO2">
        <v>-121</v>
      </c>
      <c r="AP2">
        <v>-95</v>
      </c>
      <c r="AQ2">
        <v>-74</v>
      </c>
      <c r="AR2">
        <v>-81</v>
      </c>
      <c r="AS2">
        <v>-121</v>
      </c>
      <c r="AT2">
        <v>-125.5</v>
      </c>
      <c r="AU2">
        <v>-96.5</v>
      </c>
      <c r="AV2">
        <v>-94.5</v>
      </c>
      <c r="AW2">
        <v>20</v>
      </c>
      <c r="AX2">
        <v>106.5</v>
      </c>
      <c r="AY2">
        <v>96.5</v>
      </c>
      <c r="AZ2">
        <v>68</v>
      </c>
      <c r="BA2">
        <v>74.5</v>
      </c>
    </row>
    <row r="3" spans="1:53">
      <c r="A3" t="s">
        <v>6</v>
      </c>
      <c r="B3">
        <v>169.5</v>
      </c>
      <c r="C3">
        <v>125.5</v>
      </c>
      <c r="D3">
        <v>151</v>
      </c>
      <c r="E3">
        <v>173.5</v>
      </c>
      <c r="F3">
        <v>198</v>
      </c>
      <c r="G3">
        <v>167.5</v>
      </c>
      <c r="H3">
        <v>176</v>
      </c>
      <c r="I3">
        <v>150.5</v>
      </c>
      <c r="J3">
        <v>117.5</v>
      </c>
      <c r="K3">
        <v>190</v>
      </c>
      <c r="L3">
        <v>187.5</v>
      </c>
      <c r="M3">
        <v>183</v>
      </c>
      <c r="N3">
        <v>184.5</v>
      </c>
      <c r="O3">
        <v>163</v>
      </c>
      <c r="P3">
        <v>193</v>
      </c>
      <c r="Q3">
        <v>252.5</v>
      </c>
      <c r="R3">
        <v>232</v>
      </c>
      <c r="S3">
        <v>228</v>
      </c>
      <c r="T3">
        <v>224</v>
      </c>
      <c r="U3">
        <v>187</v>
      </c>
      <c r="V3">
        <v>183</v>
      </c>
      <c r="W3">
        <v>181.5</v>
      </c>
      <c r="X3">
        <v>180</v>
      </c>
      <c r="Y3">
        <v>154</v>
      </c>
      <c r="Z3">
        <v>160</v>
      </c>
      <c r="AA3">
        <v>143</v>
      </c>
      <c r="AB3">
        <v>169.5</v>
      </c>
      <c r="AC3">
        <v>150.5</v>
      </c>
      <c r="AD3">
        <v>140</v>
      </c>
      <c r="AE3">
        <v>107.5</v>
      </c>
      <c r="AF3">
        <v>79</v>
      </c>
      <c r="AG3">
        <v>71.5</v>
      </c>
      <c r="AH3">
        <v>83.5</v>
      </c>
      <c r="AI3">
        <v>61.5</v>
      </c>
      <c r="AJ3">
        <v>67</v>
      </c>
      <c r="AK3">
        <v>47</v>
      </c>
      <c r="AL3">
        <v>41</v>
      </c>
      <c r="AM3">
        <v>25</v>
      </c>
      <c r="AN3">
        <v>31</v>
      </c>
      <c r="AO3">
        <v>53</v>
      </c>
      <c r="AP3">
        <v>59.5</v>
      </c>
      <c r="AQ3">
        <v>66.5</v>
      </c>
      <c r="AR3">
        <v>62.5</v>
      </c>
      <c r="AS3">
        <v>56.5</v>
      </c>
      <c r="AT3">
        <v>57.5</v>
      </c>
      <c r="AU3">
        <v>68.5</v>
      </c>
      <c r="AV3">
        <v>58.5</v>
      </c>
      <c r="AW3">
        <v>67</v>
      </c>
      <c r="AX3">
        <v>42.5</v>
      </c>
      <c r="AY3">
        <v>39</v>
      </c>
      <c r="AZ3">
        <v>94.5</v>
      </c>
      <c r="BA3">
        <v>98.5</v>
      </c>
    </row>
    <row r="4" spans="1:53">
      <c r="A4" t="s">
        <v>3</v>
      </c>
      <c r="B4">
        <v>-18.600000000000023</v>
      </c>
      <c r="C4">
        <v>-22.600000000000023</v>
      </c>
      <c r="D4">
        <v>-22.800000000000068</v>
      </c>
      <c r="E4">
        <v>-15.800000000000068</v>
      </c>
      <c r="F4">
        <v>0</v>
      </c>
      <c r="G4">
        <v>18.600000000000023</v>
      </c>
      <c r="H4">
        <v>24.600000000000023</v>
      </c>
      <c r="I4">
        <v>17.399999999999977</v>
      </c>
      <c r="J4">
        <v>19</v>
      </c>
      <c r="K4">
        <v>35.399999999999977</v>
      </c>
      <c r="L4">
        <v>37.199999999999932</v>
      </c>
      <c r="M4">
        <v>38.799999999999955</v>
      </c>
      <c r="N4">
        <v>45.799999999999955</v>
      </c>
      <c r="O4">
        <v>41.199999999999932</v>
      </c>
      <c r="P4">
        <v>50</v>
      </c>
      <c r="Q4">
        <v>55.600000000000023</v>
      </c>
      <c r="R4">
        <v>56.600000000000023</v>
      </c>
      <c r="S4">
        <v>62</v>
      </c>
      <c r="T4">
        <v>69</v>
      </c>
      <c r="U4">
        <v>64.799999999999955</v>
      </c>
      <c r="V4">
        <v>65.399999999999977</v>
      </c>
      <c r="W4">
        <v>55</v>
      </c>
      <c r="X4">
        <v>40.600000000000023</v>
      </c>
      <c r="Y4">
        <v>35.799999999999955</v>
      </c>
      <c r="Z4">
        <v>34.399999999999977</v>
      </c>
      <c r="AA4">
        <v>37.199999999999932</v>
      </c>
      <c r="AB4">
        <v>41.399999999999977</v>
      </c>
      <c r="AC4">
        <v>41.600000000000023</v>
      </c>
      <c r="AD4">
        <v>42.799999999999955</v>
      </c>
      <c r="AE4">
        <v>42.600000000000023</v>
      </c>
      <c r="AF4">
        <v>49</v>
      </c>
      <c r="AG4">
        <v>53.600000000000023</v>
      </c>
      <c r="AH4">
        <v>65.600000000000023</v>
      </c>
      <c r="AI4">
        <v>69</v>
      </c>
      <c r="AJ4">
        <v>81</v>
      </c>
      <c r="AK4">
        <v>90</v>
      </c>
      <c r="AL4">
        <v>105.60000000000002</v>
      </c>
      <c r="AM4">
        <v>111.19999999999993</v>
      </c>
      <c r="AN4">
        <v>118.60000000000002</v>
      </c>
      <c r="AO4">
        <v>124.60000000000002</v>
      </c>
      <c r="AP4">
        <v>130</v>
      </c>
      <c r="AQ4">
        <v>130.39999999999998</v>
      </c>
      <c r="AR4">
        <v>136</v>
      </c>
      <c r="AS4">
        <v>132.60000000000002</v>
      </c>
      <c r="AT4">
        <v>130.19999999999993</v>
      </c>
      <c r="AU4">
        <v>145.60000000000002</v>
      </c>
      <c r="AV4">
        <v>143.19999999999993</v>
      </c>
      <c r="AW4">
        <v>135</v>
      </c>
      <c r="AX4">
        <v>131.39999999999998</v>
      </c>
      <c r="AY4">
        <v>130</v>
      </c>
      <c r="AZ4">
        <v>113.39999999999998</v>
      </c>
      <c r="BA4">
        <v>118.39999999999998</v>
      </c>
    </row>
    <row r="5" spans="1:53">
      <c r="A5" t="s">
        <v>17</v>
      </c>
      <c r="B5">
        <v>-26.300000000000011</v>
      </c>
      <c r="C5">
        <v>-40.300000000000011</v>
      </c>
      <c r="D5">
        <v>-15.399999999999977</v>
      </c>
      <c r="E5">
        <v>3.1999999999999886</v>
      </c>
      <c r="F5">
        <v>3.6999999999999886</v>
      </c>
      <c r="G5">
        <v>-11.300000000000011</v>
      </c>
      <c r="H5">
        <v>0</v>
      </c>
      <c r="I5">
        <v>-1</v>
      </c>
      <c r="J5">
        <v>-9.5</v>
      </c>
      <c r="K5">
        <v>4.6999999999999886</v>
      </c>
      <c r="L5">
        <v>13.399999999999977</v>
      </c>
      <c r="M5">
        <v>3.3999999999999773</v>
      </c>
      <c r="N5">
        <v>-0.60000000000002274</v>
      </c>
      <c r="O5">
        <v>-4.5</v>
      </c>
      <c r="P5">
        <v>0.5</v>
      </c>
      <c r="Q5">
        <v>7.8000000000000114</v>
      </c>
      <c r="R5">
        <v>5</v>
      </c>
      <c r="S5">
        <v>12.399999999999977</v>
      </c>
      <c r="T5">
        <v>36.899999999999977</v>
      </c>
      <c r="U5">
        <v>9.3999999999999773</v>
      </c>
      <c r="V5">
        <v>13.899999999999977</v>
      </c>
      <c r="W5">
        <v>14.800000000000011</v>
      </c>
      <c r="X5">
        <v>30.100000000000023</v>
      </c>
      <c r="Y5">
        <v>14.300000000000011</v>
      </c>
      <c r="Z5">
        <v>7.8000000000000114</v>
      </c>
      <c r="AA5">
        <v>0.30000000000001137</v>
      </c>
      <c r="AB5">
        <v>6.3000000000000114</v>
      </c>
      <c r="AC5">
        <v>20.399999999999977</v>
      </c>
      <c r="AD5">
        <v>35</v>
      </c>
      <c r="AE5">
        <v>34</v>
      </c>
      <c r="AF5">
        <v>19</v>
      </c>
      <c r="AG5">
        <v>26.5</v>
      </c>
      <c r="AH5">
        <v>28</v>
      </c>
      <c r="AI5">
        <v>16</v>
      </c>
      <c r="AJ5">
        <v>15.5</v>
      </c>
      <c r="AK5">
        <v>11.100000000000023</v>
      </c>
      <c r="AL5">
        <v>11.700000000000045</v>
      </c>
      <c r="AM5">
        <v>4.8999999999999773</v>
      </c>
      <c r="AN5">
        <v>-3.2000000000000455</v>
      </c>
      <c r="AO5">
        <v>-1.2999999999999545</v>
      </c>
      <c r="AP5">
        <v>2.7000000000000455</v>
      </c>
      <c r="AQ5">
        <v>10.700000000000045</v>
      </c>
      <c r="AR5">
        <v>11.899999999999977</v>
      </c>
      <c r="AS5">
        <v>8.8999999999999773</v>
      </c>
      <c r="AT5">
        <v>5.3999999999999773</v>
      </c>
      <c r="AU5">
        <v>4.6000000000000227</v>
      </c>
      <c r="AV5">
        <v>-0.89999999999997726</v>
      </c>
      <c r="AW5">
        <v>9.2000000000000455</v>
      </c>
      <c r="AX5">
        <v>-9.6000000000000227</v>
      </c>
      <c r="AY5">
        <v>-9.6000000000000227</v>
      </c>
      <c r="AZ5">
        <v>-12.799999999999955</v>
      </c>
      <c r="BA5">
        <v>-6.3999999999999773</v>
      </c>
    </row>
    <row r="6" spans="1:53">
      <c r="A6" t="s">
        <v>11</v>
      </c>
      <c r="B6">
        <v>494.5</v>
      </c>
      <c r="C6">
        <v>453</v>
      </c>
      <c r="D6">
        <v>440.59999999999991</v>
      </c>
      <c r="E6">
        <v>461</v>
      </c>
      <c r="F6">
        <v>488</v>
      </c>
      <c r="G6">
        <v>383</v>
      </c>
      <c r="H6">
        <v>458</v>
      </c>
      <c r="I6">
        <v>460</v>
      </c>
      <c r="J6">
        <v>400</v>
      </c>
      <c r="K6">
        <v>375.5</v>
      </c>
      <c r="L6">
        <v>486</v>
      </c>
      <c r="M6">
        <v>491</v>
      </c>
      <c r="N6">
        <v>501</v>
      </c>
      <c r="O6">
        <v>330</v>
      </c>
      <c r="P6">
        <v>381</v>
      </c>
      <c r="Q6">
        <v>458</v>
      </c>
      <c r="R6">
        <v>442</v>
      </c>
      <c r="S6">
        <v>434.5</v>
      </c>
      <c r="T6">
        <v>408</v>
      </c>
      <c r="U6">
        <v>425</v>
      </c>
      <c r="V6">
        <v>440.59999999999991</v>
      </c>
      <c r="W6">
        <v>417.59999999999991</v>
      </c>
      <c r="X6">
        <v>457</v>
      </c>
      <c r="Y6">
        <v>397</v>
      </c>
      <c r="Z6">
        <v>359</v>
      </c>
      <c r="AA6">
        <v>359</v>
      </c>
      <c r="AB6">
        <v>400</v>
      </c>
      <c r="AC6">
        <v>378</v>
      </c>
      <c r="AD6">
        <v>337</v>
      </c>
      <c r="AE6">
        <v>336</v>
      </c>
      <c r="AF6">
        <v>318</v>
      </c>
      <c r="AG6">
        <v>313</v>
      </c>
      <c r="AH6">
        <v>380</v>
      </c>
      <c r="AI6">
        <v>346</v>
      </c>
      <c r="AJ6">
        <v>374</v>
      </c>
      <c r="AK6">
        <v>354</v>
      </c>
      <c r="AL6">
        <v>343</v>
      </c>
      <c r="AM6">
        <v>332</v>
      </c>
      <c r="AN6">
        <v>165</v>
      </c>
      <c r="AO6">
        <v>257</v>
      </c>
      <c r="AP6">
        <v>252</v>
      </c>
      <c r="AQ6">
        <v>228</v>
      </c>
      <c r="AR6">
        <v>244</v>
      </c>
      <c r="AS6">
        <v>220</v>
      </c>
      <c r="AT6">
        <v>231</v>
      </c>
      <c r="AU6">
        <v>228</v>
      </c>
      <c r="AV6">
        <v>210</v>
      </c>
      <c r="AW6">
        <v>258</v>
      </c>
      <c r="AX6">
        <v>251</v>
      </c>
      <c r="AY6">
        <v>247</v>
      </c>
      <c r="AZ6">
        <v>227</v>
      </c>
      <c r="BA6">
        <v>235</v>
      </c>
    </row>
    <row r="7" spans="1:53">
      <c r="A7" t="s">
        <v>8</v>
      </c>
      <c r="B7">
        <v>453</v>
      </c>
      <c r="C7">
        <v>420</v>
      </c>
      <c r="D7">
        <v>413</v>
      </c>
      <c r="E7">
        <v>449</v>
      </c>
      <c r="F7">
        <v>491</v>
      </c>
      <c r="G7">
        <v>331</v>
      </c>
      <c r="H7">
        <v>408</v>
      </c>
      <c r="I7">
        <v>441</v>
      </c>
      <c r="J7">
        <v>341</v>
      </c>
      <c r="K7">
        <v>314</v>
      </c>
      <c r="L7">
        <v>388</v>
      </c>
      <c r="M7">
        <v>389</v>
      </c>
      <c r="N7">
        <v>376</v>
      </c>
      <c r="O7">
        <v>268</v>
      </c>
      <c r="P7">
        <v>378</v>
      </c>
      <c r="Q7">
        <v>446</v>
      </c>
      <c r="R7">
        <v>387</v>
      </c>
      <c r="S7">
        <v>454</v>
      </c>
      <c r="T7">
        <v>392</v>
      </c>
      <c r="U7">
        <v>340</v>
      </c>
      <c r="V7">
        <v>356</v>
      </c>
      <c r="W7">
        <v>341</v>
      </c>
      <c r="X7">
        <v>330</v>
      </c>
      <c r="Y7">
        <v>265</v>
      </c>
      <c r="Z7">
        <v>248</v>
      </c>
      <c r="AA7">
        <v>247</v>
      </c>
      <c r="AB7">
        <v>245</v>
      </c>
      <c r="AC7">
        <v>221</v>
      </c>
      <c r="AD7">
        <v>216</v>
      </c>
      <c r="AE7">
        <v>169</v>
      </c>
      <c r="AF7">
        <v>239</v>
      </c>
      <c r="AG7">
        <v>184</v>
      </c>
      <c r="AH7">
        <v>214</v>
      </c>
      <c r="AI7">
        <v>166</v>
      </c>
      <c r="AJ7">
        <v>219</v>
      </c>
      <c r="AK7">
        <v>221</v>
      </c>
      <c r="AL7">
        <v>223</v>
      </c>
      <c r="AM7">
        <v>237</v>
      </c>
      <c r="AN7">
        <v>253</v>
      </c>
      <c r="AO7">
        <v>257</v>
      </c>
      <c r="AP7">
        <v>252</v>
      </c>
      <c r="AQ7">
        <v>213</v>
      </c>
      <c r="AR7">
        <v>228</v>
      </c>
      <c r="AS7">
        <v>176</v>
      </c>
      <c r="AT7">
        <v>211</v>
      </c>
      <c r="AU7">
        <v>212</v>
      </c>
      <c r="AV7">
        <v>195</v>
      </c>
      <c r="AW7">
        <v>182</v>
      </c>
      <c r="AX7">
        <v>227</v>
      </c>
      <c r="AY7">
        <v>227</v>
      </c>
      <c r="AZ7">
        <v>254</v>
      </c>
      <c r="BA7">
        <v>254</v>
      </c>
    </row>
    <row r="8" spans="1:53">
      <c r="A8" t="s">
        <v>32</v>
      </c>
      <c r="B8">
        <v>-1115</v>
      </c>
      <c r="C8">
        <v>-1115</v>
      </c>
      <c r="D8">
        <v>-1090</v>
      </c>
      <c r="E8">
        <v>-1100</v>
      </c>
      <c r="F8">
        <v>-1225</v>
      </c>
      <c r="G8">
        <v>-1190</v>
      </c>
      <c r="H8">
        <v>-1120</v>
      </c>
      <c r="I8">
        <v>-1195</v>
      </c>
      <c r="J8">
        <v>-1200</v>
      </c>
      <c r="K8">
        <v>-1180</v>
      </c>
      <c r="L8">
        <v>-1180</v>
      </c>
      <c r="M8">
        <v>-1160</v>
      </c>
      <c r="N8">
        <v>-1135</v>
      </c>
      <c r="O8">
        <v>-1150</v>
      </c>
      <c r="P8">
        <v>-1075</v>
      </c>
      <c r="Q8">
        <v>-1145</v>
      </c>
      <c r="R8">
        <v>-1155</v>
      </c>
      <c r="S8">
        <v>-1170</v>
      </c>
      <c r="T8">
        <v>-1125</v>
      </c>
      <c r="U8">
        <v>-1175</v>
      </c>
      <c r="V8">
        <v>-1205</v>
      </c>
      <c r="W8">
        <v>-1195</v>
      </c>
      <c r="X8">
        <v>-1170</v>
      </c>
      <c r="Y8">
        <v>-1200</v>
      </c>
      <c r="Z8">
        <v>-1175</v>
      </c>
      <c r="AA8">
        <v>-1195</v>
      </c>
      <c r="AB8">
        <v>-1310</v>
      </c>
      <c r="AC8">
        <v>-1215</v>
      </c>
      <c r="AD8">
        <v>-1220</v>
      </c>
      <c r="AE8">
        <v>-1165</v>
      </c>
      <c r="AF8">
        <v>-1180</v>
      </c>
      <c r="AG8">
        <v>-1160</v>
      </c>
      <c r="AH8">
        <v>-1160</v>
      </c>
      <c r="AI8">
        <v>-1150</v>
      </c>
      <c r="AJ8">
        <v>-1045</v>
      </c>
      <c r="AK8">
        <v>-1170</v>
      </c>
      <c r="AL8">
        <v>-1295</v>
      </c>
      <c r="AM8">
        <v>-1195</v>
      </c>
      <c r="AN8">
        <v>-1295</v>
      </c>
      <c r="AO8">
        <v>-1375</v>
      </c>
      <c r="AP8">
        <v>-1290</v>
      </c>
      <c r="AQ8">
        <v>-1290</v>
      </c>
      <c r="AR8">
        <v>-1390</v>
      </c>
      <c r="AS8">
        <v>-1380</v>
      </c>
      <c r="AT8">
        <v>-1570</v>
      </c>
      <c r="AU8">
        <v>-1570</v>
      </c>
      <c r="AV8">
        <v>-1630</v>
      </c>
      <c r="AW8">
        <v>-1765</v>
      </c>
      <c r="AX8">
        <v>-1855</v>
      </c>
      <c r="AY8">
        <v>-1995</v>
      </c>
      <c r="AZ8">
        <v>-2060</v>
      </c>
      <c r="BA8">
        <v>-2055</v>
      </c>
    </row>
    <row r="9" spans="1:53">
      <c r="A9" t="s">
        <v>16</v>
      </c>
      <c r="B9">
        <v>87</v>
      </c>
      <c r="C9">
        <v>76</v>
      </c>
      <c r="D9">
        <v>87</v>
      </c>
      <c r="E9">
        <v>113</v>
      </c>
      <c r="F9">
        <v>109</v>
      </c>
      <c r="G9">
        <v>90</v>
      </c>
      <c r="H9">
        <v>107</v>
      </c>
      <c r="I9">
        <v>109</v>
      </c>
      <c r="J9">
        <v>112</v>
      </c>
      <c r="K9">
        <v>123</v>
      </c>
      <c r="L9">
        <v>198</v>
      </c>
      <c r="M9">
        <v>189</v>
      </c>
      <c r="N9">
        <v>185</v>
      </c>
      <c r="O9">
        <v>152</v>
      </c>
      <c r="P9">
        <v>180</v>
      </c>
      <c r="Q9">
        <v>192</v>
      </c>
      <c r="R9">
        <v>189</v>
      </c>
      <c r="S9">
        <v>176</v>
      </c>
      <c r="T9">
        <v>178</v>
      </c>
      <c r="U9">
        <v>172</v>
      </c>
      <c r="V9">
        <v>132</v>
      </c>
      <c r="W9">
        <v>112</v>
      </c>
      <c r="X9">
        <v>84</v>
      </c>
      <c r="Y9">
        <v>85</v>
      </c>
      <c r="Z9">
        <v>94</v>
      </c>
      <c r="AA9">
        <v>76</v>
      </c>
      <c r="AB9">
        <v>31</v>
      </c>
      <c r="AC9">
        <v>30</v>
      </c>
      <c r="AD9">
        <v>27</v>
      </c>
      <c r="AE9">
        <v>-7</v>
      </c>
      <c r="AF9">
        <v>-21</v>
      </c>
      <c r="AG9">
        <v>-23</v>
      </c>
      <c r="AH9">
        <v>-29</v>
      </c>
      <c r="AI9">
        <v>-43</v>
      </c>
      <c r="AJ9">
        <v>-37</v>
      </c>
      <c r="AK9">
        <v>-40</v>
      </c>
      <c r="AL9">
        <v>-39</v>
      </c>
      <c r="AM9">
        <v>-64</v>
      </c>
      <c r="AN9">
        <v>-69</v>
      </c>
      <c r="AO9">
        <v>-42</v>
      </c>
      <c r="AP9">
        <v>-50</v>
      </c>
      <c r="AQ9">
        <v>-35</v>
      </c>
      <c r="AR9">
        <v>-30</v>
      </c>
      <c r="AS9">
        <v>-59</v>
      </c>
      <c r="AT9">
        <v>-75</v>
      </c>
      <c r="AU9">
        <v>-71</v>
      </c>
      <c r="AV9">
        <v>-71</v>
      </c>
      <c r="AW9">
        <v>-56</v>
      </c>
      <c r="AX9">
        <v>-63</v>
      </c>
      <c r="AY9">
        <v>-73</v>
      </c>
      <c r="AZ9">
        <v>-76</v>
      </c>
      <c r="BA9">
        <v>-52</v>
      </c>
    </row>
    <row r="10" spans="1:53">
      <c r="A10" t="s">
        <v>33</v>
      </c>
      <c r="B10">
        <v>-45</v>
      </c>
      <c r="C10">
        <v>-120</v>
      </c>
      <c r="D10">
        <v>-35</v>
      </c>
      <c r="E10">
        <v>-35</v>
      </c>
      <c r="F10">
        <v>5</v>
      </c>
      <c r="G10">
        <v>-65</v>
      </c>
      <c r="H10">
        <v>-140</v>
      </c>
      <c r="I10">
        <v>-45</v>
      </c>
      <c r="J10">
        <v>-70</v>
      </c>
      <c r="K10">
        <v>-185</v>
      </c>
      <c r="L10">
        <v>-110</v>
      </c>
      <c r="M10">
        <v>-95</v>
      </c>
      <c r="N10">
        <v>-120</v>
      </c>
      <c r="O10">
        <v>-165</v>
      </c>
      <c r="P10">
        <v>-65</v>
      </c>
      <c r="Q10">
        <v>25</v>
      </c>
      <c r="R10">
        <v>-125</v>
      </c>
      <c r="S10">
        <v>-115</v>
      </c>
      <c r="T10">
        <v>-65</v>
      </c>
      <c r="U10">
        <v>-135</v>
      </c>
      <c r="V10">
        <v>-140</v>
      </c>
      <c r="W10">
        <v>-180</v>
      </c>
      <c r="X10">
        <v>-125</v>
      </c>
      <c r="Y10">
        <v>-130</v>
      </c>
      <c r="Z10">
        <v>-125</v>
      </c>
      <c r="AA10">
        <v>-130</v>
      </c>
      <c r="AB10">
        <v>-100</v>
      </c>
      <c r="AC10">
        <v>-40</v>
      </c>
      <c r="AD10">
        <v>-110</v>
      </c>
      <c r="AE10">
        <v>75</v>
      </c>
      <c r="AF10">
        <v>-70</v>
      </c>
      <c r="AG10">
        <v>-85</v>
      </c>
      <c r="AH10">
        <v>-35</v>
      </c>
      <c r="AI10">
        <v>-155</v>
      </c>
      <c r="AJ10">
        <v>-125</v>
      </c>
      <c r="AK10">
        <v>-145</v>
      </c>
      <c r="AL10">
        <v>-45</v>
      </c>
      <c r="AM10">
        <v>-95</v>
      </c>
      <c r="AN10">
        <v>-10</v>
      </c>
      <c r="AO10">
        <v>-115</v>
      </c>
      <c r="AP10">
        <v>-130</v>
      </c>
      <c r="AQ10">
        <v>-120</v>
      </c>
      <c r="AR10">
        <v>-25</v>
      </c>
      <c r="AS10">
        <v>-130</v>
      </c>
      <c r="AT10">
        <v>-155</v>
      </c>
      <c r="AU10">
        <v>-65</v>
      </c>
      <c r="AV10">
        <v>-125</v>
      </c>
      <c r="AW10">
        <v>-20</v>
      </c>
      <c r="AX10">
        <v>-205</v>
      </c>
      <c r="AY10">
        <v>-140</v>
      </c>
      <c r="AZ10">
        <v>-160</v>
      </c>
      <c r="BA10">
        <v>-315</v>
      </c>
    </row>
    <row r="11" spans="1:53">
      <c r="A11" t="s">
        <v>18</v>
      </c>
      <c r="B11">
        <v>70</v>
      </c>
      <c r="C11">
        <v>105</v>
      </c>
      <c r="D11">
        <v>125</v>
      </c>
      <c r="E11">
        <v>65</v>
      </c>
      <c r="F11">
        <v>100</v>
      </c>
      <c r="G11">
        <v>85</v>
      </c>
      <c r="H11">
        <v>85</v>
      </c>
      <c r="I11">
        <v>90</v>
      </c>
      <c r="J11">
        <v>60</v>
      </c>
      <c r="K11">
        <v>5</v>
      </c>
      <c r="L11">
        <v>-30</v>
      </c>
      <c r="M11">
        <v>0</v>
      </c>
      <c r="N11">
        <v>20</v>
      </c>
      <c r="O11">
        <v>-10</v>
      </c>
      <c r="P11">
        <v>70</v>
      </c>
      <c r="Q11">
        <v>45</v>
      </c>
      <c r="R11">
        <v>10</v>
      </c>
      <c r="S11">
        <v>-40</v>
      </c>
      <c r="T11">
        <v>15</v>
      </c>
      <c r="U11">
        <v>-40</v>
      </c>
      <c r="V11">
        <v>-30</v>
      </c>
      <c r="W11">
        <v>-60</v>
      </c>
      <c r="X11">
        <v>-75</v>
      </c>
      <c r="Y11">
        <v>-145</v>
      </c>
      <c r="Z11">
        <v>-155</v>
      </c>
      <c r="AA11">
        <v>-130</v>
      </c>
      <c r="AB11">
        <v>-170</v>
      </c>
      <c r="AC11">
        <v>-200</v>
      </c>
      <c r="AD11">
        <v>-155</v>
      </c>
      <c r="AE11">
        <v>-170</v>
      </c>
      <c r="AF11">
        <v>-130</v>
      </c>
      <c r="AG11">
        <v>-165</v>
      </c>
      <c r="AH11">
        <v>-150</v>
      </c>
      <c r="AI11">
        <v>-50</v>
      </c>
      <c r="AJ11">
        <v>-45</v>
      </c>
      <c r="AK11">
        <v>-35</v>
      </c>
      <c r="AL11">
        <v>-45</v>
      </c>
      <c r="AM11">
        <v>0</v>
      </c>
      <c r="AN11">
        <v>85</v>
      </c>
      <c r="AO11">
        <v>50</v>
      </c>
      <c r="AP11">
        <v>110</v>
      </c>
      <c r="AQ11">
        <v>115</v>
      </c>
      <c r="AR11">
        <v>90</v>
      </c>
      <c r="AS11">
        <v>95</v>
      </c>
      <c r="AT11">
        <v>125</v>
      </c>
      <c r="AU11">
        <v>100</v>
      </c>
      <c r="AV11">
        <v>45</v>
      </c>
      <c r="AW11">
        <v>60</v>
      </c>
      <c r="AX11">
        <v>60</v>
      </c>
      <c r="AY11">
        <v>140</v>
      </c>
      <c r="AZ11">
        <v>35</v>
      </c>
      <c r="BA11">
        <v>-50</v>
      </c>
    </row>
    <row r="12" spans="1:53">
      <c r="A12" t="s">
        <v>34</v>
      </c>
      <c r="B12">
        <v>-134</v>
      </c>
      <c r="C12">
        <v>-171</v>
      </c>
      <c r="D12">
        <v>-147</v>
      </c>
      <c r="E12">
        <v>-180</v>
      </c>
      <c r="F12">
        <v>-157</v>
      </c>
      <c r="G12">
        <v>-167</v>
      </c>
      <c r="H12">
        <v>-160</v>
      </c>
      <c r="I12">
        <v>-153</v>
      </c>
      <c r="J12">
        <v>-214</v>
      </c>
      <c r="K12">
        <v>-214</v>
      </c>
      <c r="L12">
        <v>-169</v>
      </c>
      <c r="M12">
        <v>-164</v>
      </c>
      <c r="N12">
        <v>-186</v>
      </c>
      <c r="O12">
        <v>-244</v>
      </c>
      <c r="P12">
        <v>-225</v>
      </c>
      <c r="Q12">
        <v>-247</v>
      </c>
      <c r="R12">
        <v>-291</v>
      </c>
      <c r="S12">
        <v>-258</v>
      </c>
      <c r="T12">
        <v>-253</v>
      </c>
      <c r="U12">
        <v>-271</v>
      </c>
      <c r="V12">
        <v>-266</v>
      </c>
      <c r="W12">
        <v>-308</v>
      </c>
      <c r="X12">
        <v>-292</v>
      </c>
      <c r="Y12">
        <v>-262</v>
      </c>
      <c r="Z12">
        <v>-222</v>
      </c>
      <c r="AA12">
        <v>-258</v>
      </c>
      <c r="AB12">
        <v>-239</v>
      </c>
      <c r="AC12">
        <v>-283</v>
      </c>
      <c r="AD12">
        <v>-227</v>
      </c>
      <c r="AE12">
        <v>-258</v>
      </c>
      <c r="AF12">
        <v>-250</v>
      </c>
      <c r="AG12">
        <v>-238</v>
      </c>
      <c r="AH12">
        <v>-216</v>
      </c>
      <c r="AI12">
        <v>-155</v>
      </c>
      <c r="AJ12">
        <v>-165</v>
      </c>
      <c r="AK12">
        <v>-111</v>
      </c>
      <c r="AL12">
        <v>-143</v>
      </c>
      <c r="AM12">
        <v>-148</v>
      </c>
      <c r="AN12">
        <v>-129</v>
      </c>
      <c r="AO12">
        <v>-111</v>
      </c>
      <c r="AP12">
        <v>-7</v>
      </c>
      <c r="AQ12">
        <v>-49</v>
      </c>
      <c r="AR12">
        <v>-47</v>
      </c>
      <c r="AS12">
        <v>-59</v>
      </c>
      <c r="AT12">
        <v>-54</v>
      </c>
      <c r="AU12">
        <v>-16</v>
      </c>
      <c r="AV12">
        <v>-75</v>
      </c>
      <c r="AW12">
        <v>-59</v>
      </c>
      <c r="AX12">
        <v>-32</v>
      </c>
      <c r="AY12">
        <v>0</v>
      </c>
      <c r="AZ12">
        <v>-53</v>
      </c>
      <c r="BA12">
        <v>-135</v>
      </c>
    </row>
    <row r="13" spans="1:53">
      <c r="A13" t="s">
        <v>12</v>
      </c>
      <c r="B13">
        <v>22</v>
      </c>
      <c r="C13">
        <v>-14</v>
      </c>
      <c r="D13">
        <v>-4</v>
      </c>
      <c r="E13">
        <v>-28</v>
      </c>
      <c r="F13">
        <v>14</v>
      </c>
      <c r="G13">
        <v>18</v>
      </c>
      <c r="H13">
        <v>40</v>
      </c>
      <c r="I13">
        <v>30</v>
      </c>
      <c r="J13">
        <v>-24</v>
      </c>
      <c r="K13">
        <v>-8</v>
      </c>
      <c r="L13">
        <v>42</v>
      </c>
      <c r="M13">
        <v>-2</v>
      </c>
      <c r="N13">
        <v>34</v>
      </c>
      <c r="O13">
        <v>30</v>
      </c>
      <c r="P13">
        <v>12</v>
      </c>
      <c r="Q13">
        <v>-2</v>
      </c>
      <c r="R13">
        <v>-24</v>
      </c>
      <c r="S13">
        <v>-12</v>
      </c>
      <c r="T13">
        <v>8</v>
      </c>
      <c r="U13">
        <v>-19</v>
      </c>
      <c r="V13">
        <v>14</v>
      </c>
      <c r="W13">
        <v>80</v>
      </c>
      <c r="X13">
        <v>97</v>
      </c>
      <c r="Y13">
        <v>126</v>
      </c>
      <c r="Z13">
        <v>174</v>
      </c>
      <c r="AA13">
        <v>146</v>
      </c>
      <c r="AB13">
        <v>100</v>
      </c>
      <c r="AC13">
        <v>170</v>
      </c>
      <c r="AD13">
        <v>168</v>
      </c>
      <c r="AE13">
        <v>275</v>
      </c>
      <c r="AF13">
        <v>302</v>
      </c>
      <c r="AG13">
        <v>323</v>
      </c>
      <c r="AH13">
        <v>306</v>
      </c>
      <c r="AI13">
        <v>342</v>
      </c>
      <c r="AJ13">
        <v>261</v>
      </c>
      <c r="AK13">
        <v>261</v>
      </c>
      <c r="AL13">
        <v>287</v>
      </c>
      <c r="AM13">
        <v>316</v>
      </c>
      <c r="AN13">
        <v>298</v>
      </c>
      <c r="AO13">
        <v>309</v>
      </c>
      <c r="AP13">
        <v>14</v>
      </c>
      <c r="AQ13">
        <v>98</v>
      </c>
      <c r="AR13">
        <v>78</v>
      </c>
      <c r="AS13">
        <v>30</v>
      </c>
      <c r="AT13">
        <v>38</v>
      </c>
      <c r="AU13">
        <v>-6</v>
      </c>
      <c r="AV13">
        <v>-19</v>
      </c>
      <c r="AW13">
        <v>14</v>
      </c>
      <c r="AX13">
        <v>-35</v>
      </c>
      <c r="AY13">
        <v>-65</v>
      </c>
      <c r="AZ13">
        <v>-34</v>
      </c>
      <c r="BA13">
        <v>-35</v>
      </c>
    </row>
    <row r="14" spans="1:53">
      <c r="A14" t="s">
        <v>23</v>
      </c>
      <c r="B14">
        <v>-140</v>
      </c>
      <c r="C14">
        <v>-166</v>
      </c>
      <c r="D14">
        <v>-146</v>
      </c>
      <c r="E14">
        <v>-108</v>
      </c>
      <c r="F14">
        <v>-82</v>
      </c>
      <c r="G14">
        <v>-128</v>
      </c>
      <c r="H14">
        <v>-104</v>
      </c>
      <c r="I14">
        <v>-108</v>
      </c>
      <c r="J14">
        <v>-104</v>
      </c>
      <c r="K14">
        <v>-40</v>
      </c>
      <c r="L14">
        <v>-101</v>
      </c>
      <c r="M14">
        <v>-99</v>
      </c>
      <c r="N14">
        <v>-159</v>
      </c>
      <c r="O14">
        <v>-197</v>
      </c>
      <c r="P14">
        <v>-157</v>
      </c>
      <c r="Q14">
        <v>-145</v>
      </c>
      <c r="R14">
        <v>-167</v>
      </c>
      <c r="S14">
        <v>-165</v>
      </c>
      <c r="T14">
        <v>-83</v>
      </c>
      <c r="U14">
        <v>-113</v>
      </c>
      <c r="V14">
        <v>-95</v>
      </c>
      <c r="W14">
        <v>-97</v>
      </c>
      <c r="X14">
        <v>-79</v>
      </c>
      <c r="Y14">
        <v>-66</v>
      </c>
      <c r="Z14">
        <v>-36</v>
      </c>
      <c r="AA14">
        <v>-26</v>
      </c>
      <c r="AB14">
        <v>-24</v>
      </c>
      <c r="AC14">
        <v>-80</v>
      </c>
      <c r="AD14">
        <v>-42</v>
      </c>
      <c r="AE14">
        <v>-50</v>
      </c>
      <c r="AF14">
        <v>-50</v>
      </c>
      <c r="AG14">
        <v>-72</v>
      </c>
      <c r="AH14">
        <v>-56</v>
      </c>
      <c r="AI14">
        <v>-92</v>
      </c>
      <c r="AJ14">
        <v>-80</v>
      </c>
      <c r="AK14">
        <v>-118</v>
      </c>
      <c r="AL14">
        <v>-106</v>
      </c>
      <c r="AM14">
        <v>-104</v>
      </c>
      <c r="AN14">
        <v>-104</v>
      </c>
      <c r="AO14">
        <v>-46</v>
      </c>
      <c r="AP14">
        <v>-46</v>
      </c>
      <c r="AQ14">
        <v>-28</v>
      </c>
      <c r="AR14">
        <v>-48</v>
      </c>
      <c r="AS14">
        <v>-122</v>
      </c>
      <c r="AT14">
        <v>-216</v>
      </c>
      <c r="AU14">
        <v>-210</v>
      </c>
      <c r="AV14">
        <v>-268</v>
      </c>
      <c r="AW14">
        <v>-326</v>
      </c>
      <c r="AX14">
        <v>-350</v>
      </c>
      <c r="AY14">
        <v>-340</v>
      </c>
      <c r="AZ14">
        <v>-376</v>
      </c>
      <c r="BA14">
        <v>-516</v>
      </c>
    </row>
    <row r="15" spans="1:53">
      <c r="A15" t="s">
        <v>5</v>
      </c>
      <c r="B15">
        <v>407</v>
      </c>
      <c r="C15">
        <v>340</v>
      </c>
      <c r="D15">
        <v>333</v>
      </c>
      <c r="E15">
        <v>225</v>
      </c>
      <c r="F15">
        <v>246</v>
      </c>
      <c r="G15">
        <v>92</v>
      </c>
      <c r="H15">
        <v>121</v>
      </c>
      <c r="I15">
        <v>155</v>
      </c>
      <c r="J15">
        <v>152</v>
      </c>
      <c r="K15">
        <v>108</v>
      </c>
      <c r="L15">
        <v>206</v>
      </c>
      <c r="M15">
        <v>223</v>
      </c>
      <c r="N15">
        <v>201</v>
      </c>
      <c r="O15">
        <v>201</v>
      </c>
      <c r="P15">
        <v>211</v>
      </c>
      <c r="Q15">
        <v>249</v>
      </c>
      <c r="R15">
        <v>300</v>
      </c>
      <c r="S15">
        <v>302</v>
      </c>
      <c r="T15">
        <v>260</v>
      </c>
      <c r="U15">
        <v>167</v>
      </c>
      <c r="V15">
        <v>185</v>
      </c>
      <c r="W15">
        <v>195</v>
      </c>
      <c r="X15">
        <v>142</v>
      </c>
      <c r="Y15">
        <v>187</v>
      </c>
      <c r="Z15">
        <v>113</v>
      </c>
      <c r="AA15">
        <v>33</v>
      </c>
      <c r="AB15">
        <v>-2</v>
      </c>
      <c r="AC15">
        <v>1</v>
      </c>
      <c r="AD15">
        <v>-208</v>
      </c>
      <c r="AE15">
        <v>-187</v>
      </c>
      <c r="AF15">
        <v>-148</v>
      </c>
      <c r="AG15">
        <v>-145</v>
      </c>
      <c r="AH15">
        <v>-86</v>
      </c>
      <c r="AI15">
        <v>-71</v>
      </c>
      <c r="AJ15">
        <v>-3</v>
      </c>
      <c r="AK15">
        <v>40</v>
      </c>
      <c r="AL15">
        <v>50</v>
      </c>
      <c r="AM15">
        <v>104</v>
      </c>
      <c r="AN15">
        <v>68</v>
      </c>
      <c r="AO15">
        <v>159</v>
      </c>
      <c r="AP15">
        <v>149</v>
      </c>
      <c r="AQ15">
        <v>169</v>
      </c>
      <c r="AR15">
        <v>160</v>
      </c>
      <c r="AS15">
        <v>113</v>
      </c>
      <c r="AT15">
        <v>117</v>
      </c>
      <c r="AU15">
        <v>113</v>
      </c>
      <c r="AV15">
        <v>236</v>
      </c>
      <c r="AW15">
        <v>288</v>
      </c>
      <c r="AX15">
        <v>283</v>
      </c>
      <c r="AY15">
        <v>265</v>
      </c>
      <c r="AZ15">
        <v>345</v>
      </c>
      <c r="BA15">
        <v>356</v>
      </c>
    </row>
    <row r="16" spans="1:53">
      <c r="A16" t="s">
        <v>14</v>
      </c>
      <c r="B16">
        <v>-185</v>
      </c>
      <c r="C16">
        <v>-171</v>
      </c>
      <c r="D16">
        <v>-211</v>
      </c>
      <c r="E16">
        <v>-250</v>
      </c>
      <c r="F16">
        <v>-229</v>
      </c>
      <c r="G16">
        <v>-290</v>
      </c>
      <c r="H16">
        <v>-267</v>
      </c>
      <c r="I16">
        <v>-282</v>
      </c>
      <c r="J16">
        <v>-301</v>
      </c>
      <c r="K16">
        <v>-341</v>
      </c>
      <c r="L16">
        <v>-257</v>
      </c>
      <c r="M16">
        <v>-195</v>
      </c>
      <c r="N16">
        <v>-169</v>
      </c>
      <c r="O16">
        <v>-147</v>
      </c>
      <c r="P16">
        <v>-118</v>
      </c>
      <c r="Q16">
        <v>-115</v>
      </c>
      <c r="R16">
        <v>-121</v>
      </c>
      <c r="S16">
        <v>-154</v>
      </c>
      <c r="T16">
        <v>-157</v>
      </c>
      <c r="U16">
        <v>-104</v>
      </c>
      <c r="V16">
        <v>-103</v>
      </c>
      <c r="W16">
        <v>-101</v>
      </c>
      <c r="X16">
        <v>-113</v>
      </c>
      <c r="Y16">
        <v>-109</v>
      </c>
      <c r="Z16">
        <v>-63</v>
      </c>
      <c r="AA16">
        <v>-54</v>
      </c>
      <c r="AB16">
        <v>-55</v>
      </c>
      <c r="AC16">
        <v>-39</v>
      </c>
      <c r="AD16">
        <v>-52</v>
      </c>
      <c r="AE16">
        <v>-101</v>
      </c>
      <c r="AF16">
        <v>-88</v>
      </c>
      <c r="AG16">
        <v>-104</v>
      </c>
      <c r="AH16">
        <v>-100</v>
      </c>
      <c r="AI16">
        <v>-105</v>
      </c>
      <c r="AJ16">
        <v>-78</v>
      </c>
      <c r="AK16">
        <v>-89</v>
      </c>
      <c r="AL16">
        <v>-73</v>
      </c>
      <c r="AM16">
        <v>-70</v>
      </c>
      <c r="AN16">
        <v>-46</v>
      </c>
      <c r="AO16">
        <v>-32</v>
      </c>
      <c r="AP16">
        <v>-5</v>
      </c>
      <c r="AQ16">
        <v>18</v>
      </c>
      <c r="AR16">
        <v>23</v>
      </c>
      <c r="AS16">
        <v>44</v>
      </c>
      <c r="AT16">
        <v>63</v>
      </c>
      <c r="AU16">
        <v>75</v>
      </c>
      <c r="AV16">
        <v>79</v>
      </c>
      <c r="AW16">
        <v>93</v>
      </c>
      <c r="AX16">
        <v>43</v>
      </c>
      <c r="AY16">
        <v>38</v>
      </c>
      <c r="AZ16">
        <v>40</v>
      </c>
      <c r="BA16">
        <v>43</v>
      </c>
    </row>
    <row r="17" spans="1:53">
      <c r="A17" t="s">
        <v>10</v>
      </c>
      <c r="B17">
        <v>-52</v>
      </c>
      <c r="C17">
        <v>-34</v>
      </c>
      <c r="D17">
        <v>-48</v>
      </c>
      <c r="E17">
        <v>-45</v>
      </c>
      <c r="F17">
        <v>18</v>
      </c>
      <c r="G17">
        <v>-9</v>
      </c>
      <c r="H17">
        <v>5</v>
      </c>
      <c r="I17">
        <v>53</v>
      </c>
      <c r="J17">
        <v>65</v>
      </c>
      <c r="K17">
        <v>33</v>
      </c>
      <c r="L17">
        <v>27</v>
      </c>
      <c r="M17">
        <v>69</v>
      </c>
      <c r="N17">
        <v>67</v>
      </c>
      <c r="O17">
        <v>42</v>
      </c>
      <c r="P17">
        <v>92</v>
      </c>
      <c r="Q17">
        <v>76</v>
      </c>
      <c r="R17">
        <v>70</v>
      </c>
      <c r="S17">
        <v>78</v>
      </c>
      <c r="T17">
        <v>74</v>
      </c>
      <c r="U17">
        <v>120</v>
      </c>
      <c r="V17">
        <v>101</v>
      </c>
      <c r="W17">
        <v>121</v>
      </c>
      <c r="X17">
        <v>167</v>
      </c>
      <c r="Y17">
        <v>124</v>
      </c>
      <c r="Z17">
        <v>145</v>
      </c>
      <c r="AA17">
        <v>162</v>
      </c>
      <c r="AB17">
        <v>165</v>
      </c>
      <c r="AC17">
        <v>167</v>
      </c>
      <c r="AD17">
        <v>169</v>
      </c>
      <c r="AE17">
        <v>149</v>
      </c>
      <c r="AF17">
        <v>159</v>
      </c>
      <c r="AG17">
        <v>163</v>
      </c>
      <c r="AH17">
        <v>203</v>
      </c>
      <c r="AI17">
        <v>161</v>
      </c>
      <c r="AJ17">
        <v>118</v>
      </c>
      <c r="AK17">
        <v>107</v>
      </c>
      <c r="AL17">
        <v>134</v>
      </c>
      <c r="AM17">
        <v>107</v>
      </c>
      <c r="AN17">
        <v>89</v>
      </c>
      <c r="AO17">
        <v>0</v>
      </c>
      <c r="AP17">
        <v>17</v>
      </c>
      <c r="AQ17">
        <v>99</v>
      </c>
      <c r="AR17">
        <v>55</v>
      </c>
      <c r="AS17">
        <v>82</v>
      </c>
      <c r="AT17">
        <v>81</v>
      </c>
      <c r="AU17">
        <v>79</v>
      </c>
      <c r="AV17">
        <v>84</v>
      </c>
      <c r="AW17">
        <v>85</v>
      </c>
      <c r="AX17">
        <v>60</v>
      </c>
      <c r="AY17">
        <v>62</v>
      </c>
      <c r="AZ17">
        <v>37</v>
      </c>
      <c r="BA17">
        <v>69</v>
      </c>
    </row>
    <row r="18" spans="1:53">
      <c r="A18" t="s">
        <v>20</v>
      </c>
      <c r="B18">
        <v>-14</v>
      </c>
      <c r="C18">
        <v>-7</v>
      </c>
      <c r="D18">
        <v>-10</v>
      </c>
      <c r="E18">
        <v>0</v>
      </c>
      <c r="F18">
        <v>-6</v>
      </c>
      <c r="G18">
        <v>0</v>
      </c>
      <c r="H18">
        <v>-3</v>
      </c>
      <c r="I18">
        <v>0</v>
      </c>
      <c r="J18">
        <v>-8</v>
      </c>
      <c r="K18">
        <v>18</v>
      </c>
      <c r="L18">
        <v>-53</v>
      </c>
      <c r="M18">
        <v>-28</v>
      </c>
      <c r="N18">
        <v>-9</v>
      </c>
      <c r="O18">
        <v>-13</v>
      </c>
      <c r="P18">
        <v>27</v>
      </c>
      <c r="Q18">
        <v>4</v>
      </c>
      <c r="R18">
        <v>3</v>
      </c>
      <c r="S18">
        <v>-30</v>
      </c>
      <c r="T18">
        <v>-5</v>
      </c>
      <c r="U18">
        <v>7</v>
      </c>
      <c r="V18">
        <v>-28</v>
      </c>
      <c r="W18">
        <v>-7</v>
      </c>
      <c r="X18">
        <v>-20</v>
      </c>
      <c r="Y18">
        <v>1</v>
      </c>
      <c r="Z18">
        <v>36</v>
      </c>
      <c r="AA18">
        <v>41</v>
      </c>
      <c r="AB18">
        <v>6</v>
      </c>
      <c r="AC18">
        <v>19</v>
      </c>
      <c r="AD18">
        <v>13</v>
      </c>
      <c r="AE18">
        <v>14</v>
      </c>
      <c r="AF18">
        <v>14</v>
      </c>
      <c r="AG18">
        <v>14</v>
      </c>
      <c r="AH18">
        <v>36</v>
      </c>
      <c r="AI18">
        <v>32</v>
      </c>
      <c r="AJ18">
        <v>0</v>
      </c>
      <c r="AK18">
        <v>-11</v>
      </c>
      <c r="AL18">
        <v>-2</v>
      </c>
      <c r="AM18">
        <v>-9</v>
      </c>
      <c r="AN18">
        <v>-7</v>
      </c>
      <c r="AO18">
        <v>-147</v>
      </c>
      <c r="AP18">
        <v>-135</v>
      </c>
      <c r="AQ18">
        <v>-75</v>
      </c>
      <c r="AR18">
        <v>-80</v>
      </c>
      <c r="AS18">
        <v>-38</v>
      </c>
      <c r="AT18">
        <v>-36</v>
      </c>
      <c r="AU18">
        <v>-37</v>
      </c>
      <c r="AV18">
        <v>-33</v>
      </c>
      <c r="AW18">
        <v>-53</v>
      </c>
      <c r="AX18">
        <v>-53</v>
      </c>
      <c r="AY18">
        <v>-61</v>
      </c>
      <c r="AZ18">
        <v>-49</v>
      </c>
      <c r="BA18">
        <v>-62</v>
      </c>
    </row>
    <row r="19" spans="1:53">
      <c r="A19" t="s">
        <v>13</v>
      </c>
      <c r="B19">
        <v>78</v>
      </c>
      <c r="C19">
        <v>83</v>
      </c>
      <c r="D19">
        <v>82</v>
      </c>
      <c r="E19">
        <v>80</v>
      </c>
      <c r="F19">
        <v>79</v>
      </c>
      <c r="G19">
        <v>72</v>
      </c>
      <c r="H19">
        <v>76</v>
      </c>
      <c r="I19">
        <v>79</v>
      </c>
      <c r="J19">
        <v>81</v>
      </c>
      <c r="K19">
        <v>72</v>
      </c>
      <c r="L19">
        <v>80</v>
      </c>
      <c r="M19">
        <v>95</v>
      </c>
      <c r="N19">
        <v>90</v>
      </c>
      <c r="O19">
        <v>146</v>
      </c>
      <c r="P19">
        <v>147</v>
      </c>
      <c r="Q19">
        <v>144</v>
      </c>
      <c r="R19">
        <v>145</v>
      </c>
      <c r="S19">
        <v>141</v>
      </c>
      <c r="T19">
        <v>179</v>
      </c>
      <c r="U19">
        <v>195</v>
      </c>
      <c r="V19">
        <v>185</v>
      </c>
      <c r="W19">
        <v>180</v>
      </c>
      <c r="X19">
        <v>165</v>
      </c>
      <c r="Y19">
        <v>160</v>
      </c>
      <c r="Z19">
        <v>166</v>
      </c>
      <c r="AA19">
        <v>174</v>
      </c>
      <c r="AB19">
        <v>180</v>
      </c>
      <c r="AC19">
        <v>183</v>
      </c>
      <c r="AD19">
        <v>189</v>
      </c>
      <c r="AE19">
        <v>180</v>
      </c>
      <c r="AF19">
        <v>163</v>
      </c>
      <c r="AG19">
        <v>131</v>
      </c>
      <c r="AH19">
        <v>137</v>
      </c>
      <c r="AI19">
        <v>114</v>
      </c>
      <c r="AJ19">
        <v>119</v>
      </c>
      <c r="AK19">
        <v>100</v>
      </c>
      <c r="AL19">
        <v>104</v>
      </c>
      <c r="AM19">
        <v>100</v>
      </c>
      <c r="AN19">
        <v>90</v>
      </c>
      <c r="AO19">
        <v>84</v>
      </c>
      <c r="AP19">
        <v>87</v>
      </c>
      <c r="AQ19">
        <v>100</v>
      </c>
      <c r="AR19">
        <v>87</v>
      </c>
      <c r="AS19">
        <v>75</v>
      </c>
      <c r="AT19">
        <v>76</v>
      </c>
      <c r="AU19">
        <v>75</v>
      </c>
      <c r="AV19">
        <v>73</v>
      </c>
      <c r="AW19">
        <v>64</v>
      </c>
      <c r="AX19">
        <v>80</v>
      </c>
      <c r="AY19">
        <v>75</v>
      </c>
      <c r="AZ19">
        <v>75</v>
      </c>
      <c r="BA19">
        <v>74</v>
      </c>
    </row>
    <row r="20" spans="1:53">
      <c r="A20" t="s">
        <v>7</v>
      </c>
      <c r="B20">
        <v>114</v>
      </c>
      <c r="C20">
        <v>126</v>
      </c>
      <c r="D20">
        <v>121</v>
      </c>
      <c r="E20">
        <v>72</v>
      </c>
      <c r="F20">
        <v>74</v>
      </c>
      <c r="G20">
        <v>61</v>
      </c>
      <c r="H20">
        <v>81</v>
      </c>
      <c r="I20">
        <v>80</v>
      </c>
      <c r="J20">
        <v>87</v>
      </c>
      <c r="K20">
        <v>68</v>
      </c>
      <c r="L20">
        <v>42</v>
      </c>
      <c r="M20">
        <v>115</v>
      </c>
      <c r="N20">
        <v>113</v>
      </c>
      <c r="O20">
        <v>109</v>
      </c>
      <c r="P20">
        <v>116</v>
      </c>
      <c r="Q20">
        <v>110</v>
      </c>
      <c r="R20">
        <v>119</v>
      </c>
      <c r="S20">
        <v>105</v>
      </c>
      <c r="T20">
        <v>112</v>
      </c>
      <c r="U20">
        <v>169</v>
      </c>
      <c r="V20">
        <v>150</v>
      </c>
      <c r="W20">
        <v>153</v>
      </c>
      <c r="X20">
        <v>143</v>
      </c>
      <c r="Y20">
        <v>141</v>
      </c>
      <c r="Z20">
        <v>146</v>
      </c>
      <c r="AA20">
        <v>140</v>
      </c>
      <c r="AB20">
        <v>135</v>
      </c>
      <c r="AC20">
        <v>141</v>
      </c>
      <c r="AD20">
        <v>128</v>
      </c>
      <c r="AE20">
        <v>112</v>
      </c>
      <c r="AF20">
        <v>109</v>
      </c>
      <c r="AG20">
        <v>92</v>
      </c>
      <c r="AH20">
        <v>88</v>
      </c>
      <c r="AI20">
        <v>116</v>
      </c>
      <c r="AJ20">
        <v>113</v>
      </c>
      <c r="AK20">
        <v>114</v>
      </c>
      <c r="AL20">
        <v>117</v>
      </c>
      <c r="AM20">
        <v>59</v>
      </c>
      <c r="AN20">
        <v>58</v>
      </c>
      <c r="AO20">
        <v>58</v>
      </c>
      <c r="AP20">
        <v>58</v>
      </c>
      <c r="AQ20">
        <v>76</v>
      </c>
      <c r="AR20">
        <v>53</v>
      </c>
      <c r="AS20">
        <v>41</v>
      </c>
      <c r="AT20">
        <v>39</v>
      </c>
      <c r="AU20">
        <v>46</v>
      </c>
      <c r="AV20">
        <v>51</v>
      </c>
      <c r="AW20">
        <v>54</v>
      </c>
      <c r="AX20">
        <v>87</v>
      </c>
      <c r="AY20">
        <v>84</v>
      </c>
      <c r="AZ20">
        <v>80</v>
      </c>
      <c r="BA20">
        <v>114</v>
      </c>
    </row>
    <row r="21" spans="1:53">
      <c r="A21" t="s">
        <v>35</v>
      </c>
      <c r="B21">
        <v>-100</v>
      </c>
      <c r="C21">
        <v>-110</v>
      </c>
      <c r="D21">
        <v>-92</v>
      </c>
      <c r="E21">
        <v>-70</v>
      </c>
      <c r="F21">
        <v>-58</v>
      </c>
      <c r="G21">
        <v>-94</v>
      </c>
      <c r="H21">
        <v>-14</v>
      </c>
      <c r="I21">
        <v>-50</v>
      </c>
      <c r="J21">
        <v>-70</v>
      </c>
      <c r="K21">
        <v>44</v>
      </c>
      <c r="L21">
        <v>-204</v>
      </c>
      <c r="M21">
        <v>-168</v>
      </c>
      <c r="N21">
        <v>-254</v>
      </c>
      <c r="O21">
        <v>-170</v>
      </c>
      <c r="P21">
        <v>-92</v>
      </c>
      <c r="Q21">
        <v>-132</v>
      </c>
      <c r="R21">
        <v>-86</v>
      </c>
      <c r="S21">
        <v>-126</v>
      </c>
      <c r="T21">
        <v>-118</v>
      </c>
      <c r="U21">
        <v>-126</v>
      </c>
      <c r="V21">
        <v>-136</v>
      </c>
      <c r="W21">
        <v>-148</v>
      </c>
      <c r="X21">
        <v>-152</v>
      </c>
      <c r="Y21">
        <v>-114</v>
      </c>
      <c r="Z21">
        <v>-132</v>
      </c>
      <c r="AA21">
        <v>-124</v>
      </c>
      <c r="AB21">
        <v>-172</v>
      </c>
      <c r="AC21">
        <v>-128</v>
      </c>
      <c r="AD21">
        <v>-100</v>
      </c>
      <c r="AE21">
        <v>-150</v>
      </c>
      <c r="AF21">
        <v>-92</v>
      </c>
      <c r="AG21">
        <v>-158</v>
      </c>
      <c r="AH21">
        <v>-186</v>
      </c>
      <c r="AI21">
        <v>-210</v>
      </c>
      <c r="AJ21">
        <v>-186</v>
      </c>
      <c r="AK21">
        <v>-226</v>
      </c>
      <c r="AL21">
        <v>-178</v>
      </c>
      <c r="AM21">
        <v>-192</v>
      </c>
      <c r="AN21">
        <v>-222</v>
      </c>
      <c r="AO21">
        <v>-216</v>
      </c>
      <c r="AP21">
        <v>-224</v>
      </c>
      <c r="AQ21">
        <v>-200</v>
      </c>
      <c r="AR21">
        <v>-196</v>
      </c>
      <c r="AS21">
        <v>-234</v>
      </c>
      <c r="AT21">
        <v>-206</v>
      </c>
      <c r="AU21">
        <v>-268</v>
      </c>
      <c r="AV21">
        <v>-282</v>
      </c>
      <c r="AW21">
        <v>-310</v>
      </c>
      <c r="AX21">
        <v>-344</v>
      </c>
      <c r="AY21">
        <v>-306</v>
      </c>
      <c r="AZ21">
        <v>-354</v>
      </c>
      <c r="BA21">
        <v>-334</v>
      </c>
    </row>
    <row r="22" spans="1:53">
      <c r="A22" t="s">
        <v>22</v>
      </c>
      <c r="B22">
        <v>10</v>
      </c>
      <c r="C22">
        <v>4</v>
      </c>
      <c r="D22">
        <v>-8</v>
      </c>
      <c r="E22">
        <v>44</v>
      </c>
      <c r="F22">
        <v>6</v>
      </c>
      <c r="G22">
        <v>-8</v>
      </c>
      <c r="H22">
        <v>8</v>
      </c>
      <c r="I22">
        <v>-38</v>
      </c>
      <c r="J22">
        <v>2</v>
      </c>
      <c r="K22">
        <v>10</v>
      </c>
      <c r="L22">
        <v>-74</v>
      </c>
      <c r="M22">
        <v>-52</v>
      </c>
      <c r="N22">
        <v>-70</v>
      </c>
      <c r="O22">
        <v>-52</v>
      </c>
      <c r="P22">
        <v>-30</v>
      </c>
      <c r="Q22">
        <v>-68</v>
      </c>
      <c r="R22">
        <v>-76</v>
      </c>
      <c r="S22">
        <v>-74</v>
      </c>
      <c r="T22">
        <v>-62</v>
      </c>
      <c r="U22">
        <v>-48</v>
      </c>
      <c r="V22">
        <v>-72</v>
      </c>
      <c r="W22">
        <v>-116</v>
      </c>
      <c r="X22">
        <v>-96</v>
      </c>
      <c r="Y22">
        <v>-64</v>
      </c>
      <c r="Z22">
        <v>-84</v>
      </c>
      <c r="AA22">
        <v>-90</v>
      </c>
      <c r="AB22">
        <v>-108</v>
      </c>
      <c r="AC22">
        <v>-52</v>
      </c>
      <c r="AD22">
        <v>-10</v>
      </c>
      <c r="AE22">
        <v>-66</v>
      </c>
      <c r="AF22">
        <v>-28</v>
      </c>
      <c r="AG22">
        <v>-46</v>
      </c>
      <c r="AH22">
        <v>-88</v>
      </c>
      <c r="AI22">
        <v>-32</v>
      </c>
      <c r="AJ22">
        <v>-18</v>
      </c>
      <c r="AK22">
        <v>-84</v>
      </c>
      <c r="AL22">
        <v>-66</v>
      </c>
      <c r="AM22">
        <v>-78</v>
      </c>
      <c r="AN22">
        <v>-122</v>
      </c>
      <c r="AO22">
        <v>-100</v>
      </c>
      <c r="AP22">
        <v>-148</v>
      </c>
      <c r="AQ22">
        <v>-148</v>
      </c>
      <c r="AR22">
        <v>-162</v>
      </c>
      <c r="AS22">
        <v>-150</v>
      </c>
      <c r="AT22">
        <v>-136</v>
      </c>
      <c r="AU22">
        <v>-144</v>
      </c>
      <c r="AV22">
        <v>-146</v>
      </c>
      <c r="AW22">
        <v>-180</v>
      </c>
      <c r="AX22">
        <v>-164</v>
      </c>
      <c r="AY22">
        <v>-166</v>
      </c>
      <c r="AZ22">
        <v>-164</v>
      </c>
      <c r="BA22">
        <v>-158</v>
      </c>
    </row>
    <row r="23" spans="1:53">
      <c r="A23" t="s">
        <v>15</v>
      </c>
      <c r="B23">
        <v>62</v>
      </c>
      <c r="C23">
        <v>80</v>
      </c>
      <c r="D23">
        <v>92</v>
      </c>
      <c r="E23">
        <v>144</v>
      </c>
      <c r="F23">
        <v>146</v>
      </c>
      <c r="G23">
        <v>88</v>
      </c>
      <c r="H23">
        <v>132</v>
      </c>
      <c r="I23">
        <v>96</v>
      </c>
      <c r="J23">
        <v>64</v>
      </c>
      <c r="K23">
        <v>136</v>
      </c>
      <c r="L23">
        <v>66</v>
      </c>
      <c r="M23">
        <v>92</v>
      </c>
      <c r="N23">
        <v>62</v>
      </c>
      <c r="O23">
        <v>56</v>
      </c>
      <c r="P23">
        <v>96</v>
      </c>
      <c r="Q23">
        <v>92</v>
      </c>
      <c r="R23">
        <v>160</v>
      </c>
      <c r="S23">
        <v>120</v>
      </c>
      <c r="T23">
        <v>112</v>
      </c>
      <c r="U23">
        <v>72</v>
      </c>
      <c r="V23">
        <v>82</v>
      </c>
      <c r="W23">
        <v>78</v>
      </c>
      <c r="X23">
        <v>78</v>
      </c>
      <c r="Y23">
        <v>-72</v>
      </c>
      <c r="Z23">
        <v>-54</v>
      </c>
      <c r="AA23">
        <v>-92</v>
      </c>
      <c r="AB23">
        <v>-104</v>
      </c>
      <c r="AC23">
        <v>-28</v>
      </c>
      <c r="AD23">
        <v>-24</v>
      </c>
      <c r="AE23">
        <v>-24</v>
      </c>
      <c r="AF23">
        <v>-32</v>
      </c>
      <c r="AG23">
        <v>-40</v>
      </c>
      <c r="AH23">
        <v>-42</v>
      </c>
      <c r="AI23">
        <v>-94</v>
      </c>
      <c r="AJ23">
        <v>-106</v>
      </c>
      <c r="AK23">
        <v>-140</v>
      </c>
      <c r="AL23">
        <v>-1116</v>
      </c>
      <c r="AM23">
        <v>-108</v>
      </c>
      <c r="AN23">
        <v>-98</v>
      </c>
      <c r="AO23">
        <v>8</v>
      </c>
      <c r="AP23">
        <v>-24</v>
      </c>
      <c r="AQ23">
        <v>-40</v>
      </c>
      <c r="AR23">
        <v>-44</v>
      </c>
      <c r="AS23">
        <v>-80</v>
      </c>
      <c r="AT23">
        <v>-76</v>
      </c>
      <c r="AU23">
        <v>-78</v>
      </c>
      <c r="AV23">
        <v>-108</v>
      </c>
      <c r="AW23">
        <v>-150</v>
      </c>
      <c r="AX23">
        <v>-170</v>
      </c>
      <c r="AY23">
        <v>-130</v>
      </c>
      <c r="AZ23">
        <v>-146</v>
      </c>
      <c r="BA23">
        <v>-124</v>
      </c>
    </row>
    <row r="24" spans="1:53">
      <c r="A24" t="s">
        <v>9</v>
      </c>
      <c r="B24">
        <v>130</v>
      </c>
      <c r="C24">
        <v>155</v>
      </c>
      <c r="D24">
        <v>198</v>
      </c>
      <c r="E24">
        <v>219</v>
      </c>
      <c r="F24">
        <v>174</v>
      </c>
      <c r="G24">
        <v>153</v>
      </c>
      <c r="H24">
        <v>156</v>
      </c>
      <c r="I24">
        <v>114</v>
      </c>
      <c r="J24">
        <v>118</v>
      </c>
      <c r="K24">
        <v>109</v>
      </c>
      <c r="L24">
        <v>120</v>
      </c>
      <c r="M24">
        <v>142</v>
      </c>
      <c r="N24">
        <v>122</v>
      </c>
      <c r="O24">
        <v>139</v>
      </c>
      <c r="P24">
        <v>111</v>
      </c>
      <c r="Q24">
        <v>52</v>
      </c>
      <c r="R24">
        <v>19</v>
      </c>
      <c r="S24">
        <v>3</v>
      </c>
      <c r="T24">
        <v>-11</v>
      </c>
      <c r="U24">
        <v>6</v>
      </c>
      <c r="V24">
        <v>5</v>
      </c>
      <c r="W24">
        <v>12</v>
      </c>
      <c r="X24">
        <v>40</v>
      </c>
      <c r="Y24">
        <v>54</v>
      </c>
      <c r="Z24">
        <v>36</v>
      </c>
      <c r="AA24">
        <v>50</v>
      </c>
      <c r="AB24">
        <v>42</v>
      </c>
      <c r="AC24">
        <v>206</v>
      </c>
      <c r="AD24">
        <v>105</v>
      </c>
      <c r="AE24">
        <v>111</v>
      </c>
      <c r="AF24">
        <v>104</v>
      </c>
      <c r="AG24">
        <v>134</v>
      </c>
      <c r="AH24">
        <v>134</v>
      </c>
      <c r="AI24">
        <v>280</v>
      </c>
      <c r="AJ24">
        <v>285</v>
      </c>
      <c r="AK24">
        <v>290</v>
      </c>
      <c r="AL24">
        <v>175</v>
      </c>
      <c r="AM24">
        <v>157</v>
      </c>
      <c r="AN24">
        <v>161</v>
      </c>
      <c r="AO24">
        <v>202</v>
      </c>
      <c r="AP24">
        <v>194</v>
      </c>
      <c r="AQ24">
        <v>153</v>
      </c>
      <c r="AR24">
        <v>144</v>
      </c>
      <c r="AS24">
        <v>156</v>
      </c>
      <c r="AT24">
        <v>178</v>
      </c>
      <c r="AU24">
        <v>156</v>
      </c>
      <c r="AV24">
        <v>155</v>
      </c>
      <c r="AW24">
        <v>206</v>
      </c>
      <c r="AX24">
        <v>195</v>
      </c>
      <c r="AY24">
        <v>246</v>
      </c>
      <c r="AZ24">
        <v>248</v>
      </c>
      <c r="BA24">
        <v>227</v>
      </c>
    </row>
    <row r="25" spans="1:53">
      <c r="A25" t="s">
        <v>36</v>
      </c>
      <c r="B25">
        <v>-27</v>
      </c>
      <c r="C25">
        <v>-57</v>
      </c>
      <c r="D25">
        <v>-17</v>
      </c>
      <c r="E25">
        <v>-30</v>
      </c>
      <c r="F25">
        <v>-55</v>
      </c>
      <c r="G25">
        <v>-65</v>
      </c>
      <c r="H25">
        <v>75</v>
      </c>
      <c r="I25">
        <v>20</v>
      </c>
      <c r="J25">
        <v>55</v>
      </c>
      <c r="K25">
        <v>80</v>
      </c>
      <c r="L25">
        <v>145</v>
      </c>
      <c r="M25">
        <v>125</v>
      </c>
      <c r="N25">
        <v>115</v>
      </c>
      <c r="O25">
        <v>85</v>
      </c>
      <c r="P25">
        <v>205</v>
      </c>
      <c r="Q25">
        <v>160</v>
      </c>
      <c r="R25">
        <v>-30</v>
      </c>
      <c r="S25">
        <v>-45</v>
      </c>
      <c r="T25">
        <v>25</v>
      </c>
      <c r="U25">
        <v>-75</v>
      </c>
      <c r="V25">
        <v>-35</v>
      </c>
      <c r="W25">
        <v>140</v>
      </c>
      <c r="X25">
        <v>140</v>
      </c>
      <c r="Y25">
        <v>145</v>
      </c>
      <c r="Z25">
        <v>75</v>
      </c>
      <c r="AA25">
        <v>75</v>
      </c>
      <c r="AB25">
        <v>5</v>
      </c>
      <c r="AC25">
        <v>-10</v>
      </c>
      <c r="AD25">
        <v>-160</v>
      </c>
      <c r="AE25">
        <v>-80</v>
      </c>
      <c r="AF25">
        <v>-165</v>
      </c>
      <c r="AG25">
        <v>-375</v>
      </c>
      <c r="AH25">
        <v>-360</v>
      </c>
      <c r="AI25">
        <v>-180</v>
      </c>
      <c r="AJ25">
        <v>-110</v>
      </c>
      <c r="AK25">
        <v>-205</v>
      </c>
      <c r="AL25">
        <v>-215</v>
      </c>
      <c r="AM25">
        <v>-220</v>
      </c>
      <c r="AN25">
        <v>-95</v>
      </c>
      <c r="AO25">
        <v>5</v>
      </c>
      <c r="AP25">
        <v>-40</v>
      </c>
      <c r="AQ25">
        <v>135</v>
      </c>
      <c r="AR25">
        <v>115</v>
      </c>
      <c r="AS25">
        <v>60</v>
      </c>
      <c r="AT25">
        <v>-50</v>
      </c>
      <c r="AU25">
        <v>-45</v>
      </c>
      <c r="AV25">
        <v>-70</v>
      </c>
      <c r="AW25">
        <v>-135</v>
      </c>
      <c r="AX25">
        <v>-160</v>
      </c>
      <c r="AY25">
        <v>-225</v>
      </c>
      <c r="AZ25">
        <v>-365</v>
      </c>
      <c r="BA25">
        <v>-480</v>
      </c>
    </row>
    <row r="26" spans="1:53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30</v>
      </c>
      <c r="O26">
        <v>30</v>
      </c>
      <c r="P26">
        <v>30</v>
      </c>
      <c r="Q26">
        <v>-180</v>
      </c>
      <c r="R26">
        <v>-800</v>
      </c>
      <c r="S26">
        <v>-440</v>
      </c>
      <c r="T26">
        <v>-415</v>
      </c>
      <c r="U26">
        <v>-415</v>
      </c>
      <c r="V26">
        <v>-415</v>
      </c>
      <c r="W26">
        <v>-515</v>
      </c>
      <c r="X26">
        <v>-275</v>
      </c>
      <c r="Y26">
        <v>-275</v>
      </c>
      <c r="Z26">
        <v>-275</v>
      </c>
      <c r="AA26">
        <v>-275</v>
      </c>
      <c r="AB26">
        <v>-350</v>
      </c>
      <c r="AC26">
        <v>-300</v>
      </c>
      <c r="AD26">
        <v>-300</v>
      </c>
      <c r="AE26">
        <v>-300</v>
      </c>
      <c r="AF26">
        <v>-330</v>
      </c>
      <c r="AG26">
        <v>-330</v>
      </c>
      <c r="AH26">
        <v>-400</v>
      </c>
      <c r="AI26">
        <v>-195</v>
      </c>
      <c r="AJ26">
        <v>-300</v>
      </c>
      <c r="AK26">
        <v>-300</v>
      </c>
      <c r="AL26">
        <v>-300</v>
      </c>
      <c r="AM26">
        <v>-300</v>
      </c>
      <c r="AN26">
        <v>-145</v>
      </c>
      <c r="AO26">
        <v>-145</v>
      </c>
      <c r="AP26">
        <v>-145</v>
      </c>
      <c r="AQ26">
        <v>-95</v>
      </c>
      <c r="AR26">
        <v>-95</v>
      </c>
      <c r="AS26">
        <v>-95</v>
      </c>
      <c r="AT26">
        <v>-95</v>
      </c>
      <c r="AU26">
        <v>105</v>
      </c>
      <c r="AV26">
        <v>105</v>
      </c>
      <c r="AW26">
        <v>-220</v>
      </c>
      <c r="AX26">
        <v>-55</v>
      </c>
      <c r="AY26">
        <v>-335</v>
      </c>
      <c r="AZ26">
        <v>-350</v>
      </c>
      <c r="BA26">
        <v>-350</v>
      </c>
    </row>
    <row r="27" spans="1:53">
      <c r="A27" t="s">
        <v>37</v>
      </c>
      <c r="B27">
        <v>-330</v>
      </c>
      <c r="C27">
        <v>-300</v>
      </c>
      <c r="D27">
        <v>-520</v>
      </c>
      <c r="E27">
        <v>-190</v>
      </c>
      <c r="F27">
        <v>-230</v>
      </c>
      <c r="G27">
        <v>-170</v>
      </c>
      <c r="H27">
        <v>-150</v>
      </c>
      <c r="I27">
        <v>-250</v>
      </c>
      <c r="J27">
        <v>-350</v>
      </c>
      <c r="K27">
        <v>-420</v>
      </c>
      <c r="L27">
        <v>120</v>
      </c>
      <c r="M27">
        <v>130</v>
      </c>
      <c r="N27">
        <v>-320</v>
      </c>
      <c r="O27">
        <v>-470</v>
      </c>
      <c r="P27">
        <v>-380</v>
      </c>
      <c r="Q27">
        <v>-60</v>
      </c>
      <c r="R27">
        <v>-440</v>
      </c>
      <c r="S27">
        <v>-340</v>
      </c>
      <c r="T27">
        <v>-740</v>
      </c>
      <c r="U27">
        <v>-560</v>
      </c>
      <c r="V27">
        <v>-530</v>
      </c>
      <c r="W27">
        <v>-500</v>
      </c>
      <c r="X27">
        <v>-430</v>
      </c>
      <c r="Y27">
        <v>-430</v>
      </c>
      <c r="Z27">
        <v>-410</v>
      </c>
      <c r="AA27">
        <v>-560</v>
      </c>
      <c r="AB27">
        <v>-650</v>
      </c>
      <c r="AC27">
        <v>-360</v>
      </c>
      <c r="AD27">
        <v>-420</v>
      </c>
      <c r="AE27">
        <v>-450</v>
      </c>
      <c r="AF27">
        <v>-400</v>
      </c>
      <c r="AG27">
        <v>-630</v>
      </c>
      <c r="AH27">
        <v>-460</v>
      </c>
      <c r="AI27">
        <v>-440</v>
      </c>
      <c r="AJ27">
        <v>-300</v>
      </c>
      <c r="AK27">
        <v>-170</v>
      </c>
      <c r="AL27">
        <v>-460</v>
      </c>
      <c r="AM27">
        <v>-450</v>
      </c>
      <c r="AN27">
        <v>-400</v>
      </c>
      <c r="AO27">
        <v>-850</v>
      </c>
      <c r="AP27">
        <v>-730</v>
      </c>
      <c r="AQ27">
        <v>-230</v>
      </c>
      <c r="AR27">
        <v>-480</v>
      </c>
      <c r="AS27">
        <v>-360</v>
      </c>
      <c r="AT27">
        <v>-460</v>
      </c>
      <c r="AU27">
        <v>-410</v>
      </c>
      <c r="AV27">
        <v>-430</v>
      </c>
      <c r="AW27">
        <v>-140</v>
      </c>
      <c r="AX27">
        <v>-540</v>
      </c>
      <c r="AY27">
        <v>-480</v>
      </c>
      <c r="AZ27">
        <v>-200</v>
      </c>
      <c r="BA27">
        <v>-240</v>
      </c>
    </row>
    <row r="28" spans="1:53">
      <c r="A28" t="s">
        <v>19</v>
      </c>
      <c r="B28">
        <v>-285</v>
      </c>
      <c r="C28">
        <v>-395</v>
      </c>
      <c r="D28">
        <v>-325</v>
      </c>
      <c r="E28">
        <v>-320</v>
      </c>
      <c r="F28">
        <v>-270</v>
      </c>
      <c r="G28">
        <v>-210</v>
      </c>
      <c r="H28">
        <v>-435</v>
      </c>
      <c r="I28">
        <v>-165</v>
      </c>
      <c r="J28">
        <v>-240</v>
      </c>
      <c r="K28">
        <v>-230</v>
      </c>
      <c r="L28">
        <v>-50</v>
      </c>
      <c r="M28">
        <v>-100</v>
      </c>
      <c r="N28">
        <v>-280</v>
      </c>
      <c r="O28">
        <v>-150</v>
      </c>
      <c r="P28">
        <v>-130</v>
      </c>
      <c r="Q28">
        <v>-120</v>
      </c>
      <c r="R28">
        <v>-175</v>
      </c>
      <c r="S28">
        <v>-185</v>
      </c>
      <c r="T28">
        <v>-245</v>
      </c>
      <c r="U28">
        <v>-260</v>
      </c>
      <c r="V28">
        <v>-205</v>
      </c>
      <c r="W28">
        <v>-155</v>
      </c>
      <c r="X28">
        <v>-160</v>
      </c>
      <c r="Y28">
        <v>-180</v>
      </c>
      <c r="Z28">
        <v>-170</v>
      </c>
      <c r="AA28">
        <v>-160</v>
      </c>
      <c r="AB28">
        <v>-215</v>
      </c>
      <c r="AC28">
        <v>-180</v>
      </c>
      <c r="AD28">
        <v>-185</v>
      </c>
      <c r="AE28">
        <v>-250</v>
      </c>
      <c r="AF28">
        <v>-240</v>
      </c>
      <c r="AG28">
        <v>-300</v>
      </c>
      <c r="AH28">
        <v>-280</v>
      </c>
      <c r="AI28">
        <v>-260</v>
      </c>
      <c r="AJ28">
        <v>-305</v>
      </c>
      <c r="AK28">
        <v>-315</v>
      </c>
      <c r="AL28">
        <v>-355</v>
      </c>
      <c r="AM28">
        <v>-320</v>
      </c>
      <c r="AN28">
        <v>-380</v>
      </c>
      <c r="AO28">
        <v>80</v>
      </c>
      <c r="AP28">
        <v>80</v>
      </c>
      <c r="AQ28">
        <v>-175</v>
      </c>
      <c r="AR28">
        <v>-390</v>
      </c>
      <c r="AS28">
        <v>-215</v>
      </c>
      <c r="AT28">
        <v>-165</v>
      </c>
      <c r="AU28">
        <v>-130</v>
      </c>
      <c r="AV28">
        <v>-230</v>
      </c>
      <c r="AW28">
        <v>-185</v>
      </c>
      <c r="AX28">
        <v>-210</v>
      </c>
      <c r="AY28">
        <v>-180</v>
      </c>
      <c r="AZ28">
        <v>-180</v>
      </c>
      <c r="BA28">
        <v>-175</v>
      </c>
    </row>
    <row r="29" spans="1:53">
      <c r="A29" t="s">
        <v>38</v>
      </c>
      <c r="B29">
        <v>340</v>
      </c>
      <c r="C29">
        <v>350</v>
      </c>
      <c r="D29">
        <v>355</v>
      </c>
      <c r="E29">
        <v>450</v>
      </c>
      <c r="F29">
        <v>175</v>
      </c>
      <c r="G29">
        <v>365</v>
      </c>
      <c r="H29">
        <v>460</v>
      </c>
      <c r="I29">
        <v>50</v>
      </c>
      <c r="J29">
        <v>140</v>
      </c>
      <c r="K29">
        <v>35</v>
      </c>
      <c r="L29">
        <v>20</v>
      </c>
      <c r="M29">
        <v>-25</v>
      </c>
      <c r="N29">
        <v>-40</v>
      </c>
      <c r="O29">
        <v>-185</v>
      </c>
      <c r="P29">
        <v>-175</v>
      </c>
      <c r="Q29">
        <v>175</v>
      </c>
      <c r="R29">
        <v>-40</v>
      </c>
      <c r="S29">
        <v>-90</v>
      </c>
      <c r="T29">
        <v>-160</v>
      </c>
      <c r="U29">
        <v>-115</v>
      </c>
      <c r="V29">
        <v>-295</v>
      </c>
      <c r="W29">
        <v>-205</v>
      </c>
      <c r="X29">
        <v>-70</v>
      </c>
      <c r="Y29">
        <v>-60</v>
      </c>
      <c r="Z29">
        <v>-190</v>
      </c>
      <c r="AA29">
        <v>-105</v>
      </c>
      <c r="AB29">
        <v>-255</v>
      </c>
      <c r="AC29">
        <v>-35</v>
      </c>
      <c r="AD29">
        <v>-110</v>
      </c>
      <c r="AE29">
        <v>0</v>
      </c>
      <c r="AF29">
        <v>10</v>
      </c>
      <c r="AG29">
        <v>-70</v>
      </c>
      <c r="AH29">
        <v>0</v>
      </c>
      <c r="AI29">
        <v>-230</v>
      </c>
      <c r="AJ29">
        <v>35</v>
      </c>
      <c r="AK29">
        <v>-100</v>
      </c>
      <c r="AL29">
        <v>-60</v>
      </c>
      <c r="AM29">
        <v>-210</v>
      </c>
      <c r="AN29">
        <v>-55</v>
      </c>
      <c r="AO29">
        <v>-295</v>
      </c>
      <c r="AP29">
        <v>-190</v>
      </c>
      <c r="AQ29">
        <v>-175</v>
      </c>
      <c r="AR29">
        <v>-70</v>
      </c>
      <c r="AS29">
        <v>-135</v>
      </c>
      <c r="AT29">
        <v>-130</v>
      </c>
      <c r="AU29">
        <v>-205</v>
      </c>
      <c r="AV29">
        <v>-185</v>
      </c>
      <c r="AW29">
        <v>20</v>
      </c>
      <c r="AX29">
        <v>-160</v>
      </c>
      <c r="AY29">
        <v>-175</v>
      </c>
      <c r="AZ29">
        <v>35</v>
      </c>
      <c r="BA29">
        <v>-85</v>
      </c>
    </row>
    <row r="30" spans="1:53">
      <c r="A30" t="s">
        <v>39</v>
      </c>
      <c r="B30">
        <v>-1270</v>
      </c>
      <c r="C30">
        <v>-2590</v>
      </c>
      <c r="D30">
        <v>-2630</v>
      </c>
      <c r="E30">
        <v>-1450</v>
      </c>
      <c r="F30">
        <v>-2000</v>
      </c>
      <c r="G30">
        <v>-1180</v>
      </c>
      <c r="H30">
        <v>-1420</v>
      </c>
      <c r="I30">
        <v>-210</v>
      </c>
      <c r="J30">
        <v>-430</v>
      </c>
      <c r="K30">
        <v>-20</v>
      </c>
      <c r="L30">
        <v>-320</v>
      </c>
      <c r="M30">
        <v>-750</v>
      </c>
      <c r="N30">
        <v>-630</v>
      </c>
      <c r="O30">
        <v>-1350</v>
      </c>
      <c r="P30">
        <v>-2210</v>
      </c>
      <c r="Q30">
        <v>640</v>
      </c>
      <c r="R30">
        <v>-460</v>
      </c>
      <c r="S30">
        <v>-200</v>
      </c>
      <c r="T30">
        <v>-990</v>
      </c>
      <c r="U30">
        <v>-500</v>
      </c>
      <c r="V30">
        <v>-670</v>
      </c>
      <c r="W30">
        <v>-1550</v>
      </c>
      <c r="X30">
        <v>-1780</v>
      </c>
      <c r="Y30">
        <v>-1930</v>
      </c>
      <c r="Z30">
        <v>-2270</v>
      </c>
      <c r="AA30">
        <v>-920</v>
      </c>
      <c r="AB30">
        <v>-1580</v>
      </c>
      <c r="AC30">
        <v>-770</v>
      </c>
      <c r="AD30">
        <v>-620</v>
      </c>
      <c r="AE30">
        <v>-1990</v>
      </c>
      <c r="AF30">
        <v>-620</v>
      </c>
      <c r="AG30">
        <v>-870</v>
      </c>
      <c r="AH30">
        <v>-3240</v>
      </c>
      <c r="AI30">
        <v>-3530</v>
      </c>
      <c r="AJ30">
        <v>-930</v>
      </c>
      <c r="AK30">
        <v>-540</v>
      </c>
      <c r="AL30">
        <v>-560</v>
      </c>
      <c r="AM30">
        <v>-1680</v>
      </c>
      <c r="AN30">
        <v>-680</v>
      </c>
      <c r="AO30">
        <v>-2050</v>
      </c>
      <c r="AP30">
        <v>-1370</v>
      </c>
      <c r="AQ30">
        <v>-250</v>
      </c>
      <c r="AR30">
        <v>-1530</v>
      </c>
      <c r="AS30">
        <v>-630</v>
      </c>
      <c r="AT30">
        <v>-1190</v>
      </c>
      <c r="AU30">
        <v>-650</v>
      </c>
      <c r="AV30">
        <v>-1880</v>
      </c>
      <c r="AW30">
        <v>-1440</v>
      </c>
      <c r="AX30">
        <v>-2260</v>
      </c>
      <c r="AY30">
        <v>-2310</v>
      </c>
      <c r="AZ30">
        <v>-1380</v>
      </c>
      <c r="BA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37"/>
  <sheetViews>
    <sheetView workbookViewId="0">
      <selection activeCell="D9" sqref="D9"/>
    </sheetView>
  </sheetViews>
  <sheetFormatPr defaultRowHeight="13.5"/>
  <sheetData>
    <row r="1" spans="1:48">
      <c r="A1" t="s">
        <v>92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43132</v>
      </c>
      <c r="AT1" s="11">
        <v>43131</v>
      </c>
      <c r="AU1" s="11">
        <v>43130</v>
      </c>
      <c r="AV1" s="11">
        <v>43129</v>
      </c>
    </row>
    <row r="2" spans="1:48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154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154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116</v>
      </c>
      <c r="AI2" t="s">
        <v>116</v>
      </c>
      <c r="AJ2" t="s">
        <v>116</v>
      </c>
      <c r="AK2" t="s">
        <v>116</v>
      </c>
      <c r="AL2" t="s">
        <v>116</v>
      </c>
      <c r="AM2" t="s">
        <v>192</v>
      </c>
      <c r="AN2" t="s">
        <v>112</v>
      </c>
      <c r="AO2" t="s">
        <v>112</v>
      </c>
      <c r="AP2" t="s">
        <v>112</v>
      </c>
      <c r="AQ2" t="s">
        <v>112</v>
      </c>
      <c r="AR2" t="s">
        <v>112</v>
      </c>
      <c r="AS2" t="s">
        <v>112</v>
      </c>
      <c r="AT2" t="s">
        <v>112</v>
      </c>
      <c r="AU2" t="s">
        <v>112</v>
      </c>
      <c r="AV2" t="s">
        <v>141</v>
      </c>
    </row>
    <row r="3" spans="1:48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142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142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115</v>
      </c>
      <c r="AM3" t="s">
        <v>193</v>
      </c>
      <c r="AN3" t="s">
        <v>115</v>
      </c>
      <c r="AO3" t="s">
        <v>115</v>
      </c>
      <c r="AP3" t="s">
        <v>115</v>
      </c>
      <c r="AQ3" t="s">
        <v>115</v>
      </c>
      <c r="AR3" t="s">
        <v>115</v>
      </c>
      <c r="AS3" t="s">
        <v>115</v>
      </c>
      <c r="AT3" t="s">
        <v>115</v>
      </c>
      <c r="AU3" t="s">
        <v>115</v>
      </c>
      <c r="AV3" t="s">
        <v>142</v>
      </c>
    </row>
    <row r="4" spans="1:48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174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143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105</v>
      </c>
      <c r="AM4" t="s">
        <v>194</v>
      </c>
      <c r="AN4" t="s">
        <v>105</v>
      </c>
      <c r="AO4" t="s">
        <v>105</v>
      </c>
      <c r="AP4" t="s">
        <v>105</v>
      </c>
      <c r="AQ4" t="s">
        <v>105</v>
      </c>
      <c r="AR4" t="s">
        <v>105</v>
      </c>
      <c r="AS4" t="s">
        <v>105</v>
      </c>
      <c r="AT4" t="s">
        <v>105</v>
      </c>
      <c r="AU4" t="s">
        <v>105</v>
      </c>
      <c r="AV4" t="s">
        <v>143</v>
      </c>
    </row>
    <row r="5" spans="1:48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144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144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124</v>
      </c>
      <c r="AM5" t="s">
        <v>195</v>
      </c>
      <c r="AN5" t="s">
        <v>124</v>
      </c>
      <c r="AO5" t="s">
        <v>124</v>
      </c>
      <c r="AP5" t="s">
        <v>124</v>
      </c>
      <c r="AQ5" t="s">
        <v>124</v>
      </c>
      <c r="AR5" t="s">
        <v>124</v>
      </c>
      <c r="AS5" t="s">
        <v>124</v>
      </c>
      <c r="AT5" t="s">
        <v>124</v>
      </c>
      <c r="AU5" t="s">
        <v>124</v>
      </c>
      <c r="AV5" t="s">
        <v>144</v>
      </c>
    </row>
    <row r="6" spans="1:48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176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145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106</v>
      </c>
      <c r="AM6" t="s">
        <v>196</v>
      </c>
      <c r="AN6" t="s">
        <v>106</v>
      </c>
      <c r="AO6" t="s">
        <v>106</v>
      </c>
      <c r="AP6" t="s">
        <v>106</v>
      </c>
      <c r="AQ6" t="s">
        <v>106</v>
      </c>
      <c r="AR6" t="s">
        <v>106</v>
      </c>
      <c r="AS6" t="s">
        <v>106</v>
      </c>
      <c r="AT6" t="s">
        <v>106</v>
      </c>
      <c r="AU6" t="s">
        <v>106</v>
      </c>
      <c r="AV6" t="s">
        <v>145</v>
      </c>
    </row>
    <row r="7" spans="1:48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176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145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106</v>
      </c>
      <c r="AM7" t="s">
        <v>196</v>
      </c>
      <c r="AN7" t="s">
        <v>106</v>
      </c>
      <c r="AO7" t="s">
        <v>106</v>
      </c>
      <c r="AP7" t="s">
        <v>106</v>
      </c>
      <c r="AQ7" t="s">
        <v>106</v>
      </c>
      <c r="AR7" t="s">
        <v>106</v>
      </c>
      <c r="AS7" t="s">
        <v>106</v>
      </c>
      <c r="AT7" t="s">
        <v>106</v>
      </c>
      <c r="AU7" t="s">
        <v>106</v>
      </c>
      <c r="AV7" t="s">
        <v>145</v>
      </c>
    </row>
    <row r="8" spans="1:48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176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145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106</v>
      </c>
      <c r="AM8" t="s">
        <v>196</v>
      </c>
      <c r="AN8" t="s">
        <v>106</v>
      </c>
      <c r="AO8" t="s">
        <v>106</v>
      </c>
      <c r="AP8" t="s">
        <v>106</v>
      </c>
      <c r="AQ8" t="s">
        <v>106</v>
      </c>
      <c r="AR8" t="s">
        <v>106</v>
      </c>
      <c r="AS8" t="s">
        <v>106</v>
      </c>
      <c r="AT8" t="s">
        <v>106</v>
      </c>
      <c r="AU8" t="s">
        <v>106</v>
      </c>
      <c r="AV8" t="s">
        <v>145</v>
      </c>
    </row>
    <row r="9" spans="1:48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177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146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110</v>
      </c>
      <c r="AM9" t="s">
        <v>197</v>
      </c>
      <c r="AN9" t="s">
        <v>110</v>
      </c>
      <c r="AO9" t="s">
        <v>110</v>
      </c>
      <c r="AP9" t="s">
        <v>110</v>
      </c>
      <c r="AQ9" t="s">
        <v>110</v>
      </c>
      <c r="AR9" t="s">
        <v>110</v>
      </c>
      <c r="AS9" t="s">
        <v>110</v>
      </c>
      <c r="AT9" t="s">
        <v>110</v>
      </c>
      <c r="AU9" t="s">
        <v>110</v>
      </c>
      <c r="AV9" t="s">
        <v>146</v>
      </c>
    </row>
    <row r="10" spans="1:48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147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147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117</v>
      </c>
      <c r="AM10" t="s">
        <v>198</v>
      </c>
      <c r="AN10" t="s">
        <v>117</v>
      </c>
      <c r="AO10" t="s">
        <v>117</v>
      </c>
      <c r="AP10" t="s">
        <v>117</v>
      </c>
      <c r="AQ10" t="s">
        <v>117</v>
      </c>
      <c r="AR10" t="s">
        <v>117</v>
      </c>
      <c r="AS10" t="s">
        <v>117</v>
      </c>
      <c r="AT10" t="s">
        <v>117</v>
      </c>
      <c r="AU10" t="s">
        <v>117</v>
      </c>
      <c r="AV10" t="s">
        <v>147</v>
      </c>
    </row>
    <row r="11" spans="1:48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179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148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111</v>
      </c>
      <c r="AM11" t="s">
        <v>199</v>
      </c>
      <c r="AN11" t="s">
        <v>111</v>
      </c>
      <c r="AO11" t="s">
        <v>111</v>
      </c>
      <c r="AP11" t="s">
        <v>111</v>
      </c>
      <c r="AQ11" t="s">
        <v>111</v>
      </c>
      <c r="AR11" t="s">
        <v>111</v>
      </c>
      <c r="AS11" t="s">
        <v>111</v>
      </c>
      <c r="AT11" t="s">
        <v>111</v>
      </c>
      <c r="AU11" t="s">
        <v>111</v>
      </c>
      <c r="AV11" t="s">
        <v>148</v>
      </c>
    </row>
    <row r="12" spans="1:48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147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147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117</v>
      </c>
      <c r="AM12" t="s">
        <v>198</v>
      </c>
      <c r="AN12" t="s">
        <v>117</v>
      </c>
      <c r="AO12" t="s">
        <v>117</v>
      </c>
      <c r="AP12" t="s">
        <v>117</v>
      </c>
      <c r="AQ12" t="s">
        <v>117</v>
      </c>
      <c r="AR12" t="s">
        <v>117</v>
      </c>
      <c r="AS12" t="s">
        <v>117</v>
      </c>
      <c r="AT12" t="s">
        <v>117</v>
      </c>
      <c r="AU12" t="s">
        <v>117</v>
      </c>
      <c r="AV12" t="s">
        <v>147</v>
      </c>
    </row>
    <row r="13" spans="1:48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147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147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117</v>
      </c>
      <c r="AM13" t="s">
        <v>198</v>
      </c>
      <c r="AN13" t="s">
        <v>117</v>
      </c>
      <c r="AO13" t="s">
        <v>117</v>
      </c>
      <c r="AP13" t="s">
        <v>117</v>
      </c>
      <c r="AQ13" t="s">
        <v>117</v>
      </c>
      <c r="AR13" t="s">
        <v>117</v>
      </c>
      <c r="AS13" t="s">
        <v>117</v>
      </c>
      <c r="AT13" t="s">
        <v>117</v>
      </c>
      <c r="AU13" t="s">
        <v>117</v>
      </c>
      <c r="AV13" t="s">
        <v>147</v>
      </c>
    </row>
    <row r="14" spans="1:48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147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147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117</v>
      </c>
      <c r="AM14" t="s">
        <v>198</v>
      </c>
      <c r="AN14" t="s">
        <v>117</v>
      </c>
      <c r="AO14" t="s">
        <v>117</v>
      </c>
      <c r="AP14" t="s">
        <v>117</v>
      </c>
      <c r="AQ14" t="s">
        <v>117</v>
      </c>
      <c r="AR14" t="s">
        <v>117</v>
      </c>
      <c r="AS14" t="s">
        <v>117</v>
      </c>
      <c r="AT14" t="s">
        <v>117</v>
      </c>
      <c r="AU14" t="s">
        <v>117</v>
      </c>
      <c r="AV14" t="s">
        <v>147</v>
      </c>
    </row>
    <row r="15" spans="1:48">
      <c r="A15" t="str">
        <f>IF(手动输入表!$F15="","",手动输入表!$F15)</f>
        <v>甲醇</v>
      </c>
      <c r="B15" t="s">
        <v>220</v>
      </c>
      <c r="C15" t="s">
        <v>220</v>
      </c>
      <c r="D15" t="s">
        <v>220</v>
      </c>
      <c r="E15" t="s">
        <v>103</v>
      </c>
      <c r="F15" t="s">
        <v>103</v>
      </c>
      <c r="G15" t="s">
        <v>103</v>
      </c>
      <c r="H15" t="s">
        <v>180</v>
      </c>
      <c r="I15" t="s">
        <v>103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103</v>
      </c>
      <c r="T15" t="s">
        <v>103</v>
      </c>
      <c r="U15" t="s">
        <v>103</v>
      </c>
      <c r="V15" t="s">
        <v>149</v>
      </c>
      <c r="W15" t="s">
        <v>103</v>
      </c>
      <c r="X15" t="s">
        <v>103</v>
      </c>
      <c r="Y15" t="s">
        <v>167</v>
      </c>
      <c r="Z15" t="s">
        <v>167</v>
      </c>
      <c r="AA15" t="s">
        <v>167</v>
      </c>
      <c r="AB15" t="s">
        <v>167</v>
      </c>
      <c r="AC15" t="s">
        <v>103</v>
      </c>
      <c r="AD15" t="s">
        <v>103</v>
      </c>
      <c r="AE15" t="s">
        <v>103</v>
      </c>
      <c r="AF15" t="s">
        <v>103</v>
      </c>
      <c r="AG15" t="s">
        <v>103</v>
      </c>
      <c r="AH15" t="s">
        <v>103</v>
      </c>
      <c r="AI15" t="s">
        <v>210</v>
      </c>
      <c r="AJ15" t="s">
        <v>210</v>
      </c>
      <c r="AK15" t="s">
        <v>103</v>
      </c>
      <c r="AL15" t="s">
        <v>103</v>
      </c>
      <c r="AM15" t="s">
        <v>200</v>
      </c>
      <c r="AN15" t="s">
        <v>103</v>
      </c>
      <c r="AO15" t="s">
        <v>103</v>
      </c>
      <c r="AP15" t="s">
        <v>103</v>
      </c>
      <c r="AQ15" t="s">
        <v>103</v>
      </c>
      <c r="AR15" t="s">
        <v>103</v>
      </c>
      <c r="AS15" t="s">
        <v>167</v>
      </c>
      <c r="AT15" t="s">
        <v>167</v>
      </c>
      <c r="AU15" t="s">
        <v>167</v>
      </c>
      <c r="AV15" t="s">
        <v>149</v>
      </c>
    </row>
    <row r="16" spans="1:48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150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150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107</v>
      </c>
      <c r="AM16" t="s">
        <v>201</v>
      </c>
      <c r="AN16" t="s">
        <v>107</v>
      </c>
      <c r="AO16" t="s">
        <v>107</v>
      </c>
      <c r="AP16" t="s">
        <v>107</v>
      </c>
      <c r="AQ16" t="s">
        <v>107</v>
      </c>
      <c r="AR16" t="s">
        <v>107</v>
      </c>
      <c r="AS16" t="s">
        <v>107</v>
      </c>
      <c r="AT16" t="s">
        <v>107</v>
      </c>
      <c r="AU16" t="s">
        <v>107</v>
      </c>
      <c r="AV16" t="s">
        <v>150</v>
      </c>
    </row>
    <row r="17" spans="1:48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215</v>
      </c>
      <c r="F17" t="s">
        <v>215</v>
      </c>
      <c r="G17" t="s">
        <v>215</v>
      </c>
      <c r="H17" t="s">
        <v>216</v>
      </c>
      <c r="I17" t="s">
        <v>215</v>
      </c>
      <c r="J17" t="s">
        <v>215</v>
      </c>
      <c r="K17" t="s">
        <v>215</v>
      </c>
      <c r="L17" t="s">
        <v>215</v>
      </c>
      <c r="M17" t="s">
        <v>215</v>
      </c>
      <c r="N17" t="s">
        <v>215</v>
      </c>
      <c r="O17" t="s">
        <v>215</v>
      </c>
      <c r="P17" t="s">
        <v>116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151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113</v>
      </c>
      <c r="AM17" t="s">
        <v>202</v>
      </c>
      <c r="AN17" t="s">
        <v>113</v>
      </c>
      <c r="AO17" t="s">
        <v>113</v>
      </c>
      <c r="AP17" t="s">
        <v>113</v>
      </c>
      <c r="AQ17" t="s">
        <v>113</v>
      </c>
      <c r="AR17" t="s">
        <v>113</v>
      </c>
      <c r="AS17" t="s">
        <v>113</v>
      </c>
      <c r="AT17" t="s">
        <v>113</v>
      </c>
      <c r="AU17" t="s">
        <v>113</v>
      </c>
      <c r="AV17" t="s">
        <v>151</v>
      </c>
    </row>
    <row r="18" spans="1:48">
      <c r="A18" t="str">
        <f>IF(手动输入表!$F18="","",手动输入表!$F18)</f>
        <v>菜粕</v>
      </c>
      <c r="B18" t="s">
        <v>215</v>
      </c>
      <c r="C18" t="s">
        <v>215</v>
      </c>
      <c r="D18" t="s">
        <v>215</v>
      </c>
      <c r="E18" t="s">
        <v>215</v>
      </c>
      <c r="F18" t="s">
        <v>215</v>
      </c>
      <c r="G18" t="s">
        <v>215</v>
      </c>
      <c r="H18" t="s">
        <v>216</v>
      </c>
      <c r="I18" t="s">
        <v>215</v>
      </c>
      <c r="J18" t="s">
        <v>215</v>
      </c>
      <c r="K18" t="s">
        <v>213</v>
      </c>
      <c r="L18" t="s">
        <v>213</v>
      </c>
      <c r="M18" t="s">
        <v>213</v>
      </c>
      <c r="N18" t="s">
        <v>213</v>
      </c>
      <c r="O18" t="s">
        <v>213</v>
      </c>
      <c r="P18" t="s">
        <v>213</v>
      </c>
      <c r="Q18" t="s">
        <v>213</v>
      </c>
      <c r="R18" t="s">
        <v>213</v>
      </c>
      <c r="S18" t="s">
        <v>213</v>
      </c>
      <c r="T18" t="s">
        <v>213</v>
      </c>
      <c r="U18" t="s">
        <v>213</v>
      </c>
      <c r="V18" t="s">
        <v>212</v>
      </c>
      <c r="W18" t="s">
        <v>211</v>
      </c>
      <c r="X18" t="s">
        <v>211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113</v>
      </c>
      <c r="AM18" t="s">
        <v>202</v>
      </c>
      <c r="AN18" t="s">
        <v>113</v>
      </c>
      <c r="AO18" t="s">
        <v>113</v>
      </c>
      <c r="AP18" t="s">
        <v>113</v>
      </c>
      <c r="AQ18" t="s">
        <v>113</v>
      </c>
      <c r="AR18" t="s">
        <v>113</v>
      </c>
      <c r="AS18" t="s">
        <v>113</v>
      </c>
      <c r="AT18" t="s">
        <v>113</v>
      </c>
      <c r="AU18" t="s">
        <v>113</v>
      </c>
      <c r="AV18" t="s">
        <v>151</v>
      </c>
    </row>
    <row r="19" spans="1:48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152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184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114</v>
      </c>
      <c r="AM19" t="s">
        <v>203</v>
      </c>
      <c r="AN19" t="s">
        <v>114</v>
      </c>
      <c r="AO19" t="s">
        <v>114</v>
      </c>
      <c r="AP19" t="s">
        <v>114</v>
      </c>
      <c r="AQ19" t="s">
        <v>114</v>
      </c>
      <c r="AR19" t="s">
        <v>114</v>
      </c>
      <c r="AS19" t="s">
        <v>114</v>
      </c>
      <c r="AT19" t="s">
        <v>114</v>
      </c>
      <c r="AU19" t="s">
        <v>114</v>
      </c>
      <c r="AV19" t="s">
        <v>152</v>
      </c>
    </row>
    <row r="20" spans="1:48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153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153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104</v>
      </c>
      <c r="AM20" t="s">
        <v>204</v>
      </c>
      <c r="AN20" t="s">
        <v>104</v>
      </c>
      <c r="AO20" t="s">
        <v>104</v>
      </c>
      <c r="AP20" t="s">
        <v>104</v>
      </c>
      <c r="AQ20" t="s">
        <v>104</v>
      </c>
      <c r="AR20" t="s">
        <v>104</v>
      </c>
      <c r="AS20" t="s">
        <v>104</v>
      </c>
      <c r="AT20" t="s">
        <v>104</v>
      </c>
      <c r="AU20" t="s">
        <v>104</v>
      </c>
      <c r="AV20" t="s">
        <v>153</v>
      </c>
    </row>
    <row r="21" spans="1:48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154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154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116</v>
      </c>
      <c r="AM21" t="s">
        <v>205</v>
      </c>
      <c r="AN21" t="s">
        <v>116</v>
      </c>
      <c r="AO21" t="s">
        <v>116</v>
      </c>
      <c r="AP21" t="s">
        <v>116</v>
      </c>
      <c r="AQ21" t="s">
        <v>116</v>
      </c>
      <c r="AR21" t="s">
        <v>116</v>
      </c>
      <c r="AS21" t="s">
        <v>116</v>
      </c>
      <c r="AT21" t="s">
        <v>116</v>
      </c>
      <c r="AU21" t="s">
        <v>116</v>
      </c>
      <c r="AV21" t="s">
        <v>154</v>
      </c>
    </row>
    <row r="22" spans="1:48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141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141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112</v>
      </c>
      <c r="AI22" t="s">
        <v>112</v>
      </c>
      <c r="AJ22" t="s">
        <v>112</v>
      </c>
      <c r="AK22" t="s">
        <v>112</v>
      </c>
      <c r="AL22" t="s">
        <v>112</v>
      </c>
      <c r="AM22" t="s">
        <v>192</v>
      </c>
      <c r="AN22" t="s">
        <v>112</v>
      </c>
      <c r="AO22" t="s">
        <v>112</v>
      </c>
      <c r="AP22" t="s">
        <v>109</v>
      </c>
      <c r="AQ22" t="s">
        <v>109</v>
      </c>
      <c r="AR22" t="s">
        <v>109</v>
      </c>
      <c r="AS22" t="s">
        <v>109</v>
      </c>
      <c r="AT22" t="s">
        <v>109</v>
      </c>
      <c r="AU22" t="s">
        <v>109</v>
      </c>
      <c r="AV22" t="s">
        <v>155</v>
      </c>
    </row>
    <row r="23" spans="1:48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156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156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120</v>
      </c>
      <c r="AM23" t="s">
        <v>206</v>
      </c>
      <c r="AN23" t="s">
        <v>120</v>
      </c>
      <c r="AO23" t="s">
        <v>120</v>
      </c>
      <c r="AP23" t="s">
        <v>120</v>
      </c>
      <c r="AQ23" t="s">
        <v>120</v>
      </c>
      <c r="AR23" t="s">
        <v>120</v>
      </c>
      <c r="AS23" t="s">
        <v>120</v>
      </c>
      <c r="AT23" t="s">
        <v>120</v>
      </c>
      <c r="AU23" t="s">
        <v>120</v>
      </c>
      <c r="AV23" t="s">
        <v>156</v>
      </c>
    </row>
    <row r="24" spans="1:48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189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189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170</v>
      </c>
      <c r="AJ24" t="s">
        <v>170</v>
      </c>
      <c r="AK24" t="s">
        <v>170</v>
      </c>
      <c r="AL24" t="s">
        <v>170</v>
      </c>
      <c r="AM24" t="s">
        <v>207</v>
      </c>
      <c r="AN24" t="s">
        <v>170</v>
      </c>
      <c r="AO24" t="s">
        <v>170</v>
      </c>
      <c r="AP24" t="s">
        <v>170</v>
      </c>
      <c r="AQ24" t="s">
        <v>170</v>
      </c>
      <c r="AR24" t="s">
        <v>170</v>
      </c>
      <c r="AS24" t="s">
        <v>108</v>
      </c>
      <c r="AT24" t="s">
        <v>108</v>
      </c>
      <c r="AU24" t="s">
        <v>108</v>
      </c>
      <c r="AV24" t="s">
        <v>157</v>
      </c>
    </row>
    <row r="25" spans="1:48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190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158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118</v>
      </c>
      <c r="AM25" t="s">
        <v>208</v>
      </c>
      <c r="AN25" t="s">
        <v>118</v>
      </c>
      <c r="AO25" t="s">
        <v>118</v>
      </c>
      <c r="AP25" t="s">
        <v>118</v>
      </c>
      <c r="AQ25" t="s">
        <v>118</v>
      </c>
      <c r="AR25" t="s">
        <v>118</v>
      </c>
      <c r="AS25" t="s">
        <v>118</v>
      </c>
      <c r="AT25" t="s">
        <v>118</v>
      </c>
      <c r="AU25" t="s">
        <v>118</v>
      </c>
      <c r="AV25" t="s">
        <v>158</v>
      </c>
    </row>
    <row r="26" spans="1:48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218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159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119</v>
      </c>
      <c r="AM26" t="s">
        <v>209</v>
      </c>
      <c r="AN26" t="s">
        <v>119</v>
      </c>
      <c r="AO26" t="s">
        <v>119</v>
      </c>
      <c r="AP26" t="s">
        <v>119</v>
      </c>
      <c r="AQ26" t="s">
        <v>119</v>
      </c>
      <c r="AR26" t="s">
        <v>119</v>
      </c>
      <c r="AS26" t="s">
        <v>119</v>
      </c>
      <c r="AT26" t="s">
        <v>119</v>
      </c>
      <c r="AU26" t="s">
        <v>119</v>
      </c>
      <c r="AV26" t="s">
        <v>159</v>
      </c>
    </row>
    <row r="27" spans="1:48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176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145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106</v>
      </c>
      <c r="AM27" t="s">
        <v>196</v>
      </c>
      <c r="AN27" t="s">
        <v>106</v>
      </c>
      <c r="AO27" t="s">
        <v>106</v>
      </c>
      <c r="AP27" t="s">
        <v>106</v>
      </c>
      <c r="AQ27" t="s">
        <v>106</v>
      </c>
      <c r="AR27" t="s">
        <v>106</v>
      </c>
      <c r="AS27" t="s">
        <v>106</v>
      </c>
      <c r="AT27" t="s">
        <v>106</v>
      </c>
      <c r="AU27" t="s">
        <v>106</v>
      </c>
      <c r="AV27" t="s">
        <v>145</v>
      </c>
    </row>
    <row r="28" spans="1:48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176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145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106</v>
      </c>
      <c r="AM28" t="s">
        <v>196</v>
      </c>
      <c r="AN28" t="s">
        <v>106</v>
      </c>
      <c r="AO28" t="s">
        <v>106</v>
      </c>
      <c r="AP28" t="s">
        <v>106</v>
      </c>
      <c r="AQ28" t="s">
        <v>106</v>
      </c>
      <c r="AR28" t="s">
        <v>106</v>
      </c>
      <c r="AS28" t="s">
        <v>106</v>
      </c>
      <c r="AT28" t="s">
        <v>106</v>
      </c>
      <c r="AU28" t="s">
        <v>106</v>
      </c>
      <c r="AV28" t="s">
        <v>145</v>
      </c>
    </row>
    <row r="29" spans="1:48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176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145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106</v>
      </c>
      <c r="AM29" t="s">
        <v>196</v>
      </c>
      <c r="AN29" t="s">
        <v>106</v>
      </c>
      <c r="AO29" t="s">
        <v>106</v>
      </c>
      <c r="AP29" t="s">
        <v>106</v>
      </c>
      <c r="AQ29" t="s">
        <v>106</v>
      </c>
      <c r="AR29" t="s">
        <v>106</v>
      </c>
      <c r="AS29" t="s">
        <v>106</v>
      </c>
      <c r="AT29" t="s">
        <v>106</v>
      </c>
      <c r="AU29" t="s">
        <v>106</v>
      </c>
      <c r="AV29" t="s">
        <v>145</v>
      </c>
    </row>
    <row r="30" spans="1:48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176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145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106</v>
      </c>
      <c r="AM30" t="s">
        <v>196</v>
      </c>
      <c r="AN30" t="s">
        <v>106</v>
      </c>
      <c r="AO30" t="s">
        <v>106</v>
      </c>
      <c r="AP30" t="s">
        <v>106</v>
      </c>
      <c r="AQ30" t="s">
        <v>106</v>
      </c>
      <c r="AR30" t="s">
        <v>106</v>
      </c>
      <c r="AS30" t="s">
        <v>106</v>
      </c>
      <c r="AT30" t="s">
        <v>106</v>
      </c>
      <c r="AU30" t="s">
        <v>106</v>
      </c>
      <c r="AV30" t="s">
        <v>145</v>
      </c>
    </row>
    <row r="31" spans="1:48">
      <c r="A31" t="str">
        <f>IF(手动输入表!$F31="","",手动输入表!$F31)</f>
        <v/>
      </c>
    </row>
    <row r="32" spans="1:4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33"/>
  <sheetViews>
    <sheetView workbookViewId="0">
      <selection activeCell="J22" sqref="J22"/>
    </sheetView>
  </sheetViews>
  <sheetFormatPr defaultRowHeight="13.5"/>
  <sheetData>
    <row r="1" spans="1:48">
      <c r="A1" t="s">
        <v>136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43132</v>
      </c>
      <c r="AT1" s="11">
        <v>43131</v>
      </c>
      <c r="AU1" s="11">
        <v>43130</v>
      </c>
      <c r="AV1" s="11">
        <v>43129</v>
      </c>
    </row>
    <row r="2" spans="1:4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</row>
    <row r="3" spans="1:4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</row>
    <row r="4" spans="1:4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</row>
    <row r="5" spans="1:4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</row>
    <row r="6" spans="1:4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</row>
    <row r="7" spans="1:4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</row>
    <row r="8" spans="1:4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</row>
    <row r="9" spans="1:4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</row>
    <row r="10" spans="1:4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</row>
    <row r="11" spans="1:4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</row>
    <row r="12" spans="1:4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</row>
    <row r="13" spans="1:4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</row>
    <row r="14" spans="1:4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</row>
    <row r="15" spans="1:48">
      <c r="A15" t="str">
        <f>IF(手动输入表!$F15="","",手动输入表!$F15)</f>
        <v>甲醇</v>
      </c>
      <c r="B15">
        <v>-600</v>
      </c>
      <c r="C15">
        <v>-600</v>
      </c>
      <c r="D15">
        <v>-600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-260</v>
      </c>
      <c r="Z15">
        <v>-260</v>
      </c>
      <c r="AA15">
        <v>-260</v>
      </c>
      <c r="AB15">
        <v>-260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-260</v>
      </c>
      <c r="AT15">
        <v>-260</v>
      </c>
      <c r="AU15">
        <v>-260</v>
      </c>
      <c r="AV15">
        <v>-200</v>
      </c>
    </row>
    <row r="16" spans="1:4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</row>
    <row r="17" spans="1:4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-30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</row>
    <row r="18" spans="1:4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</row>
    <row r="19" spans="1:4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</row>
    <row r="20" spans="1:4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</row>
    <row r="21" spans="1:4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</row>
    <row r="22" spans="1:4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</row>
    <row r="23" spans="1:4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</row>
    <row r="24" spans="1:4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1:4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</row>
    <row r="26" spans="1:4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:4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:4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1:4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</row>
    <row r="30" spans="1:4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</row>
    <row r="31" spans="1:48">
      <c r="A31" t="str">
        <f>IF(手动输入表!$F31="","",手动输入表!$F31)</f>
        <v/>
      </c>
    </row>
    <row r="32" spans="1:4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2018-04-20T08:54:36Z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