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4" i="2" l="1"/>
  <c r="C83" i="2" l="1"/>
  <c r="C82" i="2" l="1"/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08" i="1"/>
  <c r="S310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51" i="1"/>
  <c r="M357" i="1"/>
  <c r="M358" i="1"/>
  <c r="M359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69" i="1"/>
  <c r="S367" i="1"/>
  <c r="S363" i="1"/>
  <c r="S332" i="1"/>
  <c r="S319" i="1"/>
  <c r="S330" i="1"/>
  <c r="S318" i="1"/>
  <c r="S355" i="1"/>
  <c r="S350" i="1"/>
  <c r="S307" i="1"/>
  <c r="S340" i="1"/>
  <c r="S352" i="1"/>
  <c r="S366" i="1"/>
  <c r="S357" i="1"/>
  <c r="S347" i="1"/>
  <c r="S322" i="1"/>
  <c r="S336" i="1"/>
  <c r="S323" i="1"/>
  <c r="S328" i="1"/>
  <c r="S361" i="1"/>
  <c r="S315" i="1"/>
  <c r="S342" i="1"/>
  <c r="S360" i="1"/>
  <c r="S333" i="1"/>
  <c r="S359" i="1"/>
  <c r="S356" i="1"/>
  <c r="S368" i="1"/>
  <c r="S364" i="1"/>
  <c r="S351" i="1"/>
  <c r="S348" i="1"/>
  <c r="S341" i="1"/>
  <c r="S339" i="1"/>
  <c r="S324" i="1"/>
  <c r="S320" i="1"/>
  <c r="S312" i="1"/>
  <c r="S335" i="1"/>
  <c r="S316" i="1"/>
  <c r="S314" i="1"/>
  <c r="S338" i="1"/>
  <c r="S349" i="1"/>
  <c r="S317" i="1"/>
  <c r="S326" i="1"/>
  <c r="S329" i="1"/>
  <c r="S327" i="1"/>
  <c r="S362" i="1"/>
  <c r="S331" i="1"/>
  <c r="S353" i="1"/>
  <c r="S334" i="1"/>
  <c r="S337" i="1"/>
  <c r="S345" i="1"/>
  <c r="S321" i="1"/>
  <c r="S346" i="1"/>
  <c r="S365" i="1"/>
  <c r="S354" i="1"/>
  <c r="S311" i="1"/>
  <c r="S344" i="1"/>
  <c r="S343" i="1"/>
  <c r="S325" i="1"/>
  <c r="S313" i="1"/>
  <c r="S358" i="1"/>
  <c r="T369" i="1" l="1"/>
  <c r="M362" i="1"/>
  <c r="M360" i="1"/>
  <c r="M361" i="1"/>
  <c r="M353" i="1"/>
  <c r="M356" i="1"/>
  <c r="M350" i="1"/>
  <c r="M354" i="1"/>
  <c r="M355" i="1"/>
  <c r="M347" i="1"/>
  <c r="M338" i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12" i="1"/>
  <c r="T313" i="1" s="1"/>
  <c r="T314" i="1" s="1"/>
  <c r="T315" i="1" s="1"/>
  <c r="T301" i="1"/>
  <c r="T364" i="1"/>
  <c r="T365" i="1" s="1"/>
  <c r="T366" i="1" s="1"/>
  <c r="T367" i="1" s="1"/>
  <c r="T368" i="1" s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U373" i="1"/>
  <c r="T372" i="1"/>
  <c r="U371" i="1"/>
  <c r="T371" i="1"/>
  <c r="U374" i="1"/>
  <c r="U370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U361" i="1" s="1"/>
  <c r="I362" i="1"/>
  <c r="U362" i="1" s="1"/>
  <c r="I363" i="1"/>
  <c r="I364" i="1"/>
  <c r="I365" i="1"/>
  <c r="I366" i="1"/>
  <c r="I367" i="1"/>
  <c r="I368" i="1"/>
  <c r="I369" i="1"/>
  <c r="U369" i="1" s="1"/>
  <c r="I370" i="1"/>
  <c r="I371" i="1"/>
  <c r="I372" i="1"/>
  <c r="I373" i="1"/>
  <c r="I374" i="1"/>
  <c r="I210" i="1"/>
  <c r="S206" i="1"/>
  <c r="S162" i="1"/>
  <c r="S115" i="1"/>
  <c r="S198" i="1"/>
  <c r="S36" i="1"/>
  <c r="S213" i="1"/>
  <c r="S131" i="1"/>
  <c r="S298" i="1"/>
  <c r="S150" i="1"/>
  <c r="S40" i="1"/>
  <c r="S239" i="1"/>
  <c r="S160" i="1"/>
  <c r="S90" i="1"/>
  <c r="S128" i="1"/>
  <c r="S86" i="1"/>
  <c r="S80" i="1"/>
  <c r="S92" i="1"/>
  <c r="S104" i="1"/>
  <c r="S279" i="1"/>
  <c r="S276" i="1"/>
  <c r="S74" i="1"/>
  <c r="S136" i="1"/>
  <c r="S57" i="1"/>
  <c r="S292" i="1"/>
  <c r="S291" i="1"/>
  <c r="S231" i="1"/>
  <c r="S45" i="1"/>
  <c r="S10" i="1"/>
  <c r="S99" i="1"/>
  <c r="S58" i="1"/>
  <c r="S273" i="1"/>
  <c r="S287" i="1"/>
  <c r="S183" i="1"/>
  <c r="S257" i="1"/>
  <c r="S65" i="1"/>
  <c r="S112" i="1"/>
  <c r="S245" i="1"/>
  <c r="S102" i="1"/>
  <c r="S48" i="1"/>
  <c r="S258" i="1"/>
  <c r="S147" i="1"/>
  <c r="S153" i="1"/>
  <c r="S117" i="1"/>
  <c r="S230" i="1"/>
  <c r="S189" i="1"/>
  <c r="S145" i="1"/>
  <c r="S107" i="1"/>
  <c r="S46" i="1"/>
  <c r="S220" i="1"/>
  <c r="S259" i="1"/>
  <c r="S9" i="1"/>
  <c r="S161" i="1"/>
  <c r="S148" i="1"/>
  <c r="S126" i="1"/>
  <c r="S132" i="1"/>
  <c r="S35" i="1"/>
  <c r="S60" i="1"/>
  <c r="S216" i="1"/>
  <c r="S187" i="1"/>
  <c r="S73" i="1"/>
  <c r="S81" i="1"/>
  <c r="S130" i="1"/>
  <c r="S129" i="1"/>
  <c r="S21" i="1"/>
  <c r="S118" i="1"/>
  <c r="S53" i="1"/>
  <c r="S62" i="1"/>
  <c r="S77" i="1"/>
  <c r="S88" i="1"/>
  <c r="S290" i="1"/>
  <c r="S144" i="1"/>
  <c r="S170" i="1"/>
  <c r="S288" i="1"/>
  <c r="S242" i="1"/>
  <c r="S173" i="1"/>
  <c r="S278" i="1"/>
  <c r="S166" i="1"/>
  <c r="S182" i="1"/>
  <c r="S295" i="1"/>
  <c r="S165" i="1"/>
  <c r="S181" i="1"/>
  <c r="S264" i="1"/>
  <c r="S122" i="1"/>
  <c r="S171" i="1"/>
  <c r="S114" i="1"/>
  <c r="S169" i="1"/>
  <c r="S274" i="1"/>
  <c r="S186" i="1"/>
  <c r="S294" i="1"/>
  <c r="S66" i="1"/>
  <c r="S228" i="1"/>
  <c r="S229" i="1"/>
  <c r="S224" i="1"/>
  <c r="S200" i="1"/>
  <c r="S284" i="1"/>
  <c r="S17" i="1"/>
  <c r="S275" i="1"/>
  <c r="S96" i="1"/>
  <c r="S302" i="1"/>
  <c r="S251" i="1"/>
  <c r="S8" i="1"/>
  <c r="S157" i="1"/>
  <c r="S124" i="1"/>
  <c r="S61" i="1"/>
  <c r="S63" i="1"/>
  <c r="S14" i="1"/>
  <c r="S261" i="1"/>
  <c r="S225" i="1"/>
  <c r="S204" i="1"/>
  <c r="S72" i="1"/>
  <c r="S123" i="1"/>
  <c r="S6" i="1"/>
  <c r="S5" i="1"/>
  <c r="S7" i="1"/>
  <c r="S215" i="1"/>
  <c r="S113" i="1"/>
  <c r="S265" i="1"/>
  <c r="S103" i="1"/>
  <c r="S248" i="1"/>
  <c r="S227" i="1"/>
  <c r="S163" i="1"/>
  <c r="S175" i="1"/>
  <c r="S243" i="1"/>
  <c r="S188" i="1"/>
  <c r="S177" i="1"/>
  <c r="S100" i="1"/>
  <c r="S196" i="1"/>
  <c r="S205" i="1"/>
  <c r="S217" i="1"/>
  <c r="S211" i="1"/>
  <c r="S16" i="1"/>
  <c r="S303" i="1"/>
  <c r="S223" i="1"/>
  <c r="S50" i="1"/>
  <c r="S152" i="1"/>
  <c r="S84" i="1"/>
  <c r="S156" i="1"/>
  <c r="S82" i="1"/>
  <c r="S202" i="1"/>
  <c r="S47" i="1"/>
  <c r="S4" i="1"/>
  <c r="S51" i="1"/>
  <c r="S178" i="1"/>
  <c r="S221" i="1"/>
  <c r="S78" i="1"/>
  <c r="S244" i="1"/>
  <c r="S192" i="1"/>
  <c r="S174" i="1"/>
  <c r="S269" i="1"/>
  <c r="S108" i="1"/>
  <c r="S219" i="1"/>
  <c r="S116" i="1"/>
  <c r="S277" i="1"/>
  <c r="S158" i="1"/>
  <c r="S54" i="1"/>
  <c r="S19" i="1"/>
  <c r="S272" i="1"/>
  <c r="S286" i="1"/>
  <c r="S83" i="1"/>
  <c r="S64" i="1"/>
  <c r="S285" i="1"/>
  <c r="S226" i="1"/>
  <c r="S249" i="1"/>
  <c r="S91" i="1"/>
  <c r="S119" i="1"/>
  <c r="S26" i="1"/>
  <c r="S111" i="1"/>
  <c r="S67" i="1"/>
  <c r="S76" i="1"/>
  <c r="S212" i="1"/>
  <c r="S94" i="1"/>
  <c r="S133" i="1"/>
  <c r="S44" i="1"/>
  <c r="S247" i="1"/>
  <c r="S79" i="1"/>
  <c r="S267" i="1"/>
  <c r="S268" i="1"/>
  <c r="S24" i="1"/>
  <c r="S270" i="1"/>
  <c r="S233" i="1"/>
  <c r="S141" i="1"/>
  <c r="S127" i="1"/>
  <c r="S22" i="1"/>
  <c r="S3" i="1"/>
  <c r="S37" i="1"/>
  <c r="S43" i="1"/>
  <c r="S300" i="1"/>
  <c r="S33" i="1"/>
  <c r="S185" i="1"/>
  <c r="S191" i="1"/>
  <c r="S282" i="1"/>
  <c r="S236" i="1"/>
  <c r="S250" i="1"/>
  <c r="S13" i="1"/>
  <c r="S180" i="1"/>
  <c r="S260" i="1"/>
  <c r="S75" i="1"/>
  <c r="S172" i="1"/>
  <c r="S237" i="1"/>
  <c r="S97" i="1"/>
  <c r="S69" i="1"/>
  <c r="S110" i="1"/>
  <c r="S68" i="1"/>
  <c r="S199" i="1"/>
  <c r="S143" i="1"/>
  <c r="S155" i="1"/>
  <c r="S15" i="1"/>
  <c r="S194" i="1"/>
  <c r="S238" i="1"/>
  <c r="S154" i="1"/>
  <c r="S197" i="1"/>
  <c r="S56" i="1"/>
  <c r="S304" i="1"/>
  <c r="S27" i="1"/>
  <c r="S254" i="1"/>
  <c r="S20" i="1"/>
  <c r="S98" i="1"/>
  <c r="S137" i="1"/>
  <c r="S210" i="1"/>
  <c r="S140" i="1"/>
  <c r="S89" i="1"/>
  <c r="S232" i="1"/>
  <c r="S59" i="1"/>
  <c r="S252" i="1"/>
  <c r="S38" i="1"/>
  <c r="S235" i="1"/>
  <c r="S168" i="1"/>
  <c r="S18" i="1"/>
  <c r="S280" i="1"/>
  <c r="S71" i="1"/>
  <c r="S49" i="1"/>
  <c r="S234" i="1"/>
  <c r="S11" i="1"/>
  <c r="S135" i="1"/>
  <c r="S246" i="1"/>
  <c r="S256" i="1"/>
  <c r="S23" i="1"/>
  <c r="S139" i="1"/>
  <c r="S195" i="1"/>
  <c r="S121" i="1"/>
  <c r="S240" i="1"/>
  <c r="S241" i="1"/>
  <c r="S222" i="1"/>
  <c r="S297" i="1"/>
  <c r="S296" i="1"/>
  <c r="S201" i="1"/>
  <c r="S39" i="1"/>
  <c r="S12" i="1"/>
  <c r="S120" i="1"/>
  <c r="S176" i="1"/>
  <c r="S289" i="1"/>
  <c r="S271" i="1"/>
  <c r="S306" i="1"/>
  <c r="S101" i="1"/>
  <c r="S263" i="1"/>
  <c r="S87" i="1"/>
  <c r="S167" i="1"/>
  <c r="S125" i="1"/>
  <c r="S203" i="1"/>
  <c r="S293" i="1"/>
  <c r="S253" i="1"/>
  <c r="S208" i="1"/>
  <c r="S105" i="1"/>
  <c r="S207" i="1"/>
  <c r="S283" i="1"/>
  <c r="S55" i="1"/>
  <c r="S214" i="1"/>
  <c r="S266" i="1"/>
  <c r="S299" i="1"/>
  <c r="S52" i="1"/>
  <c r="S134" i="1"/>
  <c r="S179" i="1"/>
  <c r="S42" i="1"/>
  <c r="S93" i="1"/>
  <c r="S95" i="1"/>
  <c r="S255" i="1"/>
  <c r="S184" i="1"/>
  <c r="S218" i="1"/>
  <c r="S41" i="1"/>
  <c r="S146" i="1"/>
  <c r="S138" i="1"/>
  <c r="S109" i="1"/>
  <c r="S209" i="1"/>
  <c r="S262" i="1"/>
  <c r="S106" i="1"/>
  <c r="S159" i="1"/>
  <c r="S149" i="1"/>
  <c r="S2" i="1"/>
  <c r="S190" i="1"/>
  <c r="S142" i="1"/>
  <c r="S85" i="1"/>
  <c r="S193" i="1"/>
  <c r="S151" i="1"/>
  <c r="S70" i="1"/>
  <c r="U366" i="1" l="1"/>
  <c r="U365" i="1"/>
  <c r="U368" i="1"/>
  <c r="U367" i="1"/>
  <c r="U364" i="1"/>
  <c r="U363" i="1"/>
  <c r="U360" i="1"/>
  <c r="U357" i="1"/>
  <c r="U359" i="1"/>
  <c r="U358" i="1"/>
  <c r="U356" i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<sst xmlns="http://schemas.openxmlformats.org/spreadsheetml/2006/main" count="527" uniqueCount="411">
  <si>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</si>
  <si>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</si>
  <si>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</si>
  <si>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</si>
  <si>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</si>
  <si>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</si>
  <si>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</si>
  <si>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</si>
  <si>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</si>
  <si>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</si>
  <si>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</si>
  <si>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</si>
  <si>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</si>
  <si>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</si>
  <si>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</si>
  <si>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</si>
  <si>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</si>
  <si>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</si>
  <si>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</si>
  <si>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</si>
  <si>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</si>
  <si>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</si>
  <si>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</si>
  <si>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</si>
  <si>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</si>
  <si>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</si>
  <si>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</si>
  <si>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</si>
  <si>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</si>
  <si>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</si>
  <si>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</si>
  <si>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</si>
  <si>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</si>
  <si>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</si>
  <si>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</si>
  <si>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</si>
  <si>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</si>
  <si>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</si>
  <si>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</si>
  <si>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</si>
  <si>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</si>
  <si>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</si>
  <si>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</si>
  <si>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</si>
  <si>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</si>
  <si>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</si>
  <si>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</si>
  <si>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</si>
  <si>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</si>
  <si>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</si>
  <si>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</si>
  <si>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</si>
  <si>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</si>
  <si>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</si>
  <si>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</si>
  <si>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</si>
  <si>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</si>
  <si>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</si>
  <si>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</si>
  <si>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</si>
  <si>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</si>
  <si>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</si>
  <si>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</si>
  <si>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</si>
  <si>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</si>
  <si>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</si>
  <si>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</si>
  <si>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</si>
  <si>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</si>
  <si>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</si>
  <si>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</si>
  <si>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</si>
  <si>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</si>
  <si>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</si>
  <si>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</si>
  <si>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</si>
  <si>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</si>
  <si>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</si>
  <si>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</si>
  <si>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</si>
  <si>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</si>
  <si>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</si>
  <si>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</si>
  <si>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</si>
  <si>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</si>
  <si>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</si>
  <si>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</si>
  <si>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</si>
  <si>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</si>
  <si>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</si>
  <si>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</si>
  <si>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</si>
  <si>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</si>
  <si>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</si>
  <si>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</si>
  <si>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</si>
  <si>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</si>
  <si>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</si>
  <si>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</si>
  <si>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</si>
  <si>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</si>
  <si>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</si>
  <si>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</si>
  <si>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</si>
  <si>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</si>
  <si>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</si>
  <si>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</si>
  <si>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</si>
  <si>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</si>
  <si>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</si>
  <si>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</si>
  <si>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</si>
  <si>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</si>
  <si>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</si>
  <si>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</si>
  <si>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</si>
  <si>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</si>
  <si>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</si>
  <si>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</si>
  <si>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</si>
  <si>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</si>
  <si>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</si>
  <si>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</si>
  <si>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</si>
  <si>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</si>
  <si>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</si>
  <si>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</si>
  <si>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</si>
  <si>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</si>
  <si>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</si>
  <si>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</si>
  <si>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</si>
  <si>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</si>
  <si>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</si>
  <si>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</si>
  <si>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</si>
  <si>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</si>
  <si>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</si>
  <si>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</si>
  <si>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</si>
  <si>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</si>
  <si>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</si>
  <si>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</si>
  <si>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</si>
  <si>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</si>
  <si>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</si>
  <si>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</si>
  <si>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</si>
  <si>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</si>
  <si>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</si>
  <si>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</si>
  <si>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</si>
  <si>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</si>
  <si>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</si>
  <si>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</si>
  <si>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</si>
  <si>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</si>
  <si>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</si>
  <si>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</si>
  <si>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</si>
  <si>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</si>
  <si>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</si>
  <si>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</si>
  <si>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</si>
  <si>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</si>
  <si>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</si>
  <si>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</si>
  <si>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</si>
  <si>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</si>
  <si>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</si>
  <si>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</si>
  <si>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</si>
  <si>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</si>
  <si>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</si>
  <si>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</si>
  <si>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</si>
  <si>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</si>
  <si>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</si>
  <si>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</si>
  <si>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</si>
  <si>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</si>
  <si>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</si>
  <si>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</si>
  <si>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</si>
  <si>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</si>
  <si>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</si>
  <si>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</si>
  <si>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</si>
  <si>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</si>
  <si>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</si>
  <si>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</si>
  <si>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</si>
  <si>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</si>
  <si>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</si>
  <si>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</si>
  <si>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</si>
  <si>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</si>
  <si>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</si>
  <si>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</si>
  <si>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</si>
  <si>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</si>
  <si>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</si>
  <si>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</si>
  <si>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</si>
  <si>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</si>
  <si>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</si>
  <si>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</si>
  <si>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</si>
  <si>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</si>
  <si>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</si>
  <si>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</si>
  <si>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</si>
  <si>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</si>
  <si>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</si>
  <si>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</si>
  <si>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</si>
  <si>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</si>
  <si>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</si>
  <si>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</si>
  <si>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</si>
  <si>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</si>
  <si>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</si>
  <si>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</si>
  <si>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</si>
  <si>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</si>
  <si>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</si>
  <si>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</si>
  <si>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</si>
  <si>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</si>
  <si>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</si>
  <si>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</si>
  <si>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</si>
  <si>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</si>
  <si>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</si>
  <si>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</si>
  <si>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</si>
  <si>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</si>
  <si>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</si>
  <si>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</si>
  <si>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</si>
  <si>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</si>
  <si>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</si>
  <si>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</si>
  <si>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</si>
  <si>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</si>
  <si>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</si>
  <si>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</si>
  <si>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</si>
  <si>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</si>
  <si>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</si>
  <si>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</si>
  <si>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</si>
  <si>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</si>
  <si>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</si>
  <si>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</si>
  <si>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</si>
  <si>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</si>
  <si>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</si>
  <si>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</si>
  <si>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</si>
  <si>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</si>
  <si>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</si>
  <si>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</si>
  <si>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</si>
  <si>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</si>
  <si>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</si>
  <si>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</si>
  <si>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</si>
  <si>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</si>
  <si>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</si>
  <si>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</si>
  <si>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</si>
  <si>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</si>
  <si>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</si>
  <si>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</si>
  <si>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</si>
  <si>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</si>
  <si>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</si>
  <si>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</si>
  <si>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</si>
  <si>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</si>
  <si>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</si>
  <si>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</si>
  <si>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</si>
  <si>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</si>
  <si>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</si>
  <si>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</si>
  <si>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</si>
  <si>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</si>
  <si>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</si>
  <si>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</si>
  <si>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</si>
  <si>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</si>
  <si>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</si>
  <si>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</si>
  <si>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</si>
  <si>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</si>
  <si>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</si>
  <si>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</si>
  <si>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</si>
  <si>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</si>
  <si>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</si>
  <si>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</si>
  <si>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</si>
  <si>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</si>
  <si>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</si>
  <si>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</si>
  <si>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</si>
  <si>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</si>
  <si>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</si>
  <si>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</si>
  <si>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</si>
  <si>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</si>
  <si>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</si>
  <si>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</si>
  <si>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</si>
  <si>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</si>
  <si>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</si>
  <si>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</si>
  <si>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</si>
  <si>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</si>
  <si>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</si>
  <si>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</si>
  <si>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</si>
  <si>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</si>
  <si>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</si>
  <si>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</si>
  <si>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</si>
  <si>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</si>
  <si>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</si>
  <si>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</si>
  <si>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</si>
  <si>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</si>
  <si>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</si>
  <si>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</si>
  <si>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</si>
  <si>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</si>
  <si>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</si>
  <si>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</si>
  <si>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</si>
  <si>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</si>
  <si>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</si>
  <si>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</si>
  <si>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</si>
  <si>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</si>
  <si>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</si>
  <si>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</si>
  <si>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</si>
  <si>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</si>
  <si>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</si>
  <si>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</si>
  <si>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</si>
  <si>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</si>
  <si>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</si>
  <si>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</si>
  <si>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</si>
  <si>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</si>
  <si>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</si>
  <si>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</si>
  <si>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</si>
  <si>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</si>
  <si>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</si>
  <si>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</si>
  <si>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</si>
  <si>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</si>
  <si>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</si>
  <si>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</si>
  <si>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</si>
  <si>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</si>
  <si>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</si>
  <si>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</si>
  <si>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</si>
  <si>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</si>
  <si>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</si>
  <si>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</si>
  <si>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</si>
  <si>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</si>
  <si>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</si>
  <si>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</si>
  <si>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</si>
  <si>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</si>
  <si>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</si>
  <si>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</si>
  <si>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</si>
  <si>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</si>
  <si>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</si>
  <si>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</si>
  <si>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</si>
  <si>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</si>
  <si>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</si>
  <si>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</si>
  <si>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</si>
  <si>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</si>
  <si>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</si>
  <si>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</si>
  <si>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</si>
  <si>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</si>
  <si>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</si>
  <si>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</si>
  <si>
    <t>IC1805</t>
    <phoneticPr fontId="1" type="noConversion"/>
  </si>
  <si>
    <t>IH1805</t>
    <phoneticPr fontId="1" type="noConversion"/>
  </si>
  <si>
    <t>IF1805</t>
    <phoneticPr fontId="1" type="noConversion"/>
  </si>
  <si>
    <t>CU1806</t>
    <phoneticPr fontId="1" type="noConversion"/>
  </si>
  <si>
    <t>HC1810</t>
    <phoneticPr fontId="1" type="noConversion"/>
  </si>
  <si>
    <t>RB1810</t>
    <phoneticPr fontId="1" type="noConversion"/>
  </si>
  <si>
    <t>ZC809</t>
    <phoneticPr fontId="1" type="noConversion"/>
  </si>
  <si>
    <t>CU1806</t>
    <phoneticPr fontId="1" type="noConversion"/>
  </si>
  <si>
    <t>P1809</t>
    <phoneticPr fontId="1" type="noConversion"/>
  </si>
  <si>
    <t>AU1806</t>
    <phoneticPr fontId="1" type="noConversion"/>
  </si>
  <si>
    <t>MA809</t>
    <phoneticPr fontId="1" type="noConversion"/>
  </si>
  <si>
    <t>MA809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</si>
</sst>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435216"/>
        <c:axId val="470431856"/>
      </c:lineChart>
      <c:dateAx>
        <c:axId val="470435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0431856"/>
        <c:crosses val="autoZero"/>
        <c:auto val="1"/>
        <c:lblOffset val="100"/>
        <c:baseTimeUnit val="days"/>
      </c:dateAx>
      <c:valAx>
        <c:axId val="4704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04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权益!$A$19:$A$84</c:f>
              <c:numCache>
                <c:formatCode>m/d/yyyy</c:formatCode>
                <c:ptCount val="66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  <c:pt idx="64">
                  <c:v>43213</c:v>
                </c:pt>
                <c:pt idx="65">
                  <c:v>43214</c:v>
                </c:pt>
              </c:numCache>
            </c:numRef>
          </c:cat>
          <c:val>
            <c:numRef>
              <c:f>权益!$C$19:$C$84</c:f>
              <c:numCache>
                <c:formatCode>0.0000</c:formatCode>
                <c:ptCount val="66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  <c:pt idx="64">
                  <c:v>0.95500669999999999</c:v>
                </c:pt>
                <c:pt idx="65">
                  <c:v>0.94666059999999996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048848"/>
        <c:axId val="475049408"/>
      </c:lineChart>
      <c:dateAx>
        <c:axId val="475048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5049408"/>
        <c:crosses val="autoZero"/>
        <c:auto val="1"/>
        <c:lblOffset val="100"/>
        <c:baseTimeUnit val="days"/>
      </c:dateAx>
      <c:valAx>
        <c:axId val="47504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504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20" activePane="bottomLeft" state="frozen"/>
      <selection pane="bottomLeft" activeCell="C84" sqref="C84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71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0.27405247813411077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0.82662949568096566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4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>
        <v>9541762</v>
      </c>
      <c r="C82" s="4">
        <f t="shared" si="1"/>
        <v>0.95417620000000003</v>
      </c>
    </row>
    <row r="83" spans="1:3">
      <c r="A83" s="2">
        <v>43213</v>
      </c>
      <c r="B83" s="25">
        <v>9550067</v>
      </c>
      <c r="C83" s="85">
        <f t="shared" si="1"/>
        <v>0.95500669999999999</v>
      </c>
    </row>
    <row r="84" spans="1:3">
      <c r="A84" s="2">
        <v>43214</v>
      </c>
      <c r="B84" s="25">
        <v>9466606</v>
      </c>
      <c r="C84" s="85">
        <f t="shared" si="1"/>
        <v>0.94666059999999996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38" activePane="bottomLeft" state="frozen"/>
      <selection pane="bottomLeft" activeCell="J362" sqref="J362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343</v>
      </c>
      <c r="V1" s="64">
        <f>COUNTIF(M2:M9991,"&gt;0")</f>
        <v>94</v>
      </c>
      <c r="W1" s="64">
        <f>COUNTIF(M2:M9991,"&lt;0")</f>
        <v>243</v>
      </c>
      <c r="X1" s="64">
        <f>SUMIF(M2:M9991,"&gt;0")</f>
        <v>1268953.45</v>
      </c>
      <c r="Y1" s="64">
        <f>ABS(SUMIF(M2:M9991,"&lt;0"))</f>
        <v>1535093.360000001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J347" s="1">
        <v>2852</v>
      </c>
      <c r="K347" s="2">
        <v>43210</v>
      </c>
      <c r="L347" s="26">
        <v>0.46666666666666662</v>
      </c>
      <c r="M347" s="16">
        <f t="shared" si="128"/>
        <v>2160</v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J350" s="1">
        <v>3608</v>
      </c>
      <c r="K350" s="2">
        <v>43210</v>
      </c>
      <c r="L350" s="26">
        <v>0.37916666666666665</v>
      </c>
      <c r="M350" s="16">
        <f t="shared" si="128"/>
        <v>5482.3999999999796</v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J353" s="1">
        <v>2143</v>
      </c>
      <c r="K353" s="2">
        <v>43210</v>
      </c>
      <c r="L353" s="26">
        <v>0.4680555555555555</v>
      </c>
      <c r="M353" s="16">
        <f t="shared" si="128"/>
        <v>-10530</v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J354" s="1">
        <v>105690</v>
      </c>
      <c r="K354" s="2">
        <v>43210</v>
      </c>
      <c r="L354" s="26">
        <v>0.37916666666666665</v>
      </c>
      <c r="M354" s="16">
        <f t="shared" si="128"/>
        <v>-35560</v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>
        <v>3487</v>
      </c>
      <c r="K355" s="19">
        <v>43210</v>
      </c>
      <c r="L355" s="31">
        <v>0.46736111111111112</v>
      </c>
      <c r="M355" s="14">
        <f t="shared" si="128"/>
        <v>-17920</v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398</v>
      </c>
      <c r="C356" s="1">
        <v>44</v>
      </c>
      <c r="D356" s="1">
        <v>2142</v>
      </c>
      <c r="E356" s="2">
        <v>43210</v>
      </c>
      <c r="F356" s="26">
        <v>0.4680555555555555</v>
      </c>
      <c r="G356" s="17">
        <v>1.4999999999999999E-2</v>
      </c>
      <c r="H356" s="52">
        <v>1</v>
      </c>
      <c r="I356" s="17">
        <f t="shared" si="127"/>
        <v>1.4999999999999999E-2</v>
      </c>
      <c r="J356" s="1">
        <v>2134</v>
      </c>
      <c r="K356" s="2">
        <v>43210</v>
      </c>
      <c r="L356" s="26">
        <v>0.62152777777777779</v>
      </c>
      <c r="M356" s="16">
        <f t="shared" si="128"/>
        <v>-3520</v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B357" s="1" t="s">
        <v>399</v>
      </c>
      <c r="C357" s="1">
        <v>-1</v>
      </c>
      <c r="D357" s="1">
        <v>5883.8</v>
      </c>
      <c r="E357" s="2">
        <v>43210</v>
      </c>
      <c r="F357" s="26">
        <v>0.4680555555555555</v>
      </c>
      <c r="G357" s="17">
        <v>1.4999999999999999E-2</v>
      </c>
      <c r="H357" s="52">
        <v>1</v>
      </c>
      <c r="I357" s="17">
        <f t="shared" si="127"/>
        <v>1.4999999999999999E-2</v>
      </c>
      <c r="J357" s="1">
        <v>5889.8</v>
      </c>
      <c r="K357" s="2">
        <v>43214</v>
      </c>
      <c r="L357" s="26">
        <v>0.45555555555555555</v>
      </c>
      <c r="M357" s="16">
        <f t="shared" si="128"/>
        <v>-1200</v>
      </c>
      <c r="S357">
        <f>IF(B357="","",VLOOKUP(Cmt(B357),Sheet2!A:B,2,FALSE))</f>
        <v>200</v>
      </c>
      <c r="T357" s="39">
        <f t="shared" si="130"/>
        <v>9520000</v>
      </c>
      <c r="U357" s="13">
        <f t="shared" si="129"/>
        <v>0.80900098575750368</v>
      </c>
      <c r="W357" s="11"/>
    </row>
    <row r="358" spans="1:23">
      <c r="B358" s="1" t="s">
        <v>400</v>
      </c>
      <c r="C358" s="1">
        <v>-1</v>
      </c>
      <c r="D358" s="1">
        <v>2653.8</v>
      </c>
      <c r="E358" s="2">
        <v>43210</v>
      </c>
      <c r="F358" s="26">
        <v>0.4680555555555555</v>
      </c>
      <c r="G358" s="17">
        <v>1.4999999999999999E-2</v>
      </c>
      <c r="H358" s="52">
        <v>1</v>
      </c>
      <c r="I358" s="17">
        <f t="shared" si="127"/>
        <v>1.4999999999999999E-2</v>
      </c>
      <c r="J358" s="1">
        <v>2724.4</v>
      </c>
      <c r="K358" s="2">
        <v>43214</v>
      </c>
      <c r="L358" s="26">
        <v>0.4201388888888889</v>
      </c>
      <c r="M358" s="16">
        <f t="shared" si="128"/>
        <v>-21179.999999999971</v>
      </c>
      <c r="S358">
        <f>IF(B358="","",VLOOKUP(Cmt(B358),Sheet2!A:B,2,FALSE))</f>
        <v>300</v>
      </c>
      <c r="T358" s="39">
        <f t="shared" si="130"/>
        <v>9520000</v>
      </c>
      <c r="U358" s="13">
        <f t="shared" si="129"/>
        <v>1.1957695882633708</v>
      </c>
      <c r="W358" s="11"/>
    </row>
    <row r="359" spans="1:23" ht="14.25" thickBot="1">
      <c r="A359" s="34"/>
      <c r="B359" s="34" t="s">
        <v>401</v>
      </c>
      <c r="C359" s="34">
        <v>-1</v>
      </c>
      <c r="D359" s="34">
        <v>3764</v>
      </c>
      <c r="E359" s="38">
        <v>43210</v>
      </c>
      <c r="F359" s="35">
        <v>0.4680555555555555</v>
      </c>
      <c r="G359" s="36">
        <v>1.4999999999999999E-2</v>
      </c>
      <c r="H359" s="53">
        <v>1</v>
      </c>
      <c r="I359" s="36">
        <f t="shared" si="127"/>
        <v>1.4999999999999999E-2</v>
      </c>
      <c r="J359" s="34">
        <v>3817.6</v>
      </c>
      <c r="K359" s="38">
        <v>43214</v>
      </c>
      <c r="L359" s="35">
        <v>0.4201388888888889</v>
      </c>
      <c r="M359" s="40">
        <f t="shared" si="128"/>
        <v>-16079.999999999973</v>
      </c>
      <c r="N359" s="34"/>
      <c r="O359" s="34"/>
      <c r="P359" s="37"/>
      <c r="Q359" s="37"/>
      <c r="R359" s="37"/>
      <c r="S359">
        <f>IF(B359="","",VLOOKUP(Cmt(B359),Sheet2!A:B,2,FALSE))</f>
        <v>300</v>
      </c>
      <c r="T359" s="39">
        <f t="shared" si="130"/>
        <v>9520000</v>
      </c>
      <c r="U359" s="13">
        <f t="shared" si="129"/>
        <v>0.84307474318101305</v>
      </c>
      <c r="W359" s="11"/>
    </row>
    <row r="360" spans="1:23">
      <c r="A360" s="70">
        <v>43213</v>
      </c>
      <c r="B360" s="69" t="s">
        <v>402</v>
      </c>
      <c r="C360" s="69">
        <v>5</v>
      </c>
      <c r="D360" s="69">
        <v>51630</v>
      </c>
      <c r="E360" s="70">
        <v>43213</v>
      </c>
      <c r="F360" s="71">
        <v>0.37986111111111115</v>
      </c>
      <c r="G360" s="72">
        <v>1.9E-2</v>
      </c>
      <c r="H360" s="73">
        <v>1</v>
      </c>
      <c r="I360" s="72">
        <f t="shared" si="127"/>
        <v>1.9E-2</v>
      </c>
      <c r="J360" s="69">
        <v>51440</v>
      </c>
      <c r="K360" s="70">
        <v>43213</v>
      </c>
      <c r="L360" s="71">
        <v>0.96250000000000002</v>
      </c>
      <c r="M360" s="74">
        <f t="shared" si="128"/>
        <v>-4750</v>
      </c>
      <c r="N360" s="69"/>
      <c r="O360" s="69"/>
      <c r="P360" s="75"/>
      <c r="Q360" s="75"/>
      <c r="R360" s="75"/>
      <c r="S360">
        <f>IF(B360="","",VLOOKUP(Cmt(B360),Sheet2!A:B,2,FALSE))</f>
        <v>5</v>
      </c>
      <c r="T360" s="39">
        <f t="shared" si="130"/>
        <v>9520000</v>
      </c>
      <c r="U360" s="13">
        <f t="shared" si="129"/>
        <v>4.6711860029698498</v>
      </c>
      <c r="W360" s="11"/>
    </row>
    <row r="361" spans="1:23">
      <c r="A361" s="2">
        <v>43214</v>
      </c>
      <c r="B361" s="1" t="s">
        <v>406</v>
      </c>
      <c r="C361" s="1">
        <v>-8</v>
      </c>
      <c r="D361" s="1">
        <v>51435</v>
      </c>
      <c r="E361" s="2">
        <v>43213</v>
      </c>
      <c r="F361" s="26">
        <v>0.96250000000000002</v>
      </c>
      <c r="I361" s="17" t="str">
        <f t="shared" si="127"/>
        <v/>
      </c>
      <c r="J361" s="1">
        <v>51430</v>
      </c>
      <c r="K361" s="2">
        <v>43214</v>
      </c>
      <c r="L361" s="26">
        <v>0.38680555555555557</v>
      </c>
      <c r="M361" s="16">
        <f t="shared" si="128"/>
        <v>200</v>
      </c>
      <c r="S361">
        <f>IF(B361="","",VLOOKUP(Cmt(B361),Sheet2!A:B,2,FALSE))</f>
        <v>5</v>
      </c>
      <c r="T361" s="39">
        <v>9550000</v>
      </c>
      <c r="U361" s="13" t="e">
        <f t="shared" si="129"/>
        <v>#VALUE!</v>
      </c>
      <c r="W361" s="11"/>
    </row>
    <row r="362" spans="1:23">
      <c r="B362" s="1" t="s">
        <v>409</v>
      </c>
      <c r="C362" s="1">
        <v>-55</v>
      </c>
      <c r="D362" s="1">
        <v>2700</v>
      </c>
      <c r="E362" s="2">
        <v>43213</v>
      </c>
      <c r="F362" s="26">
        <v>0.96319444444444446</v>
      </c>
      <c r="I362" s="17" t="str">
        <f t="shared" si="127"/>
        <v/>
      </c>
      <c r="J362" s="1">
        <v>2707</v>
      </c>
      <c r="K362" s="2">
        <v>43214</v>
      </c>
      <c r="L362" s="26">
        <v>0.38680555555555557</v>
      </c>
      <c r="M362" s="16">
        <f t="shared" si="128"/>
        <v>-3850</v>
      </c>
      <c r="S362">
        <f>IF(B362="","",VLOOKUP(Cmt(B362),Sheet2!A:B,2,FALSE))</f>
        <v>10</v>
      </c>
      <c r="T362" s="39">
        <v>9550000</v>
      </c>
      <c r="U362" s="13" t="e">
        <f t="shared" si="129"/>
        <v>#VALUE!</v>
      </c>
      <c r="W362" s="11"/>
    </row>
    <row r="363" spans="1:23">
      <c r="B363" s="1" t="s">
        <v>403</v>
      </c>
      <c r="C363" s="1">
        <v>55</v>
      </c>
      <c r="D363" s="1">
        <v>3695</v>
      </c>
      <c r="E363" s="2">
        <v>43214</v>
      </c>
      <c r="F363" s="26">
        <v>0.38472222222222219</v>
      </c>
      <c r="G363" s="17">
        <v>3.2000000000000001E-2</v>
      </c>
      <c r="H363" s="52">
        <v>1</v>
      </c>
      <c r="I363" s="17">
        <f t="shared" si="127"/>
        <v>3.2000000000000001E-2</v>
      </c>
      <c r="M363" s="16" t="str">
        <f t="shared" si="128"/>
        <v/>
      </c>
      <c r="S363">
        <f>IF(B363="","",VLOOKUP(Cmt(B363),Sheet2!A:B,2,FALSE))</f>
        <v>10</v>
      </c>
      <c r="T363" s="39">
        <v>9550000</v>
      </c>
      <c r="U363" s="13">
        <f t="shared" si="129"/>
        <v>55.137573297248537</v>
      </c>
      <c r="W363" s="11"/>
    </row>
    <row r="364" spans="1:23">
      <c r="B364" s="1" t="s">
        <v>404</v>
      </c>
      <c r="C364" s="1">
        <v>55</v>
      </c>
      <c r="D364" s="1">
        <v>3561</v>
      </c>
      <c r="E364" s="2">
        <v>43214</v>
      </c>
      <c r="F364" s="26">
        <v>0.38472222222222219</v>
      </c>
      <c r="G364" s="17">
        <v>3.1E-2</v>
      </c>
      <c r="H364" s="52">
        <v>1</v>
      </c>
      <c r="I364" s="17">
        <f t="shared" si="127"/>
        <v>3.1E-2</v>
      </c>
      <c r="M364" s="16" t="str">
        <f t="shared" si="128"/>
        <v/>
      </c>
      <c r="S364">
        <f>IF(B364="","",VLOOKUP(Cmt(B364),Sheet2!A:B,2,FALSE))</f>
        <v>10</v>
      </c>
      <c r="T364" s="39">
        <f t="shared" si="130"/>
        <v>9550000</v>
      </c>
      <c r="U364" s="13">
        <f t="shared" si="129"/>
        <v>55.424506224843206</v>
      </c>
      <c r="W364" s="11"/>
    </row>
    <row r="365" spans="1:23">
      <c r="B365" s="1" t="s">
        <v>405</v>
      </c>
      <c r="C365" s="1">
        <v>12</v>
      </c>
      <c r="D365" s="1">
        <v>602</v>
      </c>
      <c r="E365" s="2">
        <v>43214</v>
      </c>
      <c r="F365" s="26">
        <v>0.38472222222222219</v>
      </c>
      <c r="G365" s="17">
        <v>1.0999999999999999E-2</v>
      </c>
      <c r="H365" s="52">
        <v>1</v>
      </c>
      <c r="I365" s="17">
        <f t="shared" si="127"/>
        <v>1.0999999999999999E-2</v>
      </c>
      <c r="M365" s="16" t="str">
        <f t="shared" si="128"/>
        <v/>
      </c>
      <c r="S365">
        <f>IF(B365="","",VLOOKUP(Cmt(B365),Sheet2!A:B,2,FALSE))</f>
        <v>100</v>
      </c>
      <c r="T365" s="39">
        <f t="shared" si="130"/>
        <v>9550000</v>
      </c>
      <c r="U365" s="13">
        <f t="shared" si="129"/>
        <v>11.63344407530454</v>
      </c>
      <c r="W365" s="11"/>
    </row>
    <row r="366" spans="1:23">
      <c r="B366" s="1" t="s">
        <v>406</v>
      </c>
      <c r="C366" s="1">
        <v>5</v>
      </c>
      <c r="D366" s="1">
        <v>51430</v>
      </c>
      <c r="E366" s="2">
        <v>43214</v>
      </c>
      <c r="F366" s="26">
        <v>0.38472222222222219</v>
      </c>
      <c r="G366" s="17">
        <v>1.9E-2</v>
      </c>
      <c r="H366" s="52">
        <v>1</v>
      </c>
      <c r="I366" s="17">
        <f t="shared" si="127"/>
        <v>1.9E-2</v>
      </c>
      <c r="M366" s="16" t="str">
        <f t="shared" si="128"/>
        <v/>
      </c>
      <c r="S366">
        <f>IF(B366="","",VLOOKUP(Cmt(B366),Sheet2!A:B,2,FALSE))</f>
        <v>5</v>
      </c>
      <c r="T366" s="39">
        <f t="shared" si="130"/>
        <v>9550000</v>
      </c>
      <c r="U366" s="13">
        <f t="shared" si="129"/>
        <v>4.7041285890206757</v>
      </c>
      <c r="W366" s="11"/>
    </row>
    <row r="367" spans="1:23">
      <c r="B367" s="1" t="s">
        <v>407</v>
      </c>
      <c r="C367" s="1">
        <v>-23</v>
      </c>
      <c r="D367" s="1">
        <v>4988</v>
      </c>
      <c r="E367" s="2">
        <v>43214</v>
      </c>
      <c r="F367" s="26">
        <v>0.38472222222222219</v>
      </c>
      <c r="G367" s="17">
        <v>1.7999999999999999E-2</v>
      </c>
      <c r="H367" s="52">
        <v>1</v>
      </c>
      <c r="I367" s="17">
        <f t="shared" si="127"/>
        <v>1.7999999999999999E-2</v>
      </c>
      <c r="M367" s="16" t="str">
        <f t="shared" si="128"/>
        <v/>
      </c>
      <c r="S367">
        <f>IF(B367="","",VLOOKUP(Cmt(B367),Sheet2!A:B,2,FALSE))</f>
        <v>10</v>
      </c>
      <c r="T367" s="39">
        <f t="shared" si="130"/>
        <v>9550000</v>
      </c>
      <c r="U367" s="13">
        <f t="shared" si="129"/>
        <v>22.975140336808341</v>
      </c>
      <c r="W367" s="11"/>
    </row>
    <row r="368" spans="1:23">
      <c r="B368" s="1" t="s">
        <v>408</v>
      </c>
      <c r="C368" s="1">
        <v>-2</v>
      </c>
      <c r="D368" s="1">
        <v>271.60000000000002</v>
      </c>
      <c r="E368" s="2">
        <v>43214</v>
      </c>
      <c r="F368" s="26">
        <v>0.38472222222222219</v>
      </c>
      <c r="G368" s="17">
        <v>7.0000000000000001E-3</v>
      </c>
      <c r="H368" s="52">
        <v>1</v>
      </c>
      <c r="I368" s="17">
        <f t="shared" si="127"/>
        <v>7.0000000000000001E-3</v>
      </c>
      <c r="J368" s="1">
        <v>272.10000000000002</v>
      </c>
      <c r="K368" s="2">
        <v>43214</v>
      </c>
      <c r="L368" s="26">
        <v>0.57291666666666663</v>
      </c>
      <c r="M368" s="16">
        <f t="shared" si="128"/>
        <v>-1000</v>
      </c>
      <c r="S368">
        <f>IF(B368="","",VLOOKUP(Cmt(B368),Sheet2!A:B,2,FALSE))</f>
        <v>1000</v>
      </c>
      <c r="T368" s="39">
        <f t="shared" si="130"/>
        <v>9550000</v>
      </c>
      <c r="U368" s="13">
        <f t="shared" si="129"/>
        <v>1.640893470790378</v>
      </c>
      <c r="W368" s="11"/>
    </row>
    <row r="369" spans="2:23">
      <c r="B369" s="1" t="s">
        <v>410</v>
      </c>
      <c r="C369" s="1">
        <v>37</v>
      </c>
      <c r="D369" s="1">
        <v>2731</v>
      </c>
      <c r="E369" s="2">
        <v>43214</v>
      </c>
      <c r="F369" s="26">
        <v>0.57361111111111118</v>
      </c>
      <c r="G369" s="17">
        <v>1.6E-2</v>
      </c>
      <c r="H369" s="52">
        <v>1</v>
      </c>
      <c r="I369" s="17">
        <f t="shared" si="127"/>
        <v>1.6E-2</v>
      </c>
      <c r="M369" s="16" t="str">
        <f t="shared" si="128"/>
        <v/>
      </c>
      <c r="S369">
        <f>IF(B369="","",VLOOKUP(Cmt(B369),Sheet2!A:B,2,FALSE))</f>
        <v>10</v>
      </c>
      <c r="T369" s="39">
        <f t="shared" si="130"/>
        <v>9550000</v>
      </c>
      <c r="U369" s="13">
        <f t="shared" si="129"/>
        <v>37.300134260954472</v>
      </c>
      <c r="W369" s="11"/>
    </row>
    <row r="370" spans="2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2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2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2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2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2018-04-24T08:42:23Z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