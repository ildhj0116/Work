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6" i="2" l="1"/>
  <c r="C37" i="2"/>
  <c r="C38" i="2"/>
  <c r="C39" i="2"/>
  <c r="C40" i="2"/>
  <c r="C41" i="2"/>
  <c r="C42" i="2"/>
  <c r="C32" i="2" l="1"/>
  <c r="C33" i="2"/>
  <c r="C34" i="2"/>
  <c r="C35" i="2"/>
  <c r="H45" i="5"/>
  <c r="H40" i="5"/>
  <c r="H10" i="5"/>
  <c r="H22" i="5"/>
  <c r="H4" i="5"/>
  <c r="H16" i="5"/>
  <c r="H46" i="5"/>
  <c r="H6" i="5"/>
  <c r="H12" i="5"/>
  <c r="H49" i="5"/>
  <c r="H42" i="5"/>
  <c r="H24" i="5"/>
  <c r="H9" i="5"/>
  <c r="H50" i="5"/>
  <c r="H3" i="5"/>
  <c r="H25" i="5"/>
  <c r="H11" i="5"/>
  <c r="H21" i="5"/>
  <c r="H17" i="5"/>
  <c r="H35" i="5"/>
  <c r="H5" i="5"/>
  <c r="H30" i="5"/>
  <c r="H36" i="5"/>
  <c r="H34" i="5"/>
  <c r="H23" i="5"/>
  <c r="H27" i="5"/>
  <c r="H51" i="5"/>
  <c r="H28" i="5"/>
  <c r="H44" i="5"/>
  <c r="H14" i="5"/>
  <c r="H29" i="5"/>
  <c r="H38" i="5"/>
  <c r="H31" i="5"/>
  <c r="H43" i="5"/>
  <c r="H18" i="5"/>
  <c r="H8" i="5"/>
  <c r="H37" i="5"/>
  <c r="H39" i="5"/>
  <c r="H48" i="5"/>
  <c r="H33" i="5"/>
  <c r="H26" i="5"/>
  <c r="H52" i="5"/>
  <c r="H13" i="5"/>
  <c r="H47" i="5"/>
  <c r="H53" i="5"/>
  <c r="H7" i="5"/>
  <c r="H19" i="5"/>
  <c r="H54" i="5"/>
  <c r="H20" i="5"/>
  <c r="H15" i="5"/>
  <c r="H55" i="5"/>
  <c r="H32" i="5"/>
  <c r="H2" i="5"/>
  <c r="H56" i="5"/>
  <c r="H57" i="5"/>
  <c r="H41" i="5"/>
  <c r="S56" i="5"/>
  <c r="S19" i="5"/>
  <c r="S55" i="5"/>
  <c r="S31" i="5"/>
  <c r="S2" i="5"/>
  <c r="S45" i="5"/>
  <c r="S34" i="5"/>
  <c r="S3" i="5"/>
  <c r="S44" i="5"/>
  <c r="S52" i="5"/>
  <c r="S29" i="5"/>
  <c r="S17" i="5"/>
  <c r="S54" i="5"/>
  <c r="S57" i="5"/>
  <c r="S16" i="5"/>
  <c r="S48" i="5"/>
  <c r="S40" i="5"/>
  <c r="S28" i="5"/>
  <c r="S49" i="5"/>
  <c r="S50" i="5"/>
  <c r="S42" i="5"/>
  <c r="S18" i="5"/>
  <c r="S30" i="5"/>
  <c r="S10" i="5"/>
  <c r="S21" i="5"/>
  <c r="S4" i="5"/>
  <c r="S25" i="5"/>
  <c r="S41" i="5"/>
  <c r="S8" i="5"/>
  <c r="S43" i="5"/>
  <c r="S39" i="5"/>
  <c r="S5" i="5"/>
  <c r="S24" i="5"/>
  <c r="S20" i="5"/>
  <c r="S9" i="5"/>
  <c r="S53" i="5"/>
  <c r="S13" i="5"/>
  <c r="S47" i="5"/>
  <c r="S6" i="5"/>
  <c r="S46" i="5"/>
  <c r="S36" i="5"/>
  <c r="S26" i="5"/>
  <c r="S32" i="5"/>
  <c r="S7" i="5"/>
  <c r="S27" i="5"/>
  <c r="S22" i="5"/>
  <c r="S51" i="5"/>
  <c r="S23" i="5"/>
  <c r="S33" i="5"/>
  <c r="S38" i="5"/>
  <c r="S15" i="5"/>
  <c r="S14" i="5"/>
  <c r="S12" i="5"/>
  <c r="S37" i="5"/>
  <c r="S35" i="5"/>
  <c r="S11" i="5"/>
  <c r="S164" i="1"/>
  <c r="M2" i="5" l="1"/>
  <c r="M34" i="5"/>
  <c r="M26" i="5"/>
  <c r="M37" i="5"/>
  <c r="M25" i="5"/>
  <c r="M44" i="5"/>
  <c r="M24" i="5"/>
  <c r="M35" i="5"/>
  <c r="M31" i="5"/>
  <c r="M13" i="5"/>
  <c r="M29" i="5"/>
  <c r="M3" i="5"/>
  <c r="M46" i="5"/>
  <c r="M15" i="5"/>
  <c r="M41" i="5"/>
  <c r="M32" i="5"/>
  <c r="M47" i="5"/>
  <c r="M33" i="5"/>
  <c r="M8" i="5"/>
  <c r="M38" i="5"/>
  <c r="M28" i="5"/>
  <c r="M6" i="5"/>
  <c r="M22" i="5"/>
  <c r="M48" i="5"/>
  <c r="M36" i="5"/>
  <c r="M10" i="5"/>
  <c r="M39" i="5"/>
  <c r="M14" i="5"/>
  <c r="M27" i="5"/>
  <c r="M30" i="5"/>
  <c r="M21" i="5"/>
  <c r="M50" i="5"/>
  <c r="M49" i="5"/>
  <c r="M16" i="5"/>
  <c r="M40" i="5"/>
  <c r="M19" i="5"/>
  <c r="M18" i="5"/>
  <c r="M17" i="5"/>
  <c r="M42" i="5"/>
  <c r="M7" i="5"/>
  <c r="M43" i="5"/>
  <c r="M20" i="5"/>
  <c r="M23" i="5"/>
  <c r="M5" i="5"/>
  <c r="M11" i="5"/>
  <c r="M9" i="5"/>
  <c r="M4" i="5"/>
  <c r="M45" i="5"/>
  <c r="M12" i="5"/>
  <c r="J225" i="1"/>
  <c r="I223" i="1" l="1"/>
  <c r="I222" i="1"/>
  <c r="S267" i="1" l="1"/>
  <c r="S268" i="1"/>
  <c r="U268" i="1" s="1"/>
  <c r="S269" i="1"/>
  <c r="T269" i="1" s="1"/>
  <c r="S270" i="1"/>
  <c r="T270" i="1" s="1"/>
  <c r="S271" i="1"/>
  <c r="S272" i="1"/>
  <c r="U272" i="1" s="1"/>
  <c r="S273" i="1"/>
  <c r="T273" i="1" s="1"/>
  <c r="S274" i="1"/>
  <c r="T274" i="1" s="1"/>
  <c r="S275" i="1"/>
  <c r="S276" i="1"/>
  <c r="U276" i="1" s="1"/>
  <c r="S277" i="1"/>
  <c r="T277" i="1" s="1"/>
  <c r="S278" i="1"/>
  <c r="T278" i="1" s="1"/>
  <c r="S279" i="1"/>
  <c r="S280" i="1"/>
  <c r="U280" i="1" s="1"/>
  <c r="S281" i="1"/>
  <c r="T281" i="1" s="1"/>
  <c r="S282" i="1"/>
  <c r="T282" i="1" s="1"/>
  <c r="S283" i="1"/>
  <c r="S284" i="1"/>
  <c r="U284" i="1" s="1"/>
  <c r="S285" i="1"/>
  <c r="T285" i="1" s="1"/>
  <c r="S286" i="1"/>
  <c r="T286" i="1" s="1"/>
  <c r="S287" i="1"/>
  <c r="S288" i="1"/>
  <c r="U288" i="1" s="1"/>
  <c r="S289" i="1"/>
  <c r="T289" i="1" s="1"/>
  <c r="S290" i="1"/>
  <c r="T290" i="1" s="1"/>
  <c r="S291" i="1"/>
  <c r="S292" i="1"/>
  <c r="U292" i="1" s="1"/>
  <c r="S293" i="1"/>
  <c r="T293" i="1" s="1"/>
  <c r="S294" i="1"/>
  <c r="T294" i="1" s="1"/>
  <c r="S295" i="1"/>
  <c r="S296" i="1"/>
  <c r="U296" i="1" s="1"/>
  <c r="S297" i="1"/>
  <c r="T297" i="1" s="1"/>
  <c r="S298" i="1"/>
  <c r="T298" i="1" s="1"/>
  <c r="S299" i="1"/>
  <c r="S300" i="1"/>
  <c r="U300" i="1" s="1"/>
  <c r="S301" i="1"/>
  <c r="T301" i="1" s="1"/>
  <c r="S302" i="1"/>
  <c r="T302" i="1" s="1"/>
  <c r="S303" i="1"/>
  <c r="S304" i="1"/>
  <c r="U304" i="1" s="1"/>
  <c r="S305" i="1"/>
  <c r="T305" i="1" s="1"/>
  <c r="S306" i="1"/>
  <c r="T306" i="1" s="1"/>
  <c r="S307" i="1"/>
  <c r="S308" i="1"/>
  <c r="U308" i="1" s="1"/>
  <c r="S309" i="1"/>
  <c r="T309" i="1" s="1"/>
  <c r="S310" i="1"/>
  <c r="T310" i="1" s="1"/>
  <c r="S311" i="1"/>
  <c r="S312" i="1"/>
  <c r="U312" i="1" s="1"/>
  <c r="S313" i="1"/>
  <c r="T313" i="1" s="1"/>
  <c r="S314" i="1"/>
  <c r="T314" i="1" s="1"/>
  <c r="S315" i="1"/>
  <c r="S316" i="1"/>
  <c r="U316" i="1" s="1"/>
  <c r="S317" i="1"/>
  <c r="T317" i="1" s="1"/>
  <c r="S318" i="1"/>
  <c r="T318" i="1" s="1"/>
  <c r="S319" i="1"/>
  <c r="S320" i="1"/>
  <c r="U320" i="1" s="1"/>
  <c r="S321" i="1"/>
  <c r="T321" i="1" s="1"/>
  <c r="S322" i="1"/>
  <c r="T322" i="1" s="1"/>
  <c r="S323" i="1"/>
  <c r="S324" i="1"/>
  <c r="U324" i="1" s="1"/>
  <c r="S325" i="1"/>
  <c r="T325" i="1" s="1"/>
  <c r="S326" i="1"/>
  <c r="T326" i="1" s="1"/>
  <c r="S327" i="1"/>
  <c r="S328" i="1"/>
  <c r="U328" i="1" s="1"/>
  <c r="S329" i="1"/>
  <c r="T329" i="1" s="1"/>
  <c r="S330" i="1"/>
  <c r="T330" i="1" s="1"/>
  <c r="S331" i="1"/>
  <c r="S332" i="1"/>
  <c r="U332" i="1" s="1"/>
  <c r="S333" i="1"/>
  <c r="T333" i="1" s="1"/>
  <c r="S334" i="1"/>
  <c r="T334" i="1" s="1"/>
  <c r="S335" i="1"/>
  <c r="S336" i="1"/>
  <c r="U336" i="1" s="1"/>
  <c r="S337" i="1"/>
  <c r="T337" i="1" s="1"/>
  <c r="S338" i="1"/>
  <c r="T338" i="1" s="1"/>
  <c r="S339" i="1"/>
  <c r="S340" i="1"/>
  <c r="U340" i="1" s="1"/>
  <c r="S341" i="1"/>
  <c r="T341" i="1" s="1"/>
  <c r="S342" i="1"/>
  <c r="T342" i="1" s="1"/>
  <c r="S343" i="1"/>
  <c r="S344" i="1"/>
  <c r="U344" i="1" s="1"/>
  <c r="S345" i="1"/>
  <c r="T345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25" i="1"/>
  <c r="S28" i="1"/>
  <c r="S29" i="1"/>
  <c r="S30" i="1"/>
  <c r="S31" i="1"/>
  <c r="S32" i="1"/>
  <c r="S34" i="1"/>
  <c r="M263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I215" i="1"/>
  <c r="S211" i="1"/>
  <c r="S263" i="1"/>
  <c r="S15" i="1"/>
  <c r="S64" i="1"/>
  <c r="S217" i="1"/>
  <c r="S68" i="1"/>
  <c r="S109" i="1"/>
  <c r="S39" i="1"/>
  <c r="S228" i="1"/>
  <c r="S20" i="1"/>
  <c r="S56" i="1"/>
  <c r="S52" i="1"/>
  <c r="S265" i="1"/>
  <c r="S190" i="1"/>
  <c r="S115" i="1"/>
  <c r="S170" i="1"/>
  <c r="S238" i="1"/>
  <c r="S38" i="1"/>
  <c r="S241" i="1"/>
  <c r="S166" i="1"/>
  <c r="S204" i="1"/>
  <c r="S126" i="1"/>
  <c r="S255" i="1"/>
  <c r="S165" i="1"/>
  <c r="S96" i="1"/>
  <c r="S8" i="1"/>
  <c r="S198" i="1"/>
  <c r="S107" i="1"/>
  <c r="S46" i="1"/>
  <c r="S134" i="1"/>
  <c r="S58" i="1"/>
  <c r="S191" i="1"/>
  <c r="S74" i="1"/>
  <c r="S234" i="1"/>
  <c r="S184" i="1"/>
  <c r="S100" i="1"/>
  <c r="S262" i="1"/>
  <c r="S180" i="1"/>
  <c r="S205" i="1"/>
  <c r="S207" i="1"/>
  <c r="S214" i="1"/>
  <c r="S185" i="1"/>
  <c r="S19" i="1"/>
  <c r="S102" i="1"/>
  <c r="S254" i="1"/>
  <c r="S86" i="1"/>
  <c r="S11" i="1"/>
  <c r="S136" i="1"/>
  <c r="S236" i="1"/>
  <c r="S110" i="1"/>
  <c r="S22" i="1"/>
  <c r="S60" i="1"/>
  <c r="S195" i="1"/>
  <c r="S71" i="1"/>
  <c r="S218" i="1"/>
  <c r="S82" i="1"/>
  <c r="S158" i="1"/>
  <c r="S194" i="1"/>
  <c r="S174" i="1"/>
  <c r="S154" i="1"/>
  <c r="S137" i="1"/>
  <c r="S227" i="1"/>
  <c r="S127" i="1"/>
  <c r="S23" i="1"/>
  <c r="S151" i="1"/>
  <c r="S162" i="1"/>
  <c r="S93" i="1"/>
  <c r="S122" i="1"/>
  <c r="S215" i="1"/>
  <c r="S91" i="1"/>
  <c r="S124" i="1"/>
  <c r="S9" i="1"/>
  <c r="S50" i="1"/>
  <c r="S121" i="1"/>
  <c r="S150" i="1"/>
  <c r="S98" i="1"/>
  <c r="S159" i="1"/>
  <c r="S261" i="1"/>
  <c r="S213" i="1"/>
  <c r="S186" i="1"/>
  <c r="S18" i="1"/>
  <c r="S188" i="1"/>
  <c r="S222" i="1"/>
  <c r="S168" i="1"/>
  <c r="S140" i="1"/>
  <c r="S119" i="1"/>
  <c r="S63" i="1"/>
  <c r="S149" i="1"/>
  <c r="S202" i="1"/>
  <c r="S176" i="1"/>
  <c r="S143" i="1"/>
  <c r="S72" i="1"/>
  <c r="S45" i="1"/>
  <c r="S259" i="1"/>
  <c r="S244" i="1"/>
  <c r="S249" i="1"/>
  <c r="S112" i="1"/>
  <c r="S36" i="1"/>
  <c r="S130" i="1"/>
  <c r="S253" i="1"/>
  <c r="S240" i="1"/>
  <c r="S212" i="1"/>
  <c r="S101" i="1"/>
  <c r="S160" i="1"/>
  <c r="S84" i="1"/>
  <c r="S232" i="1"/>
  <c r="S35" i="1"/>
  <c r="S57" i="1"/>
  <c r="S139" i="1"/>
  <c r="S173" i="1"/>
  <c r="S196" i="1"/>
  <c r="S108" i="1"/>
  <c r="S178" i="1"/>
  <c r="S172" i="1"/>
  <c r="S51" i="1"/>
  <c r="S230" i="1"/>
  <c r="S197" i="1"/>
  <c r="S80" i="1"/>
  <c r="S62" i="1"/>
  <c r="S94" i="1"/>
  <c r="S199" i="1"/>
  <c r="S69" i="1"/>
  <c r="S192" i="1"/>
  <c r="S147" i="1"/>
  <c r="S248" i="1"/>
  <c r="S157" i="1"/>
  <c r="S53" i="1"/>
  <c r="S132" i="1"/>
  <c r="S95" i="1"/>
  <c r="S41" i="1"/>
  <c r="S79" i="1"/>
  <c r="S99" i="1"/>
  <c r="S26" i="1"/>
  <c r="S209" i="1"/>
  <c r="S257" i="1"/>
  <c r="S81" i="1"/>
  <c r="S229" i="1"/>
  <c r="S138" i="1"/>
  <c r="S49" i="1"/>
  <c r="S183" i="1"/>
  <c r="S10" i="1"/>
  <c r="S135" i="1"/>
  <c r="S201" i="1"/>
  <c r="S33" i="1"/>
  <c r="S233" i="1"/>
  <c r="S181" i="1"/>
  <c r="S13" i="1"/>
  <c r="S252" i="1"/>
  <c r="S251" i="1"/>
  <c r="S104" i="1"/>
  <c r="S47" i="1"/>
  <c r="S247" i="1"/>
  <c r="S24" i="1"/>
  <c r="S75" i="1"/>
  <c r="S145" i="1"/>
  <c r="S6" i="1"/>
  <c r="S77" i="1"/>
  <c r="S67" i="1"/>
  <c r="S208" i="1"/>
  <c r="S92" i="1"/>
  <c r="S148" i="1"/>
  <c r="S78" i="1"/>
  <c r="S161" i="1"/>
  <c r="S200" i="1"/>
  <c r="S152" i="1"/>
  <c r="S55" i="1"/>
  <c r="S2" i="1"/>
  <c r="S193" i="1"/>
  <c r="S85" i="1"/>
  <c r="S133" i="1"/>
  <c r="S4" i="1"/>
  <c r="S235" i="1"/>
  <c r="S153" i="1"/>
  <c r="S171" i="1"/>
  <c r="S223" i="1"/>
  <c r="S245" i="1"/>
  <c r="S76" i="1"/>
  <c r="S123" i="1"/>
  <c r="S12" i="1"/>
  <c r="S42" i="1"/>
  <c r="S156" i="1"/>
  <c r="S163" i="1"/>
  <c r="S177" i="1"/>
  <c r="S87" i="1"/>
  <c r="S243" i="1"/>
  <c r="S256" i="1"/>
  <c r="S187" i="1"/>
  <c r="S70" i="1"/>
  <c r="S144" i="1"/>
  <c r="S118" i="1"/>
  <c r="S103" i="1"/>
  <c r="S155" i="1"/>
  <c r="S114" i="1"/>
  <c r="S225" i="1"/>
  <c r="S237" i="1"/>
  <c r="S106" i="1"/>
  <c r="S264" i="1"/>
  <c r="S182" i="1"/>
  <c r="S221" i="1"/>
  <c r="S16" i="1"/>
  <c r="S66" i="1"/>
  <c r="S206" i="1"/>
  <c r="S216" i="1"/>
  <c r="S40" i="1"/>
  <c r="S90" i="1"/>
  <c r="S117" i="1"/>
  <c r="S231" i="1"/>
  <c r="S167" i="1"/>
  <c r="S266" i="1"/>
  <c r="S88" i="1"/>
  <c r="S131" i="1"/>
  <c r="S224" i="1"/>
  <c r="S73" i="1"/>
  <c r="S27" i="1"/>
  <c r="S44" i="1"/>
  <c r="S169" i="1"/>
  <c r="S219" i="1"/>
  <c r="S146" i="1"/>
  <c r="S189" i="1"/>
  <c r="S250" i="1"/>
  <c r="S5" i="1"/>
  <c r="S61" i="1"/>
  <c r="S120" i="1"/>
  <c r="S48" i="1"/>
  <c r="S246" i="1"/>
  <c r="S97" i="1"/>
  <c r="S260" i="1"/>
  <c r="S129" i="1"/>
  <c r="S21" i="1"/>
  <c r="S226" i="1"/>
  <c r="S111" i="1"/>
  <c r="S65" i="1"/>
  <c r="S3" i="1"/>
  <c r="S128" i="1"/>
  <c r="S54" i="1"/>
  <c r="S59" i="1"/>
  <c r="S203" i="1"/>
  <c r="S210" i="1"/>
  <c r="S258" i="1"/>
  <c r="S242" i="1"/>
  <c r="S116" i="1"/>
  <c r="S175" i="1"/>
  <c r="S17" i="1"/>
  <c r="S142" i="1"/>
  <c r="S37" i="1"/>
  <c r="S125" i="1"/>
  <c r="S105" i="1"/>
  <c r="S14" i="1"/>
  <c r="S141" i="1"/>
  <c r="S83" i="1"/>
  <c r="S7" i="1"/>
  <c r="S220" i="1"/>
  <c r="S113" i="1"/>
  <c r="S179" i="1"/>
  <c r="S43" i="1"/>
  <c r="S239" i="1"/>
  <c r="S89" i="1"/>
  <c r="M265" i="1" l="1"/>
  <c r="M258" i="1"/>
  <c r="M254" i="1"/>
  <c r="M260" i="1"/>
  <c r="M264" i="1"/>
  <c r="M246" i="1"/>
  <c r="M262" i="1"/>
  <c r="M259" i="1"/>
  <c r="M255" i="1"/>
  <c r="M256" i="1"/>
  <c r="M257" i="1"/>
  <c r="M261" i="1"/>
  <c r="M252" i="1"/>
  <c r="M253" i="1"/>
  <c r="M249" i="1"/>
  <c r="M248" i="1"/>
  <c r="M250" i="1"/>
  <c r="M251" i="1"/>
  <c r="M244" i="1"/>
  <c r="M241" i="1"/>
  <c r="M247" i="1"/>
  <c r="M237" i="1"/>
  <c r="M231" i="1"/>
  <c r="M243" i="1"/>
  <c r="M238" i="1"/>
  <c r="M245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M240" i="1"/>
  <c r="M242" i="1"/>
  <c r="M232" i="1"/>
  <c r="M236" i="1"/>
  <c r="M234" i="1"/>
  <c r="M233" i="1"/>
  <c r="M229" i="1"/>
  <c r="M230" i="1"/>
  <c r="M235" i="1"/>
  <c r="M239" i="1"/>
  <c r="M225" i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356" i="1"/>
  <c r="T292" i="1"/>
  <c r="T308" i="1"/>
  <c r="T340" i="1"/>
  <c r="T276" i="1"/>
  <c r="T324" i="1"/>
  <c r="U353" i="1"/>
  <c r="U321" i="1"/>
  <c r="U289" i="1"/>
  <c r="U361" i="1"/>
  <c r="U345" i="1"/>
  <c r="U329" i="1"/>
  <c r="U313" i="1"/>
  <c r="U297" i="1"/>
  <c r="U281" i="1"/>
  <c r="T364" i="1"/>
  <c r="T348" i="1"/>
  <c r="T332" i="1"/>
  <c r="T316" i="1"/>
  <c r="T300" i="1"/>
  <c r="T284" i="1"/>
  <c r="T268" i="1"/>
  <c r="U357" i="1"/>
  <c r="U341" i="1"/>
  <c r="U325" i="1"/>
  <c r="U309" i="1"/>
  <c r="U293" i="1"/>
  <c r="U277" i="1"/>
  <c r="T360" i="1"/>
  <c r="T344" i="1"/>
  <c r="T328" i="1"/>
  <c r="T312" i="1"/>
  <c r="T296" i="1"/>
  <c r="T280" i="1"/>
  <c r="U369" i="1"/>
  <c r="U337" i="1"/>
  <c r="U305" i="1"/>
  <c r="U273" i="1"/>
  <c r="U365" i="1"/>
  <c r="U349" i="1"/>
  <c r="U333" i="1"/>
  <c r="U317" i="1"/>
  <c r="U301" i="1"/>
  <c r="U285" i="1"/>
  <c r="U269" i="1"/>
  <c r="T368" i="1"/>
  <c r="T352" i="1"/>
  <c r="T336" i="1"/>
  <c r="T320" i="1"/>
  <c r="T304" i="1"/>
  <c r="T288" i="1"/>
  <c r="T272" i="1"/>
  <c r="T220" i="1"/>
  <c r="T221" i="1" s="1"/>
  <c r="T222" i="1" s="1"/>
  <c r="U367" i="1"/>
  <c r="T367" i="1"/>
  <c r="U363" i="1"/>
  <c r="T363" i="1"/>
  <c r="U359" i="1"/>
  <c r="T359" i="1"/>
  <c r="U355" i="1"/>
  <c r="T355" i="1"/>
  <c r="U351" i="1"/>
  <c r="T351" i="1"/>
  <c r="U347" i="1"/>
  <c r="T347" i="1"/>
  <c r="U343" i="1"/>
  <c r="T343" i="1"/>
  <c r="U339" i="1"/>
  <c r="T339" i="1"/>
  <c r="U335" i="1"/>
  <c r="T335" i="1"/>
  <c r="U331" i="1"/>
  <c r="T331" i="1"/>
  <c r="U327" i="1"/>
  <c r="T327" i="1"/>
  <c r="U323" i="1"/>
  <c r="T323" i="1"/>
  <c r="U319" i="1"/>
  <c r="T319" i="1"/>
  <c r="U315" i="1"/>
  <c r="T315" i="1"/>
  <c r="U311" i="1"/>
  <c r="T311" i="1"/>
  <c r="U307" i="1"/>
  <c r="T307" i="1"/>
  <c r="U303" i="1"/>
  <c r="T303" i="1"/>
  <c r="U299" i="1"/>
  <c r="T299" i="1"/>
  <c r="U295" i="1"/>
  <c r="T295" i="1"/>
  <c r="U291" i="1"/>
  <c r="T291" i="1"/>
  <c r="U287" i="1"/>
  <c r="T287" i="1"/>
  <c r="U283" i="1"/>
  <c r="T283" i="1"/>
  <c r="U279" i="1"/>
  <c r="T279" i="1"/>
  <c r="U275" i="1"/>
  <c r="T275" i="1"/>
  <c r="U271" i="1"/>
  <c r="T271" i="1"/>
  <c r="U267" i="1"/>
  <c r="T267" i="1"/>
  <c r="U370" i="1"/>
  <c r="U366" i="1"/>
  <c r="U362" i="1"/>
  <c r="U358" i="1"/>
  <c r="U354" i="1"/>
  <c r="U350" i="1"/>
  <c r="U346" i="1"/>
  <c r="U342" i="1"/>
  <c r="U338" i="1"/>
  <c r="U334" i="1"/>
  <c r="U330" i="1"/>
  <c r="U326" i="1"/>
  <c r="U322" i="1"/>
  <c r="U318" i="1"/>
  <c r="U314" i="1"/>
  <c r="U310" i="1"/>
  <c r="U306" i="1"/>
  <c r="U302" i="1"/>
  <c r="U298" i="1"/>
  <c r="U294" i="1"/>
  <c r="U290" i="1"/>
  <c r="U286" i="1"/>
  <c r="U282" i="1"/>
  <c r="U278" i="1"/>
  <c r="U274" i="1"/>
  <c r="U270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U245" i="1" s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210" i="1"/>
  <c r="U260" i="1" l="1"/>
  <c r="U266" i="1"/>
  <c r="U258" i="1"/>
  <c r="U263" i="1"/>
  <c r="U265" i="1"/>
  <c r="U261" i="1"/>
  <c r="U257" i="1"/>
  <c r="U264" i="1"/>
  <c r="U262" i="1"/>
  <c r="U259" i="1"/>
  <c r="U254" i="1"/>
  <c r="U256" i="1"/>
  <c r="U255" i="1"/>
  <c r="U253" i="1"/>
  <c r="U246" i="1"/>
  <c r="U252" i="1"/>
  <c r="U247" i="1"/>
  <c r="U251" i="1"/>
  <c r="U250" i="1"/>
  <c r="U249" i="1"/>
  <c r="U248" i="1"/>
  <c r="U222" i="1"/>
  <c r="T223" i="1"/>
  <c r="U220" i="1"/>
  <c r="U221" i="1"/>
  <c r="U218" i="1"/>
  <c r="U217" i="1"/>
  <c r="U214" i="1"/>
  <c r="U213" i="1"/>
  <c r="U212" i="1"/>
  <c r="U210" i="1"/>
  <c r="U211" i="1"/>
  <c r="U223" i="1" l="1"/>
  <c r="T224" i="1"/>
  <c r="I209" i="1"/>
  <c r="U209" i="1" s="1"/>
  <c r="I208" i="1"/>
  <c r="U208" i="1" s="1"/>
  <c r="I206" i="1"/>
  <c r="I207" i="1"/>
  <c r="U207" i="1" s="1"/>
  <c r="T225" i="1" l="1"/>
  <c r="U224" i="1"/>
  <c r="H205" i="1"/>
  <c r="I205" i="1" s="1"/>
  <c r="I204" i="1"/>
  <c r="T226" i="1" l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27" i="1" l="1"/>
  <c r="U226" i="1"/>
  <c r="M202" i="1"/>
  <c r="U203" i="1"/>
  <c r="U201" i="1"/>
  <c r="U200" i="1"/>
  <c r="U202" i="1"/>
  <c r="T228" i="1" l="1"/>
  <c r="U227" i="1"/>
  <c r="I199" i="1"/>
  <c r="U228" i="1" l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<sst xmlns="http://schemas.openxmlformats.org/spreadsheetml/2006/main" count="483" uniqueCount="325">
  <si>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</si>
  <si>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</si>
  <si>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</si>
  <si>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</si>
  <si>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</si>
  <si>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</si>
  <si>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</si>
  <si>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</si>
  <si>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</si>
  <si>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</si>
  <si>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</si>
  <si>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</si>
  <si>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</si>
  <si>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</si>
  <si>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</si>
  <si>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</si>
  <si>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</si>
  <si>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</si>
  <si>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</si>
  <si>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</si>
  <si>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</si>
  <si>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</si>
  <si>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</si>
  <si>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</si>
  <si>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</si>
  <si>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</si>
  <si>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</si>
  <si>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</si>
  <si>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</si>
  <si>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</si>
  <si>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</si>
  <si>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</si>
  <si>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</si>
  <si>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</si>
  <si>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</si>
  <si>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</si>
  <si>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</si>
  <si>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</si>
  <si>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</si>
  <si>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</si>
  <si>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</si>
  <si>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</si>
  <si>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</si>
  <si>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</si>
  <si>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</si>
  <si>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</si>
  <si>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</si>
  <si>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</si>
  <si>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</si>
  <si>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</si>
  <si>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</si>
  <si>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</si>
  <si>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</si>
  <si>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CU1803</t>
  </si>
  <si>
    <t>TA805</t>
  </si>
  <si>
    <t>RM805</t>
  </si>
  <si>
    <t>CS1805</t>
  </si>
  <si>
    <t>NI1805</t>
  </si>
  <si>
    <t>IC1803</t>
  </si>
  <si>
    <t>SF805</t>
  </si>
  <si>
    <t>AU1806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</si>
  <si>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</si>
  <si>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</si>
  <si>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</si>
  <si>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</si>
  <si>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</si>
  <si>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</si>
  <si>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</si>
  <si>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</si>
  <si>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</si>
  <si>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</si>
  <si>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</si>
  <si>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</si>
  <si>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</si>
  <si>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</si>
  <si>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</si>
  <si>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</si>
  <si>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</si>
  <si>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</si>
  <si>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</si>
  <si>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</si>
  <si>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</si>
  <si>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</si>
  <si>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</si>
  <si>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</si>
  <si>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</si>
  <si>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</si>
  <si>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</si>
  <si>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</si>
  <si>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</si>
  <si>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</si>
  <si>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</si>
  <si>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</si>
  <si>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</si>
  <si>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</si>
  <si>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</si>
  <si>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</si>
  <si>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</si>
  <si>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</si>
  <si>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</si>
  <si>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</si>
  <si>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</si>
  <si>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</si>
  <si>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</si>
  <si>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</si>
  <si>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</si>
  <si>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</si>
  <si>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</si>
  <si>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</si>
  <si>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</si>
  <si>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</si>
  <si>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</si>
  <si>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</si>
  <si>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</si>
  <si>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</si>
  <si>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</si>
  <si>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</si>
  <si>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</si>
  <si>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</si>
  <si>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</si>
  <si>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</si>
  <si>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</si>
  <si>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</si>
  <si>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</si>
  <si>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</si>
  <si>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</si>
  <si>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</si>
  <si>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</si>
  <si>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</si>
  <si>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</si>
  <si>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</si>
  <si>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</si>
  <si>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</si>
  <si>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</si>
  <si>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</si>
  <si>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</si>
  <si>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</si>
  <si>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</si>
  <si>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</si>
  <si>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</si>
  <si>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</si>
  <si>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</si>
  <si>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</si>
  <si>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</si>
  <si>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</si>
  <si>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</si>
  <si>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</si>
  <si>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</si>
  <si>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</si>
  <si>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</si>
  <si>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</si>
  <si>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</si>
  <si>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</si>
  <si>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</si>
  <si>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</si>
  <si>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</si>
  <si>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</si>
  <si>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</si>
  <si>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</si>
  <si>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</si>
  <si>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</si>
  <si>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</si>
  <si>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</si>
  <si>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</si>
  <si>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</si>
  <si>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</si>
  <si>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</si>
  <si>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</si>
  <si>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</si>
  <si>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</si>
  <si>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</si>
  <si>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</si>
  <si>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</si>
  <si>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</si>
  <si>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</si>
  <si>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</si>
  <si>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</si>
  <si>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</si>
  <si>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</si>
  <si>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</si>
  <si>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</si>
  <si>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</si>
  <si>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</si>
  <si>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</si>
  <si>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</si>
  <si>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</si>
  <si>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</si>
  <si>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</si>
  <si>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</si>
  <si>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</si>
  <si>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</si>
  <si>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</si>
  <si>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</si>
  <si>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</si>
  <si>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</si>
  <si>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</si>
  <si>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</si>
  <si>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</si>
  <si>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</si>
  <si>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</si>
  <si>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</si>
  <si>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</si>
  <si>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</si>
  <si>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</si>
  <si>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</si>
  <si>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</si>
  <si>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</si>
  <si>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</si>
  <si>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</si>
  <si>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</si>
  <si>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</si>
  <si>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</si>
  <si>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</si>
  <si>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</si>
  <si>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</si>
  <si>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</si>
  <si>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</si>
  <si>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</si>
  <si>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</si>
  <si>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</si>
  <si>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</si>
  <si>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</si>
  <si>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</si>
  <si>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</si>
  <si>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</si>
  <si>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</si>
  <si>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</si>
  <si>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</si>
  <si>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</si>
  <si>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</si>
  <si>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</si>
  <si>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</si>
  <si>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</si>
  <si>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</si>
  <si>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</si>
  <si>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</si>
  <si>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</si>
  <si>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</si>
  <si>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</si>
  <si>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</si>
  <si>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</si>
  <si>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</si>
  <si>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</si>
  <si>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</si>
  <si>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</si>
  <si>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</si>
  <si>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</si>
  <si>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</si>
  <si>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</si>
  <si>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</si>
  <si>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</si>
  <si>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</si>
  <si>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</si>
  <si>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</si>
  <si>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</si>
  <si>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</si>
  <si>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</si>
  <si>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</si>
  <si>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</si>
  <si>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</si>
  <si>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</si>
  <si>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</si>
  <si>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</si>
  <si>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</si>
  <si>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</si>
  <si>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</si>
  <si>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</si>
  <si>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</si>
  <si>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</si>
  <si>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</si>
  <si>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</si>
  <si>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</si>
  <si>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</si>
  <si>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I1805</t>
  </si>
  <si>
    <t>15:00:00（平错)</t>
  </si>
  <si>
    <t>2018/2/2（补仓2.6，价格同）</t>
  </si>
  <si>
    <t>15:00:00（补仓14:08)</t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</si>
  <si>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</si>
  <si>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</si>
  <si>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</si>
  <si>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</si>
  <si>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有色</t>
    <phoneticPr fontId="1" type="noConversion"/>
  </si>
  <si>
    <t>贵金属</t>
    <phoneticPr fontId="1" type="noConversion"/>
  </si>
  <si>
    <t>化工</t>
    <phoneticPr fontId="1" type="noConversion"/>
  </si>
  <si>
    <t>农产品</t>
    <phoneticPr fontId="1" type="noConversion"/>
  </si>
  <si>
    <t>黑色</t>
    <phoneticPr fontId="1" type="noConversion"/>
  </si>
  <si>
    <t>指数</t>
    <phoneticPr fontId="1" type="noConversion"/>
  </si>
  <si>
    <t>IH1803</t>
    <phoneticPr fontId="1" type="noConversion"/>
  </si>
  <si>
    <t>AL1805</t>
    <phoneticPr fontId="1" type="noConversion"/>
  </si>
  <si>
    <t>理论仓位</t>
    <phoneticPr fontId="1" type="noConversion"/>
  </si>
  <si>
    <t>理论仓位</t>
    <phoneticPr fontId="1" type="noConversion"/>
  </si>
  <si>
    <t>实际平仓盈亏</t>
    <phoneticPr fontId="1" type="noConversion"/>
  </si>
  <si>
    <t>理论平仓盈亏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</si>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</sst>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8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8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81" fontId="0" fillId="0" borderId="0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0" applyFont="1" applyBorder="1"/>
    <xf numFmtId="14" fontId="0" fillId="0" borderId="0" xfId="0" applyNumberFormat="1" applyBorder="1"/>
    <xf numFmtId="20" fontId="0" fillId="0" borderId="0" xfId="0" applyNumberFormat="1" applyBorder="1"/>
    <xf numFmtId="0" fontId="0" fillId="0" borderId="0" xfId="0" applyFont="1" applyFill="1" applyBorder="1" applyAlignment="1">
      <alignment horizontal="center"/>
    </xf>
    <xf numFmtId="176" fontId="0" fillId="0" borderId="0" xfId="1" applyNumberFormat="1" applyFont="1" applyFill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643824"/>
        <c:axId val="606811040"/>
      </c:lineChart>
      <c:dateAx>
        <c:axId val="472643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6811040"/>
        <c:crosses val="autoZero"/>
        <c:auto val="1"/>
        <c:lblOffset val="100"/>
        <c:baseTimeUnit val="days"/>
      </c:dateAx>
      <c:valAx>
        <c:axId val="60681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264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趋势策略权益曲线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权益!$A$17:$A$42</c:f>
              <c:numCache>
                <c:formatCode>m/d/yyyy</c:formatCode>
                <c:ptCount val="26"/>
                <c:pt idx="0">
                  <c:v>43115</c:v>
                </c:pt>
                <c:pt idx="1">
                  <c:v>43116</c:v>
                </c:pt>
                <c:pt idx="2">
                  <c:v>43117</c:v>
                </c:pt>
                <c:pt idx="3">
                  <c:v>43118</c:v>
                </c:pt>
                <c:pt idx="4">
                  <c:v>43119</c:v>
                </c:pt>
                <c:pt idx="5">
                  <c:v>43122</c:v>
                </c:pt>
                <c:pt idx="6">
                  <c:v>43123</c:v>
                </c:pt>
                <c:pt idx="7">
                  <c:v>43124</c:v>
                </c:pt>
                <c:pt idx="8">
                  <c:v>43125</c:v>
                </c:pt>
                <c:pt idx="9">
                  <c:v>43126</c:v>
                </c:pt>
                <c:pt idx="10">
                  <c:v>43129</c:v>
                </c:pt>
                <c:pt idx="11">
                  <c:v>43130</c:v>
                </c:pt>
                <c:pt idx="12">
                  <c:v>43131</c:v>
                </c:pt>
                <c:pt idx="13">
                  <c:v>43132</c:v>
                </c:pt>
                <c:pt idx="14">
                  <c:v>43133</c:v>
                </c:pt>
                <c:pt idx="15">
                  <c:v>43136</c:v>
                </c:pt>
                <c:pt idx="16">
                  <c:v>43137</c:v>
                </c:pt>
                <c:pt idx="17">
                  <c:v>43138</c:v>
                </c:pt>
                <c:pt idx="18">
                  <c:v>43139</c:v>
                </c:pt>
                <c:pt idx="19">
                  <c:v>43140</c:v>
                </c:pt>
                <c:pt idx="20">
                  <c:v>43143</c:v>
                </c:pt>
                <c:pt idx="21">
                  <c:v>43144</c:v>
                </c:pt>
                <c:pt idx="22">
                  <c:v>43145</c:v>
                </c:pt>
                <c:pt idx="23">
                  <c:v>43153</c:v>
                </c:pt>
                <c:pt idx="24">
                  <c:v>43154</c:v>
                </c:pt>
                <c:pt idx="25">
                  <c:v>43157</c:v>
                </c:pt>
              </c:numCache>
            </c:numRef>
          </c:cat>
          <c:val>
            <c:numRef>
              <c:f>权益!$B$17:$B$42</c:f>
              <c:numCache>
                <c:formatCode>_ * #,##0_ ;_ * \-#,##0_ ;_ * "-"??_ ;_ @_ </c:formatCode>
                <c:ptCount val="26"/>
                <c:pt idx="0">
                  <c:v>9836736</c:v>
                </c:pt>
                <c:pt idx="1">
                  <c:v>9743676</c:v>
                </c:pt>
                <c:pt idx="2">
                  <c:v>9685921</c:v>
                </c:pt>
                <c:pt idx="3">
                  <c:v>9704061</c:v>
                </c:pt>
                <c:pt idx="4">
                  <c:v>9729899</c:v>
                </c:pt>
                <c:pt idx="5">
                  <c:v>9715728</c:v>
                </c:pt>
                <c:pt idx="6">
                  <c:v>9756827</c:v>
                </c:pt>
                <c:pt idx="7">
                  <c:v>9739233</c:v>
                </c:pt>
                <c:pt idx="8">
                  <c:v>9796411</c:v>
                </c:pt>
                <c:pt idx="9">
                  <c:v>9748454.8399999999</c:v>
                </c:pt>
                <c:pt idx="10">
                  <c:v>9771011.2799999993</c:v>
                </c:pt>
                <c:pt idx="11">
                  <c:v>9753399.9199999999</c:v>
                </c:pt>
                <c:pt idx="12">
                  <c:v>9712827.9100000001</c:v>
                </c:pt>
                <c:pt idx="13">
                  <c:v>9732130.9100000001</c:v>
                </c:pt>
                <c:pt idx="14">
                  <c:v>9712003</c:v>
                </c:pt>
                <c:pt idx="15">
                  <c:v>9694076.5299999993</c:v>
                </c:pt>
                <c:pt idx="16">
                  <c:v>9708630.9000000004</c:v>
                </c:pt>
                <c:pt idx="17">
                  <c:v>9702242.3900000006</c:v>
                </c:pt>
                <c:pt idx="18">
                  <c:v>9706020.5299999993</c:v>
                </c:pt>
                <c:pt idx="19">
                  <c:v>9795265</c:v>
                </c:pt>
                <c:pt idx="20">
                  <c:v>9699243</c:v>
                </c:pt>
                <c:pt idx="21">
                  <c:v>9678174.1799999997</c:v>
                </c:pt>
                <c:pt idx="22">
                  <c:v>9689418.1799999997</c:v>
                </c:pt>
                <c:pt idx="23">
                  <c:v>9627659</c:v>
                </c:pt>
                <c:pt idx="24">
                  <c:v>9619395.6300000008</c:v>
                </c:pt>
                <c:pt idx="25">
                  <c:v>9634210.25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6811600"/>
        <c:axId val="667106176"/>
      </c:lineChart>
      <c:dateAx>
        <c:axId val="606811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7106176"/>
        <c:crosses val="autoZero"/>
        <c:auto val="1"/>
        <c:lblOffset val="100"/>
        <c:baseTimeUnit val="days"/>
      </c:dateAx>
      <c:valAx>
        <c:axId val="66710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681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361949</xdr:colOff>
      <xdr:row>22</xdr:row>
      <xdr:rowOff>85724</xdr:rowOff>
    </xdr:from>
    <xdr:to>
      <xdr:col>15</xdr:col>
      <xdr:colOff>552450</xdr:colOff>
      <xdr:row>42</xdr:row>
      <xdr:rowOff>152399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43"/>
  <sheetViews>
    <sheetView workbookViewId="0">
      <pane ySplit="1" topLeftCell="A11" activePane="bottomLeft" state="frozen"/>
      <selection pane="bottomLeft" activeCell="C34" sqref="C34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COUNTA(C2:C9984)</f>
        <v>29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0.25910931174089069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0.87170856659618823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42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78">
        <f t="shared" si="1"/>
        <v>0.96940765299999998</v>
      </c>
    </row>
    <row r="33" spans="1:3">
      <c r="A33" s="2">
        <v>43137</v>
      </c>
      <c r="B33" s="25">
        <v>9708630.9000000004</v>
      </c>
      <c r="C33" s="78">
        <f t="shared" si="1"/>
        <v>0.97086309000000004</v>
      </c>
    </row>
    <row r="34" spans="1:3">
      <c r="A34" s="2">
        <v>43138</v>
      </c>
      <c r="B34" s="25">
        <v>9702242.3900000006</v>
      </c>
      <c r="C34" s="78">
        <f t="shared" si="1"/>
        <v>0.9702242390000001</v>
      </c>
    </row>
    <row r="35" spans="1:3">
      <c r="A35" s="2">
        <v>43139</v>
      </c>
      <c r="B35" s="25">
        <v>9706020.5299999993</v>
      </c>
      <c r="C35" s="7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78">
        <f t="shared" si="1"/>
        <v>0.96992429999999996</v>
      </c>
    </row>
    <row r="38" spans="1:3">
      <c r="A38" s="2">
        <v>43144</v>
      </c>
      <c r="B38" s="25">
        <v>9678174.1799999997</v>
      </c>
      <c r="C38" s="7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7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78">
        <f t="shared" si="1"/>
        <v>0.96342102500000004</v>
      </c>
    </row>
    <row r="43" spans="1:3">
      <c r="A43" s="2">
        <v>43158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0"/>
  <sheetViews>
    <sheetView tabSelected="1" workbookViewId="0">
      <pane ySplit="1" topLeftCell="A239" activePane="bottomLeft" state="frozen"/>
      <selection pane="bottomLeft" activeCell="M165" sqref="M165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3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3" customFormat="1">
      <c r="A1" s="59" t="s">
        <v>0</v>
      </c>
      <c r="B1" s="59" t="s">
        <v>1</v>
      </c>
      <c r="C1" s="59" t="s">
        <v>2</v>
      </c>
      <c r="D1" s="59" t="s">
        <v>3</v>
      </c>
      <c r="E1" s="59" t="s">
        <v>89</v>
      </c>
      <c r="F1" s="59" t="s">
        <v>41</v>
      </c>
      <c r="G1" s="60" t="s">
        <v>182</v>
      </c>
      <c r="H1" s="61" t="s">
        <v>190</v>
      </c>
      <c r="I1" s="60" t="s">
        <v>181</v>
      </c>
      <c r="J1" s="59" t="s">
        <v>5</v>
      </c>
      <c r="K1" s="59" t="s">
        <v>19</v>
      </c>
      <c r="L1" s="62" t="s">
        <v>42</v>
      </c>
      <c r="M1" s="62" t="s">
        <v>4</v>
      </c>
      <c r="N1" s="59" t="s">
        <v>183</v>
      </c>
      <c r="O1" s="59" t="s">
        <v>186</v>
      </c>
      <c r="P1" s="63" t="s">
        <v>184</v>
      </c>
      <c r="Q1" s="63" t="s">
        <v>185</v>
      </c>
      <c r="S1" s="64" t="s">
        <v>6</v>
      </c>
      <c r="T1" s="65"/>
      <c r="U1" s="66">
        <f>COUNT(M2:M9987)</f>
        <v>247</v>
      </c>
      <c r="V1" s="65">
        <f>COUNTIF(M2:M9987,"&gt;0")</f>
        <v>64</v>
      </c>
      <c r="W1" s="65">
        <f>COUNTIF(M2:M9987,"&lt;0")</f>
        <v>179</v>
      </c>
      <c r="X1" s="65">
        <f>SUMIF(M2:M9987,"&gt;0")</f>
        <v>897966.04999999993</v>
      </c>
      <c r="Y1" s="65">
        <f>ABS(SUMIF(M2:M9987,"&lt;0"))</f>
        <v>1030121.8600000007</v>
      </c>
      <c r="Z1" s="65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95</v>
      </c>
      <c r="V2" s="11" t="s">
        <v>96</v>
      </c>
      <c r="W2" s="11" t="s">
        <v>97</v>
      </c>
      <c r="X2" s="11" t="s">
        <v>98</v>
      </c>
      <c r="Y2" s="11" t="s">
        <v>99</v>
      </c>
      <c r="Z2" s="11" t="s">
        <v>100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4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94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104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74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2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5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4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2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5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2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2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2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6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2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2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5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65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4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66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66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67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5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68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69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2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70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71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72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70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5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81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2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73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6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75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75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76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76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77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78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79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80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2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2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82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83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84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85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86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88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90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91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92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2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6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101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102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103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105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109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110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106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107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108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4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111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112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2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113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114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115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116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117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118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119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119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2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106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120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2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121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122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122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123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124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125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2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128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129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130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131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132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133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2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126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127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134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135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136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137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134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138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139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140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2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2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141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142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143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144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145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146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8"/>
      <c r="Q165" s="49"/>
      <c r="R165" s="49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147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147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148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2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149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150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188</v>
      </c>
      <c r="B171" s="1" t="s">
        <v>152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187</v>
      </c>
      <c r="M171" s="16">
        <f t="shared" si="71"/>
        <v>46200</v>
      </c>
      <c r="N171" s="1">
        <f>C171*1</f>
        <v>11</v>
      </c>
      <c r="O171" s="1">
        <v>1374.5</v>
      </c>
      <c r="P171" s="48">
        <v>43136</v>
      </c>
      <c r="Q171" s="49">
        <v>0.62152777777777779</v>
      </c>
      <c r="R171" s="49" t="s">
        <v>191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153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154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2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149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155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157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8"/>
      <c r="Q176" s="49"/>
      <c r="R176" s="49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158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159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160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154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162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158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189</v>
      </c>
      <c r="B183" s="1" t="s">
        <v>167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197</v>
      </c>
      <c r="L183" s="26" t="s">
        <v>198</v>
      </c>
      <c r="M183" s="16">
        <f t="shared" si="71"/>
        <v>29400</v>
      </c>
      <c r="N183" s="1">
        <f>C183*1</f>
        <v>4</v>
      </c>
      <c r="O183" s="1">
        <v>2115</v>
      </c>
      <c r="P183" s="48">
        <v>43136</v>
      </c>
      <c r="Q183" s="49">
        <v>0.62152777777777779</v>
      </c>
      <c r="R183" s="49" t="s">
        <v>192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159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168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169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8"/>
      <c r="Q186" s="49"/>
      <c r="R186" s="49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158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170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4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171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172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173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2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50"/>
      <c r="Q191" s="51"/>
      <c r="R191" s="51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174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3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8"/>
      <c r="Q192" s="49"/>
      <c r="R192" s="49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175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3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8"/>
      <c r="Q193" s="49"/>
      <c r="R193" s="49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176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3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8">
        <v>43136</v>
      </c>
      <c r="Q194" s="49">
        <v>0.62152777777777779</v>
      </c>
      <c r="R194" s="49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177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3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8">
        <v>43136</v>
      </c>
      <c r="Q195" s="49">
        <v>0.62152777777777779</v>
      </c>
      <c r="R195" s="49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178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3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8"/>
      <c r="Q196" s="49"/>
      <c r="R196" s="49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179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3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8">
        <v>43136</v>
      </c>
      <c r="Q197" s="49">
        <v>0.62152777777777779</v>
      </c>
      <c r="R197" s="49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180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2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50">
        <v>43136</v>
      </c>
      <c r="Q198" s="51">
        <v>0.62152777777777779</v>
      </c>
      <c r="R198" s="51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193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2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50">
        <v>43137</v>
      </c>
      <c r="Q199" s="51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194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3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8">
        <v>43137</v>
      </c>
      <c r="Q200" s="49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195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3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8">
        <v>43137</v>
      </c>
      <c r="Q201" s="49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196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3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199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2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200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3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8">
        <v>43138</v>
      </c>
      <c r="Q204" s="49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74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2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201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3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8">
        <v>43138</v>
      </c>
      <c r="Q206" s="49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202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3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8">
        <v>43138</v>
      </c>
      <c r="Q207" s="49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203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3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8">
        <v>43138</v>
      </c>
      <c r="Q208" s="49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204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3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8">
        <v>43138</v>
      </c>
      <c r="Q209" s="49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205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3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8">
        <v>43138</v>
      </c>
      <c r="Q210" s="49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206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3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207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3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208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3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209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2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211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3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213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2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210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3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8">
        <v>43139</v>
      </c>
      <c r="Q217" s="49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214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3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215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3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269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3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8">
        <v>43139</v>
      </c>
      <c r="Q220" s="49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3" si="110">IF(S220="","",T220*I220/(D220*S220*0.15))</f>
        <v>29.097483718323268</v>
      </c>
      <c r="W220" s="11"/>
    </row>
    <row r="221" spans="1:23">
      <c r="B221" s="1" t="s">
        <v>270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3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8">
        <v>43139</v>
      </c>
      <c r="Q221" s="49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3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8">
        <v>43139</v>
      </c>
      <c r="Q222" s="49">
        <v>0.62152777777777779</v>
      </c>
      <c r="S222">
        <f>IF(B222="","",VLOOKUP(Cmt(B222),Sheet2!A:B,2,FALSE))</f>
        <v>10</v>
      </c>
      <c r="T222" s="39">
        <f t="shared" ref="T222:T285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73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2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50">
        <v>43139</v>
      </c>
      <c r="Q223" s="51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3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3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3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3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271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2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277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3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6">
        <f t="shared" si="103"/>
        <v>2600</v>
      </c>
      <c r="N229" s="1">
        <v>-2</v>
      </c>
      <c r="O229" s="1">
        <v>51340</v>
      </c>
      <c r="P229" s="48">
        <v>43140</v>
      </c>
      <c r="Q229" s="49">
        <v>0.66388888888888886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278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3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6">
        <f t="shared" ref="M230:M231" si="113">IF(J230="","",C230*(J230-D230)*S230)+IF(J230="","",N230*(J230-O230)*S230)</f>
        <v>-4130</v>
      </c>
      <c r="N230" s="1">
        <v>-7</v>
      </c>
      <c r="O230" s="1">
        <v>98780</v>
      </c>
      <c r="P230" s="48">
        <v>43140</v>
      </c>
      <c r="Q230" s="49">
        <v>0.66388888888888886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279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3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6">
        <f t="shared" si="113"/>
        <v>-9020</v>
      </c>
      <c r="N231" s="1">
        <v>-22</v>
      </c>
      <c r="O231" s="1">
        <v>5600</v>
      </c>
      <c r="P231" s="48">
        <v>43140</v>
      </c>
      <c r="Q231" s="49">
        <v>0.66388888888888886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287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3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288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3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6">
        <f t="shared" si="103"/>
        <v>-3500</v>
      </c>
      <c r="N233" s="1">
        <v>-10</v>
      </c>
      <c r="O233" s="1">
        <v>14360</v>
      </c>
      <c r="P233" s="48">
        <v>43140</v>
      </c>
      <c r="Q233" s="49">
        <v>0.66388888888888886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294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4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79" t="s">
        <v>35</v>
      </c>
      <c r="C235" s="79">
        <v>-2</v>
      </c>
      <c r="D235" s="79">
        <v>271.89999999999998</v>
      </c>
      <c r="E235" s="80">
        <v>43140</v>
      </c>
      <c r="F235" s="81">
        <v>0.88124999999999998</v>
      </c>
      <c r="G235" s="82">
        <v>1.2999999999999999E-2</v>
      </c>
      <c r="H235" s="83">
        <v>0.5</v>
      </c>
      <c r="I235" s="82">
        <f t="shared" si="102"/>
        <v>6.4999999999999997E-3</v>
      </c>
      <c r="J235" s="79">
        <v>272.7</v>
      </c>
      <c r="K235" s="80">
        <v>43143</v>
      </c>
      <c r="L235" s="81">
        <v>0.44166666666666665</v>
      </c>
      <c r="M235" s="84">
        <f t="shared" si="103"/>
        <v>-1600.0000000000227</v>
      </c>
      <c r="N235" s="79"/>
      <c r="O235" s="79"/>
      <c r="P235" s="85"/>
      <c r="Q235" s="85"/>
      <c r="R235" s="8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295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3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si="103"/>
        <v>1050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296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3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03"/>
        <v>-1800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297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3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03"/>
        <v>4060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298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3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299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2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4">
        <f t="shared" si="103"/>
        <v>-4200</v>
      </c>
      <c r="N240" s="3"/>
      <c r="O240" s="3"/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300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6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32">
        <f t="shared" si="103"/>
        <v>-2080.4999999999836</v>
      </c>
      <c r="N241" s="27"/>
      <c r="O241" s="27"/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301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3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302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3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si="103"/>
        <v>6600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303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4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304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3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305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3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306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3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307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3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308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3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309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3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310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2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311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3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2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312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3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313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3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314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4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315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3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316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3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317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2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318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3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319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3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320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3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321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3">
        <v>0.33333333333333331</v>
      </c>
      <c r="I263" s="17">
        <f t="shared" si="102"/>
        <v>4.0000000000000001E-3</v>
      </c>
      <c r="M263" s="16" t="str">
        <f t="shared" si="103"/>
        <v/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322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3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323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3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324</v>
      </c>
      <c r="C266" s="3">
        <v>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2">
        <v>0.33333333333333331</v>
      </c>
      <c r="I266" s="18">
        <f t="shared" si="102"/>
        <v>5.6666666666666671E-3</v>
      </c>
      <c r="J266" s="3"/>
      <c r="K266" s="3"/>
      <c r="L266" s="3"/>
      <c r="M266" s="14" t="str">
        <f t="shared" si="103"/>
        <v/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">
        <v>43158</v>
      </c>
      <c r="I267" s="17" t="str">
        <f t="shared" si="102"/>
        <v/>
      </c>
      <c r="M267" s="16" t="str">
        <f t="shared" si="103"/>
        <v/>
      </c>
      <c r="S267" t="str">
        <f>IF(B267="","",VLOOKUP(Cmt(B267),Sheet2!A:B,2,FALSE))</f>
        <v/>
      </c>
      <c r="T267" s="39" t="str">
        <f t="shared" si="112"/>
        <v/>
      </c>
      <c r="U267" s="13" t="str">
        <f t="shared" si="110"/>
        <v/>
      </c>
      <c r="W267" s="11"/>
    </row>
    <row r="268" spans="1:23">
      <c r="I268" s="17" t="str">
        <f t="shared" si="102"/>
        <v/>
      </c>
      <c r="M268" s="16" t="str">
        <f t="shared" si="103"/>
        <v/>
      </c>
      <c r="S268" t="str">
        <f>IF(B268="","",VLOOKUP(Cmt(B268),Sheet2!A:B,2,FALSE))</f>
        <v/>
      </c>
      <c r="T268" s="39" t="str">
        <f t="shared" si="112"/>
        <v/>
      </c>
      <c r="U268" s="13" t="str">
        <f t="shared" si="110"/>
        <v/>
      </c>
      <c r="W268" s="11"/>
    </row>
    <row r="269" spans="1:23">
      <c r="I269" s="17" t="str">
        <f t="shared" si="102"/>
        <v/>
      </c>
      <c r="M269" s="16" t="str">
        <f t="shared" si="103"/>
        <v/>
      </c>
      <c r="S269" t="str">
        <f>IF(B269="","",VLOOKUP(Cmt(B269),Sheet2!A:B,2,FALSE))</f>
        <v/>
      </c>
      <c r="T269" s="39" t="str">
        <f t="shared" si="112"/>
        <v/>
      </c>
      <c r="U269" s="13" t="str">
        <f t="shared" si="110"/>
        <v/>
      </c>
      <c r="W269" s="11"/>
    </row>
    <row r="270" spans="1:23">
      <c r="I270" s="17" t="str">
        <f t="shared" si="102"/>
        <v/>
      </c>
      <c r="M270" s="16" t="str">
        <f t="shared" si="103"/>
        <v/>
      </c>
      <c r="S270" t="str">
        <f>IF(B270="","",VLOOKUP(Cmt(B270),Sheet2!A:B,2,FALSE))</f>
        <v/>
      </c>
      <c r="T270" s="39" t="str">
        <f t="shared" si="112"/>
        <v/>
      </c>
      <c r="U270" s="13" t="str">
        <f t="shared" si="110"/>
        <v/>
      </c>
      <c r="W270" s="11"/>
    </row>
    <row r="271" spans="1:23">
      <c r="I271" s="17" t="str">
        <f t="shared" si="102"/>
        <v/>
      </c>
      <c r="M271" s="16" t="str">
        <f t="shared" si="103"/>
        <v/>
      </c>
      <c r="S271" t="str">
        <f>IF(B271="","",VLOOKUP(Cmt(B271),Sheet2!A:B,2,FALSE))</f>
        <v/>
      </c>
      <c r="T271" s="39" t="str">
        <f t="shared" si="112"/>
        <v/>
      </c>
      <c r="U271" s="13" t="str">
        <f t="shared" si="110"/>
        <v/>
      </c>
      <c r="W271" s="11"/>
    </row>
    <row r="272" spans="1:23">
      <c r="I272" s="17" t="str">
        <f t="shared" si="102"/>
        <v/>
      </c>
      <c r="M272" s="16" t="str">
        <f t="shared" si="103"/>
        <v/>
      </c>
      <c r="S272" t="str">
        <f>IF(B272="","",VLOOKUP(Cmt(B272),Sheet2!A:B,2,FALSE))</f>
        <v/>
      </c>
      <c r="T272" s="39" t="str">
        <f t="shared" si="112"/>
        <v/>
      </c>
      <c r="U272" s="13" t="str">
        <f t="shared" si="110"/>
        <v/>
      </c>
      <c r="W272" s="11"/>
    </row>
    <row r="273" spans="9:23">
      <c r="I273" s="17" t="str">
        <f t="shared" si="102"/>
        <v/>
      </c>
      <c r="M273" s="16" t="str">
        <f t="shared" si="103"/>
        <v/>
      </c>
      <c r="S273" t="str">
        <f>IF(B273="","",VLOOKUP(Cmt(B273),Sheet2!A:B,2,FALSE))</f>
        <v/>
      </c>
      <c r="T273" s="39" t="str">
        <f t="shared" si="112"/>
        <v/>
      </c>
      <c r="U273" s="13" t="str">
        <f t="shared" si="110"/>
        <v/>
      </c>
      <c r="W273" s="11"/>
    </row>
    <row r="274" spans="9:23">
      <c r="I274" s="17" t="str">
        <f t="shared" si="102"/>
        <v/>
      </c>
      <c r="M274" s="16" t="str">
        <f t="shared" si="103"/>
        <v/>
      </c>
      <c r="S274" t="str">
        <f>IF(B274="","",VLOOKUP(Cmt(B274),Sheet2!A:B,2,FALSE))</f>
        <v/>
      </c>
      <c r="T274" s="39" t="str">
        <f t="shared" si="112"/>
        <v/>
      </c>
      <c r="U274" s="13" t="str">
        <f t="shared" si="110"/>
        <v/>
      </c>
      <c r="W274" s="11"/>
    </row>
    <row r="275" spans="9:23">
      <c r="I275" s="17" t="str">
        <f t="shared" ref="I275:I338" si="114">IF(G275="","",G275*H275)</f>
        <v/>
      </c>
      <c r="M275" s="16" t="str">
        <f t="shared" si="103"/>
        <v/>
      </c>
      <c r="S275" t="str">
        <f>IF(B275="","",VLOOKUP(Cmt(B275),Sheet2!A:B,2,FALSE))</f>
        <v/>
      </c>
      <c r="T275" s="39" t="str">
        <f t="shared" si="112"/>
        <v/>
      </c>
      <c r="U275" s="13" t="str">
        <f t="shared" si="110"/>
        <v/>
      </c>
      <c r="W275" s="11"/>
    </row>
    <row r="276" spans="9:23">
      <c r="I276" s="17" t="str">
        <f t="shared" si="114"/>
        <v/>
      </c>
      <c r="M276" s="16" t="str">
        <f t="shared" ref="M276:M339" si="115">IF(J276="","",C276*(J276-D276)*S276)</f>
        <v/>
      </c>
      <c r="S276" t="str">
        <f>IF(B276="","",VLOOKUP(Cmt(B276),Sheet2!A:B,2,FALSE))</f>
        <v/>
      </c>
      <c r="T276" s="39" t="str">
        <f t="shared" si="112"/>
        <v/>
      </c>
      <c r="U276" s="13" t="str">
        <f t="shared" si="110"/>
        <v/>
      </c>
      <c r="W276" s="11"/>
    </row>
    <row r="277" spans="9:23">
      <c r="I277" s="17" t="str">
        <f t="shared" si="114"/>
        <v/>
      </c>
      <c r="M277" s="16" t="str">
        <f t="shared" si="115"/>
        <v/>
      </c>
      <c r="S277" t="str">
        <f>IF(B277="","",VLOOKUP(Cmt(B277),Sheet2!A:B,2,FALSE))</f>
        <v/>
      </c>
      <c r="T277" s="39" t="str">
        <f t="shared" si="112"/>
        <v/>
      </c>
      <c r="U277" s="13" t="str">
        <f t="shared" si="110"/>
        <v/>
      </c>
      <c r="W277" s="11"/>
    </row>
    <row r="278" spans="9:23">
      <c r="I278" s="17" t="str">
        <f t="shared" si="114"/>
        <v/>
      </c>
      <c r="M278" s="16" t="str">
        <f t="shared" si="115"/>
        <v/>
      </c>
      <c r="S278" t="str">
        <f>IF(B278="","",VLOOKUP(Cmt(B278),Sheet2!A:B,2,FALSE))</f>
        <v/>
      </c>
      <c r="T278" s="39" t="str">
        <f t="shared" si="112"/>
        <v/>
      </c>
      <c r="U278" s="13" t="str">
        <f t="shared" si="110"/>
        <v/>
      </c>
      <c r="W278" s="11"/>
    </row>
    <row r="279" spans="9:23">
      <c r="I279" s="17" t="str">
        <f t="shared" si="114"/>
        <v/>
      </c>
      <c r="M279" s="16" t="str">
        <f t="shared" si="115"/>
        <v/>
      </c>
      <c r="S279" t="str">
        <f>IF(B279="","",VLOOKUP(Cmt(B279),Sheet2!A:B,2,FALSE))</f>
        <v/>
      </c>
      <c r="T279" s="39" t="str">
        <f t="shared" si="112"/>
        <v/>
      </c>
      <c r="U279" s="13" t="str">
        <f t="shared" si="110"/>
        <v/>
      </c>
      <c r="W279" s="11"/>
    </row>
    <row r="280" spans="9:23">
      <c r="I280" s="17" t="str">
        <f t="shared" si="114"/>
        <v/>
      </c>
      <c r="M280" s="16" t="str">
        <f t="shared" si="115"/>
        <v/>
      </c>
      <c r="S280" t="str">
        <f>IF(B280="","",VLOOKUP(Cmt(B280),Sheet2!A:B,2,FALSE))</f>
        <v/>
      </c>
      <c r="T280" s="39" t="str">
        <f t="shared" si="112"/>
        <v/>
      </c>
      <c r="U280" s="13" t="str">
        <f t="shared" si="110"/>
        <v/>
      </c>
      <c r="W280" s="11"/>
    </row>
    <row r="281" spans="9:23">
      <c r="I281" s="17" t="str">
        <f t="shared" si="114"/>
        <v/>
      </c>
      <c r="M281" s="16" t="str">
        <f t="shared" si="115"/>
        <v/>
      </c>
      <c r="S281" t="str">
        <f>IF(B281="","",VLOOKUP(Cmt(B281),Sheet2!A:B,2,FALSE))</f>
        <v/>
      </c>
      <c r="T281" s="39" t="str">
        <f t="shared" si="112"/>
        <v/>
      </c>
      <c r="U281" s="13" t="str">
        <f t="shared" si="110"/>
        <v/>
      </c>
      <c r="W281" s="11"/>
    </row>
    <row r="282" spans="9:23">
      <c r="I282" s="17" t="str">
        <f t="shared" si="114"/>
        <v/>
      </c>
      <c r="M282" s="16" t="str">
        <f t="shared" si="115"/>
        <v/>
      </c>
      <c r="S282" t="str">
        <f>IF(B282="","",VLOOKUP(Cmt(B282),Sheet2!A:B,2,FALSE))</f>
        <v/>
      </c>
      <c r="T282" s="39" t="str">
        <f t="shared" si="112"/>
        <v/>
      </c>
      <c r="U282" s="13" t="str">
        <f t="shared" si="110"/>
        <v/>
      </c>
      <c r="W282" s="11"/>
    </row>
    <row r="283" spans="9:23">
      <c r="I283" s="17" t="str">
        <f t="shared" si="114"/>
        <v/>
      </c>
      <c r="M283" s="16" t="str">
        <f t="shared" si="115"/>
        <v/>
      </c>
      <c r="S283" t="str">
        <f>IF(B283="","",VLOOKUP(Cmt(B283),Sheet2!A:B,2,FALSE))</f>
        <v/>
      </c>
      <c r="T283" s="39" t="str">
        <f t="shared" si="112"/>
        <v/>
      </c>
      <c r="U283" s="13" t="str">
        <f t="shared" si="110"/>
        <v/>
      </c>
      <c r="W283" s="11"/>
    </row>
    <row r="284" spans="9:23">
      <c r="I284" s="17" t="str">
        <f t="shared" si="114"/>
        <v/>
      </c>
      <c r="M284" s="16" t="str">
        <f t="shared" si="115"/>
        <v/>
      </c>
      <c r="S284" t="str">
        <f>IF(B284="","",VLOOKUP(Cmt(B284),Sheet2!A:B,2,FALSE))</f>
        <v/>
      </c>
      <c r="T284" s="39" t="str">
        <f t="shared" si="112"/>
        <v/>
      </c>
      <c r="U284" s="13" t="str">
        <f t="shared" ref="U284:U347" si="116">IF(S284="","",T284*I284/(D284*S284*0.15))</f>
        <v/>
      </c>
      <c r="W284" s="11"/>
    </row>
    <row r="285" spans="9:23">
      <c r="I285" s="17" t="str">
        <f t="shared" si="114"/>
        <v/>
      </c>
      <c r="M285" s="16" t="str">
        <f t="shared" si="115"/>
        <v/>
      </c>
      <c r="S285" t="str">
        <f>IF(B285="","",VLOOKUP(Cmt(B285),Sheet2!A:B,2,FALSE))</f>
        <v/>
      </c>
      <c r="T285" s="39" t="str">
        <f t="shared" si="112"/>
        <v/>
      </c>
      <c r="U285" s="13" t="str">
        <f t="shared" si="116"/>
        <v/>
      </c>
      <c r="W285" s="11"/>
    </row>
    <row r="286" spans="9:23">
      <c r="I286" s="17" t="str">
        <f t="shared" si="114"/>
        <v/>
      </c>
      <c r="M286" s="16" t="str">
        <f t="shared" si="115"/>
        <v/>
      </c>
      <c r="S286" t="str">
        <f>IF(B286="","",VLOOKUP(Cmt(B286),Sheet2!A:B,2,FALSE))</f>
        <v/>
      </c>
      <c r="T286" s="39" t="str">
        <f t="shared" ref="T286:T349" si="117">IF(S286="","",T285)</f>
        <v/>
      </c>
      <c r="U286" s="13" t="str">
        <f t="shared" si="116"/>
        <v/>
      </c>
      <c r="W286" s="11"/>
    </row>
    <row r="287" spans="9:23">
      <c r="I287" s="17" t="str">
        <f t="shared" si="114"/>
        <v/>
      </c>
      <c r="M287" s="16" t="str">
        <f t="shared" si="115"/>
        <v/>
      </c>
      <c r="S287" t="str">
        <f>IF(B287="","",VLOOKUP(Cmt(B287),Sheet2!A:B,2,FALSE))</f>
        <v/>
      </c>
      <c r="T287" s="39" t="str">
        <f t="shared" si="117"/>
        <v/>
      </c>
      <c r="U287" s="13" t="str">
        <f t="shared" si="116"/>
        <v/>
      </c>
      <c r="W287" s="11"/>
    </row>
    <row r="288" spans="9:23">
      <c r="I288" s="17" t="str">
        <f t="shared" si="114"/>
        <v/>
      </c>
      <c r="M288" s="16" t="str">
        <f t="shared" si="115"/>
        <v/>
      </c>
      <c r="S288" t="str">
        <f>IF(B288="","",VLOOKUP(Cmt(B288),Sheet2!A:B,2,FALSE))</f>
        <v/>
      </c>
      <c r="T288" s="39" t="str">
        <f t="shared" si="117"/>
        <v/>
      </c>
      <c r="U288" s="13" t="str">
        <f t="shared" si="116"/>
        <v/>
      </c>
      <c r="W288" s="11"/>
    </row>
    <row r="289" spans="9:23">
      <c r="I289" s="17" t="str">
        <f t="shared" si="114"/>
        <v/>
      </c>
      <c r="M289" s="16" t="str">
        <f t="shared" si="115"/>
        <v/>
      </c>
      <c r="S289" t="str">
        <f>IF(B289="","",VLOOKUP(Cmt(B289),Sheet2!A:B,2,FALSE))</f>
        <v/>
      </c>
      <c r="T289" s="39" t="str">
        <f t="shared" si="117"/>
        <v/>
      </c>
      <c r="U289" s="13" t="str">
        <f t="shared" si="116"/>
        <v/>
      </c>
      <c r="W289" s="11"/>
    </row>
    <row r="290" spans="9:23">
      <c r="I290" s="17" t="str">
        <f t="shared" si="114"/>
        <v/>
      </c>
      <c r="M290" s="16" t="str">
        <f t="shared" si="115"/>
        <v/>
      </c>
      <c r="S290" t="str">
        <f>IF(B290="","",VLOOKUP(Cmt(B290),Sheet2!A:B,2,FALSE))</f>
        <v/>
      </c>
      <c r="T290" s="39" t="str">
        <f t="shared" si="117"/>
        <v/>
      </c>
      <c r="U290" s="13" t="str">
        <f t="shared" si="116"/>
        <v/>
      </c>
      <c r="W290" s="11"/>
    </row>
    <row r="291" spans="9:23">
      <c r="I291" s="17" t="str">
        <f t="shared" si="114"/>
        <v/>
      </c>
      <c r="M291" s="16" t="str">
        <f t="shared" si="115"/>
        <v/>
      </c>
      <c r="S291" t="str">
        <f>IF(B291="","",VLOOKUP(Cmt(B291),Sheet2!A:B,2,FALSE))</f>
        <v/>
      </c>
      <c r="T291" s="39" t="str">
        <f t="shared" si="117"/>
        <v/>
      </c>
      <c r="U291" s="13" t="str">
        <f t="shared" si="116"/>
        <v/>
      </c>
      <c r="W291" s="11"/>
    </row>
    <row r="292" spans="9:23">
      <c r="I292" s="17" t="str">
        <f t="shared" si="114"/>
        <v/>
      </c>
      <c r="M292" s="16" t="str">
        <f t="shared" si="115"/>
        <v/>
      </c>
      <c r="S292" t="str">
        <f>IF(B292="","",VLOOKUP(Cmt(B292),Sheet2!A:B,2,FALSE))</f>
        <v/>
      </c>
      <c r="T292" s="39" t="str">
        <f t="shared" si="117"/>
        <v/>
      </c>
      <c r="U292" s="13" t="str">
        <f t="shared" si="116"/>
        <v/>
      </c>
      <c r="W292" s="11"/>
    </row>
    <row r="293" spans="9:23">
      <c r="I293" s="17" t="str">
        <f t="shared" si="114"/>
        <v/>
      </c>
      <c r="M293" s="16" t="str">
        <f t="shared" si="115"/>
        <v/>
      </c>
      <c r="S293" t="str">
        <f>IF(B293="","",VLOOKUP(Cmt(B293),Sheet2!A:B,2,FALSE))</f>
        <v/>
      </c>
      <c r="T293" s="39" t="str">
        <f t="shared" si="117"/>
        <v/>
      </c>
      <c r="U293" s="13" t="str">
        <f t="shared" si="116"/>
        <v/>
      </c>
      <c r="W293" s="11"/>
    </row>
    <row r="294" spans="9:23">
      <c r="I294" s="17" t="str">
        <f t="shared" si="114"/>
        <v/>
      </c>
      <c r="M294" s="16" t="str">
        <f t="shared" si="115"/>
        <v/>
      </c>
      <c r="S294" t="str">
        <f>IF(B294="","",VLOOKUP(Cmt(B294),Sheet2!A:B,2,FALSE))</f>
        <v/>
      </c>
      <c r="T294" s="39" t="str">
        <f t="shared" si="117"/>
        <v/>
      </c>
      <c r="U294" s="13" t="str">
        <f t="shared" si="116"/>
        <v/>
      </c>
      <c r="W294" s="11"/>
    </row>
    <row r="295" spans="9:23">
      <c r="I295" s="17" t="str">
        <f t="shared" si="114"/>
        <v/>
      </c>
      <c r="M295" s="16" t="str">
        <f t="shared" si="115"/>
        <v/>
      </c>
      <c r="S295" t="str">
        <f>IF(B295="","",VLOOKUP(Cmt(B295),Sheet2!A:B,2,FALSE))</f>
        <v/>
      </c>
      <c r="T295" s="39" t="str">
        <f t="shared" si="117"/>
        <v/>
      </c>
      <c r="U295" s="13" t="str">
        <f t="shared" si="116"/>
        <v/>
      </c>
      <c r="W295" s="11"/>
    </row>
    <row r="296" spans="9:23">
      <c r="I296" s="17" t="str">
        <f t="shared" si="114"/>
        <v/>
      </c>
      <c r="M296" s="16" t="str">
        <f t="shared" si="115"/>
        <v/>
      </c>
      <c r="S296" t="str">
        <f>IF(B296="","",VLOOKUP(Cmt(B296),Sheet2!A:B,2,FALSE))</f>
        <v/>
      </c>
      <c r="T296" s="39" t="str">
        <f t="shared" si="117"/>
        <v/>
      </c>
      <c r="U296" s="13" t="str">
        <f t="shared" si="116"/>
        <v/>
      </c>
      <c r="W296" s="11"/>
    </row>
    <row r="297" spans="9:23">
      <c r="I297" s="17" t="str">
        <f t="shared" si="114"/>
        <v/>
      </c>
      <c r="M297" s="16" t="str">
        <f t="shared" si="115"/>
        <v/>
      </c>
      <c r="S297" t="str">
        <f>IF(B297="","",VLOOKUP(Cmt(B297),Sheet2!A:B,2,FALSE))</f>
        <v/>
      </c>
      <c r="T297" s="39" t="str">
        <f t="shared" si="117"/>
        <v/>
      </c>
      <c r="U297" s="13" t="str">
        <f t="shared" si="116"/>
        <v/>
      </c>
      <c r="W297" s="11"/>
    </row>
    <row r="298" spans="9:23">
      <c r="I298" s="17" t="str">
        <f t="shared" si="114"/>
        <v/>
      </c>
      <c r="M298" s="16" t="str">
        <f t="shared" si="115"/>
        <v/>
      </c>
      <c r="S298" t="str">
        <f>IF(B298="","",VLOOKUP(Cmt(B298),Sheet2!A:B,2,FALSE))</f>
        <v/>
      </c>
      <c r="T298" s="39" t="str">
        <f t="shared" si="117"/>
        <v/>
      </c>
      <c r="U298" s="13" t="str">
        <f t="shared" si="116"/>
        <v/>
      </c>
      <c r="W298" s="11"/>
    </row>
    <row r="299" spans="9:23">
      <c r="I299" s="17" t="str">
        <f t="shared" si="114"/>
        <v/>
      </c>
      <c r="M299" s="16" t="str">
        <f t="shared" si="115"/>
        <v/>
      </c>
      <c r="S299" t="str">
        <f>IF(B299="","",VLOOKUP(Cmt(B299),Sheet2!A:B,2,FALSE))</f>
        <v/>
      </c>
      <c r="T299" s="39" t="str">
        <f t="shared" si="117"/>
        <v/>
      </c>
      <c r="U299" s="13" t="str">
        <f t="shared" si="116"/>
        <v/>
      </c>
      <c r="W299" s="11"/>
    </row>
    <row r="300" spans="9:23">
      <c r="I300" s="17" t="str">
        <f t="shared" si="114"/>
        <v/>
      </c>
      <c r="M300" s="16" t="str">
        <f t="shared" si="115"/>
        <v/>
      </c>
      <c r="S300" t="str">
        <f>IF(B300="","",VLOOKUP(Cmt(B300),Sheet2!A:B,2,FALSE))</f>
        <v/>
      </c>
      <c r="T300" s="39" t="str">
        <f t="shared" si="117"/>
        <v/>
      </c>
      <c r="U300" s="13" t="str">
        <f t="shared" si="116"/>
        <v/>
      </c>
      <c r="W300" s="11"/>
    </row>
    <row r="301" spans="9:23">
      <c r="I301" s="17" t="str">
        <f t="shared" si="114"/>
        <v/>
      </c>
      <c r="M301" s="16" t="str">
        <f t="shared" si="115"/>
        <v/>
      </c>
      <c r="S301" t="str">
        <f>IF(B301="","",VLOOKUP(Cmt(B301),Sheet2!A:B,2,FALSE))</f>
        <v/>
      </c>
      <c r="T301" s="39" t="str">
        <f t="shared" si="117"/>
        <v/>
      </c>
      <c r="U301" s="13" t="str">
        <f t="shared" si="116"/>
        <v/>
      </c>
      <c r="W301" s="11"/>
    </row>
    <row r="302" spans="9:23">
      <c r="I302" s="17" t="str">
        <f t="shared" si="114"/>
        <v/>
      </c>
      <c r="M302" s="16" t="str">
        <f t="shared" si="115"/>
        <v/>
      </c>
      <c r="S302" t="str">
        <f>IF(B302="","",VLOOKUP(Cmt(B302),Sheet2!A:B,2,FALSE))</f>
        <v/>
      </c>
      <c r="T302" s="39" t="str">
        <f t="shared" si="117"/>
        <v/>
      </c>
      <c r="U302" s="13" t="str">
        <f t="shared" si="116"/>
        <v/>
      </c>
      <c r="W302" s="11"/>
    </row>
    <row r="303" spans="9:23">
      <c r="I303" s="17" t="str">
        <f t="shared" si="114"/>
        <v/>
      </c>
      <c r="M303" s="16" t="str">
        <f t="shared" si="115"/>
        <v/>
      </c>
      <c r="S303" t="str">
        <f>IF(B303="","",VLOOKUP(Cmt(B303),Sheet2!A:B,2,FALSE))</f>
        <v/>
      </c>
      <c r="T303" s="39" t="str">
        <f t="shared" si="117"/>
        <v/>
      </c>
      <c r="U303" s="13" t="str">
        <f t="shared" si="116"/>
        <v/>
      </c>
      <c r="W303" s="11"/>
    </row>
    <row r="304" spans="9:23">
      <c r="I304" s="17" t="str">
        <f t="shared" si="114"/>
        <v/>
      </c>
      <c r="M304" s="16" t="str">
        <f t="shared" si="115"/>
        <v/>
      </c>
      <c r="S304" t="str">
        <f>IF(B304="","",VLOOKUP(Cmt(B304),Sheet2!A:B,2,FALSE))</f>
        <v/>
      </c>
      <c r="T304" s="39" t="str">
        <f t="shared" si="117"/>
        <v/>
      </c>
      <c r="U304" s="13" t="str">
        <f t="shared" si="116"/>
        <v/>
      </c>
      <c r="W304" s="11"/>
    </row>
    <row r="305" spans="9:23">
      <c r="I305" s="17" t="str">
        <f t="shared" si="114"/>
        <v/>
      </c>
      <c r="M305" s="16" t="str">
        <f t="shared" si="115"/>
        <v/>
      </c>
      <c r="S305" t="str">
        <f>IF(B305="","",VLOOKUP(Cmt(B305),Sheet2!A:B,2,FALSE))</f>
        <v/>
      </c>
      <c r="T305" s="39" t="str">
        <f t="shared" si="117"/>
        <v/>
      </c>
      <c r="U305" s="13" t="str">
        <f t="shared" si="116"/>
        <v/>
      </c>
      <c r="W305" s="11"/>
    </row>
    <row r="306" spans="9:23">
      <c r="I306" s="17" t="str">
        <f t="shared" si="114"/>
        <v/>
      </c>
      <c r="M306" s="16" t="str">
        <f t="shared" si="115"/>
        <v/>
      </c>
      <c r="S306" t="str">
        <f>IF(B306="","",VLOOKUP(Cmt(B306),Sheet2!A:B,2,FALSE))</f>
        <v/>
      </c>
      <c r="T306" s="39" t="str">
        <f t="shared" si="117"/>
        <v/>
      </c>
      <c r="U306" s="13" t="str">
        <f t="shared" si="116"/>
        <v/>
      </c>
      <c r="W306" s="11"/>
    </row>
    <row r="307" spans="9:23">
      <c r="I307" s="17" t="str">
        <f t="shared" si="114"/>
        <v/>
      </c>
      <c r="M307" s="16" t="str">
        <f t="shared" si="115"/>
        <v/>
      </c>
      <c r="S307" t="str">
        <f>IF(B307="","",VLOOKUP(Cmt(B307),Sheet2!A:B,2,FALSE))</f>
        <v/>
      </c>
      <c r="T307" s="39" t="str">
        <f t="shared" si="117"/>
        <v/>
      </c>
      <c r="U307" s="13" t="str">
        <f t="shared" si="116"/>
        <v/>
      </c>
      <c r="W307" s="11"/>
    </row>
    <row r="308" spans="9:23">
      <c r="I308" s="17" t="str">
        <f t="shared" si="114"/>
        <v/>
      </c>
      <c r="M308" s="16" t="str">
        <f t="shared" si="115"/>
        <v/>
      </c>
      <c r="S308" t="str">
        <f>IF(B308="","",VLOOKUP(Cmt(B308),Sheet2!A:B,2,FALSE))</f>
        <v/>
      </c>
      <c r="T308" s="39" t="str">
        <f t="shared" si="117"/>
        <v/>
      </c>
      <c r="U308" s="13" t="str">
        <f t="shared" si="116"/>
        <v/>
      </c>
      <c r="W308" s="11"/>
    </row>
    <row r="309" spans="9:23">
      <c r="I309" s="17" t="str">
        <f t="shared" si="114"/>
        <v/>
      </c>
      <c r="M309" s="16" t="str">
        <f t="shared" si="115"/>
        <v/>
      </c>
      <c r="S309" t="str">
        <f>IF(B309="","",VLOOKUP(Cmt(B309),Sheet2!A:B,2,FALSE))</f>
        <v/>
      </c>
      <c r="T309" s="39" t="str">
        <f t="shared" si="117"/>
        <v/>
      </c>
      <c r="U309" s="13" t="str">
        <f t="shared" si="116"/>
        <v/>
      </c>
      <c r="W309" s="11"/>
    </row>
    <row r="310" spans="9:23">
      <c r="I310" s="17" t="str">
        <f t="shared" si="114"/>
        <v/>
      </c>
      <c r="M310" s="16" t="str">
        <f t="shared" si="115"/>
        <v/>
      </c>
      <c r="S310" t="str">
        <f>IF(B310="","",VLOOKUP(Cmt(B310),Sheet2!A:B,2,FALSE))</f>
        <v/>
      </c>
      <c r="T310" s="39" t="str">
        <f t="shared" si="117"/>
        <v/>
      </c>
      <c r="U310" s="13" t="str">
        <f t="shared" si="116"/>
        <v/>
      </c>
      <c r="W310" s="11"/>
    </row>
    <row r="311" spans="9:23">
      <c r="I311" s="17" t="str">
        <f t="shared" si="114"/>
        <v/>
      </c>
      <c r="M311" s="16" t="str">
        <f t="shared" si="115"/>
        <v/>
      </c>
      <c r="S311" t="str">
        <f>IF(B311="","",VLOOKUP(Cmt(B311),Sheet2!A:B,2,FALSE))</f>
        <v/>
      </c>
      <c r="T311" s="39" t="str">
        <f t="shared" si="117"/>
        <v/>
      </c>
      <c r="U311" s="13" t="str">
        <f t="shared" si="116"/>
        <v/>
      </c>
      <c r="W311" s="11"/>
    </row>
    <row r="312" spans="9:23">
      <c r="I312" s="17" t="str">
        <f t="shared" si="114"/>
        <v/>
      </c>
      <c r="M312" s="16" t="str">
        <f t="shared" si="115"/>
        <v/>
      </c>
      <c r="S312" t="str">
        <f>IF(B312="","",VLOOKUP(Cmt(B312),Sheet2!A:B,2,FALSE))</f>
        <v/>
      </c>
      <c r="T312" s="39" t="str">
        <f t="shared" si="117"/>
        <v/>
      </c>
      <c r="U312" s="13" t="str">
        <f t="shared" si="116"/>
        <v/>
      </c>
      <c r="W312" s="11"/>
    </row>
    <row r="313" spans="9:23">
      <c r="I313" s="17" t="str">
        <f t="shared" si="114"/>
        <v/>
      </c>
      <c r="M313" s="16" t="str">
        <f t="shared" si="115"/>
        <v/>
      </c>
      <c r="S313" t="str">
        <f>IF(B313="","",VLOOKUP(Cmt(B313),Sheet2!A:B,2,FALSE))</f>
        <v/>
      </c>
      <c r="T313" s="39" t="str">
        <f t="shared" si="117"/>
        <v/>
      </c>
      <c r="U313" s="13" t="str">
        <f t="shared" si="116"/>
        <v/>
      </c>
      <c r="W313" s="11"/>
    </row>
    <row r="314" spans="9:23">
      <c r="I314" s="17" t="str">
        <f t="shared" si="114"/>
        <v/>
      </c>
      <c r="M314" s="16" t="str">
        <f t="shared" si="115"/>
        <v/>
      </c>
      <c r="S314" t="str">
        <f>IF(B314="","",VLOOKUP(Cmt(B314),Sheet2!A:B,2,FALSE))</f>
        <v/>
      </c>
      <c r="T314" s="39" t="str">
        <f t="shared" si="117"/>
        <v/>
      </c>
      <c r="U314" s="13" t="str">
        <f t="shared" si="116"/>
        <v/>
      </c>
      <c r="W314" s="11"/>
    </row>
    <row r="315" spans="9:23">
      <c r="I315" s="17" t="str">
        <f t="shared" si="114"/>
        <v/>
      </c>
      <c r="M315" s="16" t="str">
        <f t="shared" si="115"/>
        <v/>
      </c>
      <c r="S315" t="str">
        <f>IF(B315="","",VLOOKUP(Cmt(B315),Sheet2!A:B,2,FALSE))</f>
        <v/>
      </c>
      <c r="T315" s="39" t="str">
        <f t="shared" si="117"/>
        <v/>
      </c>
      <c r="U315" s="13" t="str">
        <f t="shared" si="116"/>
        <v/>
      </c>
      <c r="W315" s="11"/>
    </row>
    <row r="316" spans="9:23">
      <c r="I316" s="17" t="str">
        <f t="shared" si="114"/>
        <v/>
      </c>
      <c r="M316" s="16" t="str">
        <f t="shared" si="115"/>
        <v/>
      </c>
      <c r="S316" t="str">
        <f>IF(B316="","",VLOOKUP(Cmt(B316),Sheet2!A:B,2,FALSE))</f>
        <v/>
      </c>
      <c r="T316" s="39" t="str">
        <f t="shared" si="117"/>
        <v/>
      </c>
      <c r="U316" s="13" t="str">
        <f t="shared" si="116"/>
        <v/>
      </c>
      <c r="W316" s="11"/>
    </row>
    <row r="317" spans="9:23">
      <c r="I317" s="17" t="str">
        <f t="shared" si="114"/>
        <v/>
      </c>
      <c r="M317" s="16" t="str">
        <f t="shared" si="115"/>
        <v/>
      </c>
      <c r="S317" t="str">
        <f>IF(B317="","",VLOOKUP(Cmt(B317),Sheet2!A:B,2,FALSE))</f>
        <v/>
      </c>
      <c r="T317" s="39" t="str">
        <f t="shared" si="117"/>
        <v/>
      </c>
      <c r="U317" s="13" t="str">
        <f t="shared" si="116"/>
        <v/>
      </c>
      <c r="W317" s="11"/>
    </row>
    <row r="318" spans="9:23">
      <c r="I318" s="17" t="str">
        <f t="shared" si="114"/>
        <v/>
      </c>
      <c r="M318" s="16" t="str">
        <f t="shared" si="115"/>
        <v/>
      </c>
      <c r="S318" t="str">
        <f>IF(B318="","",VLOOKUP(Cmt(B318),Sheet2!A:B,2,FALSE))</f>
        <v/>
      </c>
      <c r="T318" s="39" t="str">
        <f t="shared" si="117"/>
        <v/>
      </c>
      <c r="U318" s="13" t="str">
        <f t="shared" si="116"/>
        <v/>
      </c>
      <c r="W318" s="11"/>
    </row>
    <row r="319" spans="9:23">
      <c r="I319" s="17" t="str">
        <f t="shared" si="114"/>
        <v/>
      </c>
      <c r="M319" s="16" t="str">
        <f t="shared" si="115"/>
        <v/>
      </c>
      <c r="S319" t="str">
        <f>IF(B319="","",VLOOKUP(Cmt(B319),Sheet2!A:B,2,FALSE))</f>
        <v/>
      </c>
      <c r="T319" s="39" t="str">
        <f t="shared" si="117"/>
        <v/>
      </c>
      <c r="U319" s="13" t="str">
        <f t="shared" si="116"/>
        <v/>
      </c>
      <c r="W319" s="11"/>
    </row>
    <row r="320" spans="9:23">
      <c r="I320" s="17" t="str">
        <f t="shared" si="114"/>
        <v/>
      </c>
      <c r="M320" s="16" t="str">
        <f t="shared" si="115"/>
        <v/>
      </c>
      <c r="S320" t="str">
        <f>IF(B320="","",VLOOKUP(Cmt(B320),Sheet2!A:B,2,FALSE))</f>
        <v/>
      </c>
      <c r="T320" s="39" t="str">
        <f t="shared" si="117"/>
        <v/>
      </c>
      <c r="U320" s="13" t="str">
        <f t="shared" si="116"/>
        <v/>
      </c>
      <c r="W320" s="11"/>
    </row>
    <row r="321" spans="9:23">
      <c r="I321" s="17" t="str">
        <f t="shared" si="114"/>
        <v/>
      </c>
      <c r="M321" s="16" t="str">
        <f t="shared" si="115"/>
        <v/>
      </c>
      <c r="S321" t="str">
        <f>IF(B321="","",VLOOKUP(Cmt(B321),Sheet2!A:B,2,FALSE))</f>
        <v/>
      </c>
      <c r="T321" s="39" t="str">
        <f t="shared" si="117"/>
        <v/>
      </c>
      <c r="U321" s="13" t="str">
        <f t="shared" si="116"/>
        <v/>
      </c>
      <c r="W321" s="11"/>
    </row>
    <row r="322" spans="9:23">
      <c r="I322" s="17" t="str">
        <f t="shared" si="114"/>
        <v/>
      </c>
      <c r="M322" s="16" t="str">
        <f t="shared" si="115"/>
        <v/>
      </c>
      <c r="S322" t="str">
        <f>IF(B322="","",VLOOKUP(Cmt(B322),Sheet2!A:B,2,FALSE))</f>
        <v/>
      </c>
      <c r="T322" s="39" t="str">
        <f t="shared" si="117"/>
        <v/>
      </c>
      <c r="U322" s="13" t="str">
        <f t="shared" si="116"/>
        <v/>
      </c>
      <c r="W322" s="11"/>
    </row>
    <row r="323" spans="9:23">
      <c r="I323" s="17" t="str">
        <f t="shared" si="114"/>
        <v/>
      </c>
      <c r="M323" s="16" t="str">
        <f t="shared" si="115"/>
        <v/>
      </c>
      <c r="S323" t="str">
        <f>IF(B323="","",VLOOKUP(Cmt(B323),Sheet2!A:B,2,FALSE))</f>
        <v/>
      </c>
      <c r="T323" s="39" t="str">
        <f t="shared" si="117"/>
        <v/>
      </c>
      <c r="U323" s="13" t="str">
        <f t="shared" si="116"/>
        <v/>
      </c>
      <c r="W323" s="11"/>
    </row>
    <row r="324" spans="9:23">
      <c r="I324" s="17" t="str">
        <f t="shared" si="114"/>
        <v/>
      </c>
      <c r="M324" s="16" t="str">
        <f t="shared" si="115"/>
        <v/>
      </c>
      <c r="S324" t="str">
        <f>IF(B324="","",VLOOKUP(Cmt(B324),Sheet2!A:B,2,FALSE))</f>
        <v/>
      </c>
      <c r="T324" s="39" t="str">
        <f t="shared" si="117"/>
        <v/>
      </c>
      <c r="U324" s="13" t="str">
        <f t="shared" si="116"/>
        <v/>
      </c>
      <c r="W324" s="11"/>
    </row>
    <row r="325" spans="9:23">
      <c r="I325" s="17" t="str">
        <f t="shared" si="114"/>
        <v/>
      </c>
      <c r="M325" s="16" t="str">
        <f t="shared" si="115"/>
        <v/>
      </c>
      <c r="S325" t="str">
        <f>IF(B325="","",VLOOKUP(Cmt(B325),Sheet2!A:B,2,FALSE))</f>
        <v/>
      </c>
      <c r="T325" s="39" t="str">
        <f t="shared" si="117"/>
        <v/>
      </c>
      <c r="U325" s="13" t="str">
        <f t="shared" si="116"/>
        <v/>
      </c>
      <c r="W325" s="11"/>
    </row>
    <row r="326" spans="9:23">
      <c r="I326" s="17" t="str">
        <f t="shared" si="114"/>
        <v/>
      </c>
      <c r="M326" s="16" t="str">
        <f t="shared" si="115"/>
        <v/>
      </c>
      <c r="S326" t="str">
        <f>IF(B326="","",VLOOKUP(Cmt(B326),Sheet2!A:B,2,FALSE))</f>
        <v/>
      </c>
      <c r="T326" s="39" t="str">
        <f t="shared" si="117"/>
        <v/>
      </c>
      <c r="U326" s="13" t="str">
        <f t="shared" si="116"/>
        <v/>
      </c>
      <c r="W326" s="11"/>
    </row>
    <row r="327" spans="9:23">
      <c r="I327" s="17" t="str">
        <f t="shared" si="114"/>
        <v/>
      </c>
      <c r="M327" s="16" t="str">
        <f t="shared" si="115"/>
        <v/>
      </c>
      <c r="S327" t="str">
        <f>IF(B327="","",VLOOKUP(Cmt(B327),Sheet2!A:B,2,FALSE))</f>
        <v/>
      </c>
      <c r="T327" s="39" t="str">
        <f t="shared" si="117"/>
        <v/>
      </c>
      <c r="U327" s="13" t="str">
        <f t="shared" si="116"/>
        <v/>
      </c>
      <c r="W327" s="11"/>
    </row>
    <row r="328" spans="9:23">
      <c r="I328" s="17" t="str">
        <f t="shared" si="114"/>
        <v/>
      </c>
      <c r="M328" s="16" t="str">
        <f t="shared" si="115"/>
        <v/>
      </c>
      <c r="S328" t="str">
        <f>IF(B328="","",VLOOKUP(Cmt(B328),Sheet2!A:B,2,FALSE))</f>
        <v/>
      </c>
      <c r="T328" s="39" t="str">
        <f t="shared" si="117"/>
        <v/>
      </c>
      <c r="U328" s="13" t="str">
        <f t="shared" si="116"/>
        <v/>
      </c>
      <c r="W328" s="11"/>
    </row>
    <row r="329" spans="9:23">
      <c r="I329" s="17" t="str">
        <f t="shared" si="114"/>
        <v/>
      </c>
      <c r="M329" s="16" t="str">
        <f t="shared" si="115"/>
        <v/>
      </c>
      <c r="S329" t="str">
        <f>IF(B329="","",VLOOKUP(Cmt(B329),Sheet2!A:B,2,FALSE))</f>
        <v/>
      </c>
      <c r="T329" s="39" t="str">
        <f t="shared" si="117"/>
        <v/>
      </c>
      <c r="U329" s="13" t="str">
        <f t="shared" si="116"/>
        <v/>
      </c>
      <c r="W329" s="11"/>
    </row>
    <row r="330" spans="9:23">
      <c r="I330" s="17" t="str">
        <f t="shared" si="114"/>
        <v/>
      </c>
      <c r="M330" s="16" t="str">
        <f t="shared" si="115"/>
        <v/>
      </c>
      <c r="S330" t="str">
        <f>IF(B330="","",VLOOKUP(Cmt(B330),Sheet2!A:B,2,FALSE))</f>
        <v/>
      </c>
      <c r="T330" s="39" t="str">
        <f t="shared" si="117"/>
        <v/>
      </c>
      <c r="U330" s="13" t="str">
        <f t="shared" si="116"/>
        <v/>
      </c>
      <c r="W330" s="11"/>
    </row>
    <row r="331" spans="9:23">
      <c r="I331" s="17" t="str">
        <f t="shared" si="114"/>
        <v/>
      </c>
      <c r="M331" s="16" t="str">
        <f t="shared" si="115"/>
        <v/>
      </c>
      <c r="S331" t="str">
        <f>IF(B331="","",VLOOKUP(Cmt(B331),Sheet2!A:B,2,FALSE))</f>
        <v/>
      </c>
      <c r="T331" s="39" t="str">
        <f t="shared" si="117"/>
        <v/>
      </c>
      <c r="U331" s="13" t="str">
        <f t="shared" si="116"/>
        <v/>
      </c>
      <c r="W331" s="11"/>
    </row>
    <row r="332" spans="9:23">
      <c r="I332" s="17" t="str">
        <f t="shared" si="114"/>
        <v/>
      </c>
      <c r="M332" s="16" t="str">
        <f t="shared" si="115"/>
        <v/>
      </c>
      <c r="S332" t="str">
        <f>IF(B332="","",VLOOKUP(Cmt(B332),Sheet2!A:B,2,FALSE))</f>
        <v/>
      </c>
      <c r="T332" s="39" t="str">
        <f t="shared" si="117"/>
        <v/>
      </c>
      <c r="U332" s="13" t="str">
        <f t="shared" si="116"/>
        <v/>
      </c>
      <c r="W332" s="11"/>
    </row>
    <row r="333" spans="9:23">
      <c r="I333" s="17" t="str">
        <f t="shared" si="114"/>
        <v/>
      </c>
      <c r="M333" s="16" t="str">
        <f t="shared" si="115"/>
        <v/>
      </c>
      <c r="S333" t="str">
        <f>IF(B333="","",VLOOKUP(Cmt(B333),Sheet2!A:B,2,FALSE))</f>
        <v/>
      </c>
      <c r="T333" s="39" t="str">
        <f t="shared" si="117"/>
        <v/>
      </c>
      <c r="U333" s="13" t="str">
        <f t="shared" si="116"/>
        <v/>
      </c>
      <c r="W333" s="11"/>
    </row>
    <row r="334" spans="9:23">
      <c r="I334" s="17" t="str">
        <f t="shared" si="114"/>
        <v/>
      </c>
      <c r="M334" s="16" t="str">
        <f t="shared" si="115"/>
        <v/>
      </c>
      <c r="S334" t="str">
        <f>IF(B334="","",VLOOKUP(Cmt(B334),Sheet2!A:B,2,FALSE))</f>
        <v/>
      </c>
      <c r="T334" s="39" t="str">
        <f t="shared" si="117"/>
        <v/>
      </c>
      <c r="U334" s="13" t="str">
        <f t="shared" si="116"/>
        <v/>
      </c>
      <c r="W334" s="11"/>
    </row>
    <row r="335" spans="9:23">
      <c r="I335" s="17" t="str">
        <f t="shared" si="114"/>
        <v/>
      </c>
      <c r="M335" s="16" t="str">
        <f t="shared" si="115"/>
        <v/>
      </c>
      <c r="S335" t="str">
        <f>IF(B335="","",VLOOKUP(Cmt(B335),Sheet2!A:B,2,FALSE))</f>
        <v/>
      </c>
      <c r="T335" s="39" t="str">
        <f t="shared" si="117"/>
        <v/>
      </c>
      <c r="U335" s="13" t="str">
        <f t="shared" si="116"/>
        <v/>
      </c>
      <c r="W335" s="11"/>
    </row>
    <row r="336" spans="9:23">
      <c r="I336" s="17" t="str">
        <f t="shared" si="114"/>
        <v/>
      </c>
      <c r="M336" s="16" t="str">
        <f t="shared" si="115"/>
        <v/>
      </c>
      <c r="S336" t="str">
        <f>IF(B336="","",VLOOKUP(Cmt(B336),Sheet2!A:B,2,FALSE))</f>
        <v/>
      </c>
      <c r="T336" s="39" t="str">
        <f t="shared" si="117"/>
        <v/>
      </c>
      <c r="U336" s="13" t="str">
        <f t="shared" si="116"/>
        <v/>
      </c>
      <c r="W336" s="11"/>
    </row>
    <row r="337" spans="9:23">
      <c r="I337" s="17" t="str">
        <f t="shared" si="114"/>
        <v/>
      </c>
      <c r="M337" s="16" t="str">
        <f t="shared" si="115"/>
        <v/>
      </c>
      <c r="S337" t="str">
        <f>IF(B337="","",VLOOKUP(Cmt(B337),Sheet2!A:B,2,FALSE))</f>
        <v/>
      </c>
      <c r="T337" s="39" t="str">
        <f t="shared" si="117"/>
        <v/>
      </c>
      <c r="U337" s="13" t="str">
        <f t="shared" si="116"/>
        <v/>
      </c>
      <c r="W337" s="11"/>
    </row>
    <row r="338" spans="9:23">
      <c r="I338" s="17" t="str">
        <f t="shared" si="114"/>
        <v/>
      </c>
      <c r="M338" s="16" t="str">
        <f t="shared" si="115"/>
        <v/>
      </c>
      <c r="S338" t="str">
        <f>IF(B338="","",VLOOKUP(Cmt(B338),Sheet2!A:B,2,FALSE))</f>
        <v/>
      </c>
      <c r="T338" s="39" t="str">
        <f t="shared" si="117"/>
        <v/>
      </c>
      <c r="U338" s="13" t="str">
        <f t="shared" si="116"/>
        <v/>
      </c>
      <c r="W338" s="11"/>
    </row>
    <row r="339" spans="9:23">
      <c r="I339" s="17" t="str">
        <f t="shared" ref="I339:I370" si="118">IF(G339="","",G339*H339)</f>
        <v/>
      </c>
      <c r="M339" s="16" t="str">
        <f t="shared" si="115"/>
        <v/>
      </c>
      <c r="S339" t="str">
        <f>IF(B339="","",VLOOKUP(Cmt(B339),Sheet2!A:B,2,FALSE))</f>
        <v/>
      </c>
      <c r="T339" s="39" t="str">
        <f t="shared" si="117"/>
        <v/>
      </c>
      <c r="U339" s="13" t="str">
        <f t="shared" si="116"/>
        <v/>
      </c>
      <c r="W339" s="11"/>
    </row>
    <row r="340" spans="9:23">
      <c r="I340" s="17" t="str">
        <f t="shared" si="118"/>
        <v/>
      </c>
      <c r="M340" s="16" t="str">
        <f t="shared" ref="M340:M370" si="119">IF(J340="","",C340*(J340-D340)*S340)</f>
        <v/>
      </c>
      <c r="S340" t="str">
        <f>IF(B340="","",VLOOKUP(Cmt(B340),Sheet2!A:B,2,FALSE))</f>
        <v/>
      </c>
      <c r="T340" s="39" t="str">
        <f t="shared" si="117"/>
        <v/>
      </c>
      <c r="U340" s="13" t="str">
        <f t="shared" si="116"/>
        <v/>
      </c>
      <c r="W340" s="11"/>
    </row>
    <row r="341" spans="9:23">
      <c r="I341" s="17" t="str">
        <f t="shared" si="118"/>
        <v/>
      </c>
      <c r="M341" s="16" t="str">
        <f t="shared" si="119"/>
        <v/>
      </c>
      <c r="S341" t="str">
        <f>IF(B341="","",VLOOKUP(Cmt(B341),Sheet2!A:B,2,FALSE))</f>
        <v/>
      </c>
      <c r="T341" s="39" t="str">
        <f t="shared" si="117"/>
        <v/>
      </c>
      <c r="U341" s="13" t="str">
        <f t="shared" si="116"/>
        <v/>
      </c>
      <c r="W341" s="11"/>
    </row>
    <row r="342" spans="9:23">
      <c r="I342" s="17" t="str">
        <f t="shared" si="118"/>
        <v/>
      </c>
      <c r="M342" s="16" t="str">
        <f t="shared" si="119"/>
        <v/>
      </c>
      <c r="S342" t="str">
        <f>IF(B342="","",VLOOKUP(Cmt(B342),Sheet2!A:B,2,FALSE))</f>
        <v/>
      </c>
      <c r="T342" s="39" t="str">
        <f t="shared" si="117"/>
        <v/>
      </c>
      <c r="U342" s="13" t="str">
        <f t="shared" si="116"/>
        <v/>
      </c>
      <c r="W342" s="11"/>
    </row>
    <row r="343" spans="9:23">
      <c r="I343" s="17" t="str">
        <f t="shared" si="118"/>
        <v/>
      </c>
      <c r="M343" s="16" t="str">
        <f t="shared" si="119"/>
        <v/>
      </c>
      <c r="S343" t="str">
        <f>IF(B343="","",VLOOKUP(Cmt(B343),Sheet2!A:B,2,FALSE))</f>
        <v/>
      </c>
      <c r="T343" s="39" t="str">
        <f t="shared" si="117"/>
        <v/>
      </c>
      <c r="U343" s="13" t="str">
        <f t="shared" si="116"/>
        <v/>
      </c>
      <c r="W343" s="11"/>
    </row>
    <row r="344" spans="9:23">
      <c r="I344" s="17" t="str">
        <f t="shared" si="118"/>
        <v/>
      </c>
      <c r="M344" s="16" t="str">
        <f t="shared" si="119"/>
        <v/>
      </c>
      <c r="S344" t="str">
        <f>IF(B344="","",VLOOKUP(Cmt(B344),Sheet2!A:B,2,FALSE))</f>
        <v/>
      </c>
      <c r="T344" s="39" t="str">
        <f t="shared" si="117"/>
        <v/>
      </c>
      <c r="U344" s="13" t="str">
        <f t="shared" si="116"/>
        <v/>
      </c>
      <c r="W344" s="11"/>
    </row>
    <row r="345" spans="9:23">
      <c r="I345" s="17" t="str">
        <f t="shared" si="118"/>
        <v/>
      </c>
      <c r="M345" s="16" t="str">
        <f t="shared" si="119"/>
        <v/>
      </c>
      <c r="S345" t="str">
        <f>IF(B345="","",VLOOKUP(Cmt(B345),Sheet2!A:B,2,FALSE))</f>
        <v/>
      </c>
      <c r="T345" s="39" t="str">
        <f t="shared" si="117"/>
        <v/>
      </c>
      <c r="U345" s="13" t="str">
        <f t="shared" si="116"/>
        <v/>
      </c>
      <c r="W345" s="11"/>
    </row>
    <row r="346" spans="9:23">
      <c r="I346" s="17" t="str">
        <f t="shared" si="118"/>
        <v/>
      </c>
      <c r="M346" s="16" t="str">
        <f t="shared" si="119"/>
        <v/>
      </c>
      <c r="S346" t="str">
        <f>IF(B346="","",VLOOKUP(Cmt(B346),Sheet2!A:B,2,FALSE))</f>
        <v/>
      </c>
      <c r="T346" s="39" t="str">
        <f t="shared" si="117"/>
        <v/>
      </c>
      <c r="U346" s="13" t="str">
        <f t="shared" si="116"/>
        <v/>
      </c>
      <c r="W346" s="11"/>
    </row>
    <row r="347" spans="9:23">
      <c r="I347" s="17" t="str">
        <f t="shared" si="118"/>
        <v/>
      </c>
      <c r="M347" s="16" t="str">
        <f t="shared" si="119"/>
        <v/>
      </c>
      <c r="S347" t="str">
        <f>IF(B347="","",VLOOKUP(Cmt(B347),Sheet2!A:B,2,FALSE))</f>
        <v/>
      </c>
      <c r="T347" s="39" t="str">
        <f t="shared" si="117"/>
        <v/>
      </c>
      <c r="U347" s="13" t="str">
        <f t="shared" si="116"/>
        <v/>
      </c>
      <c r="W347" s="11"/>
    </row>
    <row r="348" spans="9:23">
      <c r="I348" s="17" t="str">
        <f t="shared" si="118"/>
        <v/>
      </c>
      <c r="M348" s="16" t="str">
        <f t="shared" si="119"/>
        <v/>
      </c>
      <c r="S348" t="str">
        <f>IF(B348="","",VLOOKUP(Cmt(B348),Sheet2!A:B,2,FALSE))</f>
        <v/>
      </c>
      <c r="T348" s="39" t="str">
        <f t="shared" si="117"/>
        <v/>
      </c>
      <c r="U348" s="13" t="str">
        <f t="shared" ref="U348:U370" si="120">IF(S348="","",T348*I348/(D348*S348*0.15))</f>
        <v/>
      </c>
      <c r="W348" s="11"/>
    </row>
    <row r="349" spans="9:23">
      <c r="I349" s="17" t="str">
        <f t="shared" si="118"/>
        <v/>
      </c>
      <c r="M349" s="16" t="str">
        <f t="shared" si="119"/>
        <v/>
      </c>
      <c r="S349" t="str">
        <f>IF(B349="","",VLOOKUP(Cmt(B349),Sheet2!A:B,2,FALSE))</f>
        <v/>
      </c>
      <c r="T349" s="39" t="str">
        <f t="shared" si="117"/>
        <v/>
      </c>
      <c r="U349" s="13" t="str">
        <f t="shared" si="120"/>
        <v/>
      </c>
      <c r="W349" s="11"/>
    </row>
    <row r="350" spans="9:23">
      <c r="I350" s="17" t="str">
        <f t="shared" si="118"/>
        <v/>
      </c>
      <c r="M350" s="16" t="str">
        <f t="shared" si="119"/>
        <v/>
      </c>
      <c r="S350" t="str">
        <f>IF(B350="","",VLOOKUP(Cmt(B350),Sheet2!A:B,2,FALSE))</f>
        <v/>
      </c>
      <c r="T350" s="39" t="str">
        <f t="shared" ref="T350:T370" si="121">IF(S350="","",T349)</f>
        <v/>
      </c>
      <c r="U350" s="13" t="str">
        <f t="shared" si="120"/>
        <v/>
      </c>
      <c r="W350" s="11"/>
    </row>
    <row r="351" spans="9:23">
      <c r="I351" s="17" t="str">
        <f t="shared" si="118"/>
        <v/>
      </c>
      <c r="M351" s="16" t="str">
        <f t="shared" si="119"/>
        <v/>
      </c>
      <c r="S351" t="str">
        <f>IF(B351="","",VLOOKUP(Cmt(B351),Sheet2!A:B,2,FALSE))</f>
        <v/>
      </c>
      <c r="T351" s="39" t="str">
        <f t="shared" si="121"/>
        <v/>
      </c>
      <c r="U351" s="13" t="str">
        <f t="shared" si="120"/>
        <v/>
      </c>
      <c r="W351" s="11"/>
    </row>
    <row r="352" spans="9:23">
      <c r="I352" s="17" t="str">
        <f t="shared" si="118"/>
        <v/>
      </c>
      <c r="M352" s="16" t="str">
        <f t="shared" si="119"/>
        <v/>
      </c>
      <c r="S352" t="str">
        <f>IF(B352="","",VLOOKUP(Cmt(B352),Sheet2!A:B,2,FALSE))</f>
        <v/>
      </c>
      <c r="T352" s="39" t="str">
        <f t="shared" si="121"/>
        <v/>
      </c>
      <c r="U352" s="13" t="str">
        <f t="shared" si="120"/>
        <v/>
      </c>
      <c r="W352" s="11"/>
    </row>
    <row r="353" spans="9:23">
      <c r="I353" s="17" t="str">
        <f t="shared" si="118"/>
        <v/>
      </c>
      <c r="M353" s="16" t="str">
        <f t="shared" si="119"/>
        <v/>
      </c>
      <c r="S353" t="str">
        <f>IF(B353="","",VLOOKUP(Cmt(B353),Sheet2!A:B,2,FALSE))</f>
        <v/>
      </c>
      <c r="T353" s="39" t="str">
        <f t="shared" si="121"/>
        <v/>
      </c>
      <c r="U353" s="13" t="str">
        <f t="shared" si="120"/>
        <v/>
      </c>
      <c r="W353" s="11"/>
    </row>
    <row r="354" spans="9:23">
      <c r="I354" s="17" t="str">
        <f t="shared" si="118"/>
        <v/>
      </c>
      <c r="M354" s="16" t="str">
        <f t="shared" si="119"/>
        <v/>
      </c>
      <c r="S354" t="str">
        <f>IF(B354="","",VLOOKUP(Cmt(B354),Sheet2!A:B,2,FALSE))</f>
        <v/>
      </c>
      <c r="T354" s="39" t="str">
        <f t="shared" si="121"/>
        <v/>
      </c>
      <c r="U354" s="13" t="str">
        <f t="shared" si="120"/>
        <v/>
      </c>
      <c r="W354" s="11"/>
    </row>
    <row r="355" spans="9:23">
      <c r="I355" s="17" t="str">
        <f t="shared" si="118"/>
        <v/>
      </c>
      <c r="M355" s="16" t="str">
        <f t="shared" si="119"/>
        <v/>
      </c>
      <c r="S355" t="str">
        <f>IF(B355="","",VLOOKUP(Cmt(B355),Sheet2!A:B,2,FALSE))</f>
        <v/>
      </c>
      <c r="T355" s="39" t="str">
        <f t="shared" si="121"/>
        <v/>
      </c>
      <c r="U355" s="13" t="str">
        <f t="shared" si="120"/>
        <v/>
      </c>
      <c r="W355" s="11"/>
    </row>
    <row r="356" spans="9:23">
      <c r="I356" s="17" t="str">
        <f t="shared" si="118"/>
        <v/>
      </c>
      <c r="M356" s="16" t="str">
        <f t="shared" si="119"/>
        <v/>
      </c>
      <c r="S356" t="str">
        <f>IF(B356="","",VLOOKUP(Cmt(B356),Sheet2!A:B,2,FALSE))</f>
        <v/>
      </c>
      <c r="T356" s="39" t="str">
        <f t="shared" si="121"/>
        <v/>
      </c>
      <c r="U356" s="13" t="str">
        <f t="shared" si="120"/>
        <v/>
      </c>
      <c r="W356" s="11"/>
    </row>
    <row r="357" spans="9:23">
      <c r="I357" s="17" t="str">
        <f t="shared" si="118"/>
        <v/>
      </c>
      <c r="M357" s="16" t="str">
        <f t="shared" si="119"/>
        <v/>
      </c>
      <c r="S357" t="str">
        <f>IF(B357="","",VLOOKUP(Cmt(B357),Sheet2!A:B,2,FALSE))</f>
        <v/>
      </c>
      <c r="T357" s="39" t="str">
        <f t="shared" si="121"/>
        <v/>
      </c>
      <c r="U357" s="13" t="str">
        <f t="shared" si="120"/>
        <v/>
      </c>
      <c r="W357" s="11"/>
    </row>
    <row r="358" spans="9:23">
      <c r="I358" s="17" t="str">
        <f t="shared" si="118"/>
        <v/>
      </c>
      <c r="M358" s="16" t="str">
        <f t="shared" si="119"/>
        <v/>
      </c>
      <c r="S358" t="str">
        <f>IF(B358="","",VLOOKUP(Cmt(B358),Sheet2!A:B,2,FALSE))</f>
        <v/>
      </c>
      <c r="T358" s="39" t="str">
        <f t="shared" si="121"/>
        <v/>
      </c>
      <c r="U358" s="13" t="str">
        <f t="shared" si="120"/>
        <v/>
      </c>
      <c r="W358" s="11"/>
    </row>
    <row r="359" spans="9:23">
      <c r="I359" s="17" t="str">
        <f t="shared" si="118"/>
        <v/>
      </c>
      <c r="M359" s="16" t="str">
        <f t="shared" si="119"/>
        <v/>
      </c>
      <c r="S359" t="str">
        <f>IF(B359="","",VLOOKUP(Cmt(B359),Sheet2!A:B,2,FALSE))</f>
        <v/>
      </c>
      <c r="T359" s="39" t="str">
        <f t="shared" si="121"/>
        <v/>
      </c>
      <c r="U359" s="13" t="str">
        <f t="shared" si="120"/>
        <v/>
      </c>
      <c r="W359" s="11"/>
    </row>
    <row r="360" spans="9:23">
      <c r="I360" s="17" t="str">
        <f t="shared" si="118"/>
        <v/>
      </c>
      <c r="M360" s="16" t="str">
        <f t="shared" si="119"/>
        <v/>
      </c>
      <c r="S360" t="str">
        <f>IF(B360="","",VLOOKUP(Cmt(B360),Sheet2!A:B,2,FALSE))</f>
        <v/>
      </c>
      <c r="T360" s="39" t="str">
        <f t="shared" si="121"/>
        <v/>
      </c>
      <c r="U360" s="13" t="str">
        <f t="shared" si="120"/>
        <v/>
      </c>
      <c r="W360" s="11"/>
    </row>
    <row r="361" spans="9:23">
      <c r="I361" s="17" t="str">
        <f t="shared" si="118"/>
        <v/>
      </c>
      <c r="M361" s="16" t="str">
        <f t="shared" si="119"/>
        <v/>
      </c>
      <c r="S361" t="str">
        <f>IF(B361="","",VLOOKUP(Cmt(B361),Sheet2!A:B,2,FALSE))</f>
        <v/>
      </c>
      <c r="T361" s="39" t="str">
        <f t="shared" si="121"/>
        <v/>
      </c>
      <c r="U361" s="13" t="str">
        <f t="shared" si="120"/>
        <v/>
      </c>
      <c r="W361" s="11"/>
    </row>
    <row r="362" spans="9:23">
      <c r="I362" s="17" t="str">
        <f t="shared" si="118"/>
        <v/>
      </c>
      <c r="M362" s="16" t="str">
        <f t="shared" si="119"/>
        <v/>
      </c>
      <c r="S362" t="str">
        <f>IF(B362="","",VLOOKUP(Cmt(B362),Sheet2!A:B,2,FALSE))</f>
        <v/>
      </c>
      <c r="T362" s="39" t="str">
        <f t="shared" si="121"/>
        <v/>
      </c>
      <c r="U362" s="13" t="str">
        <f t="shared" si="120"/>
        <v/>
      </c>
      <c r="W362" s="11"/>
    </row>
    <row r="363" spans="9:23">
      <c r="I363" s="17" t="str">
        <f t="shared" si="118"/>
        <v/>
      </c>
      <c r="M363" s="16" t="str">
        <f t="shared" si="119"/>
        <v/>
      </c>
      <c r="S363" t="str">
        <f>IF(B363="","",VLOOKUP(Cmt(B363),Sheet2!A:B,2,FALSE))</f>
        <v/>
      </c>
      <c r="T363" s="39" t="str">
        <f t="shared" si="121"/>
        <v/>
      </c>
      <c r="U363" s="13" t="str">
        <f t="shared" si="120"/>
        <v/>
      </c>
      <c r="W363" s="11"/>
    </row>
    <row r="364" spans="9:23">
      <c r="I364" s="17" t="str">
        <f t="shared" si="118"/>
        <v/>
      </c>
      <c r="M364" s="16" t="str">
        <f t="shared" si="119"/>
        <v/>
      </c>
      <c r="S364" t="str">
        <f>IF(B364="","",VLOOKUP(Cmt(B364),Sheet2!A:B,2,FALSE))</f>
        <v/>
      </c>
      <c r="T364" s="39" t="str">
        <f t="shared" si="121"/>
        <v/>
      </c>
      <c r="U364" s="13" t="str">
        <f t="shared" si="120"/>
        <v/>
      </c>
      <c r="W364" s="11"/>
    </row>
    <row r="365" spans="9:23">
      <c r="I365" s="17" t="str">
        <f t="shared" si="118"/>
        <v/>
      </c>
      <c r="M365" s="16" t="str">
        <f t="shared" si="119"/>
        <v/>
      </c>
      <c r="S365" t="str">
        <f>IF(B365="","",VLOOKUP(Cmt(B365),Sheet2!A:B,2,FALSE))</f>
        <v/>
      </c>
      <c r="T365" s="39" t="str">
        <f t="shared" si="121"/>
        <v/>
      </c>
      <c r="U365" s="13" t="str">
        <f t="shared" si="120"/>
        <v/>
      </c>
      <c r="W365" s="11"/>
    </row>
    <row r="366" spans="9:23">
      <c r="I366" s="17" t="str">
        <f t="shared" si="118"/>
        <v/>
      </c>
      <c r="M366" s="16" t="str">
        <f t="shared" si="119"/>
        <v/>
      </c>
      <c r="S366" t="str">
        <f>IF(B366="","",VLOOKUP(Cmt(B366),Sheet2!A:B,2,FALSE))</f>
        <v/>
      </c>
      <c r="T366" s="39" t="str">
        <f t="shared" si="121"/>
        <v/>
      </c>
      <c r="U366" s="13" t="str">
        <f t="shared" si="120"/>
        <v/>
      </c>
      <c r="W366" s="11"/>
    </row>
    <row r="367" spans="9:23">
      <c r="I367" s="17" t="str">
        <f t="shared" si="118"/>
        <v/>
      </c>
      <c r="M367" s="16" t="str">
        <f t="shared" si="119"/>
        <v/>
      </c>
      <c r="S367" t="str">
        <f>IF(B367="","",VLOOKUP(Cmt(B367),Sheet2!A:B,2,FALSE))</f>
        <v/>
      </c>
      <c r="T367" s="39" t="str">
        <f t="shared" si="121"/>
        <v/>
      </c>
      <c r="U367" s="13" t="str">
        <f t="shared" si="120"/>
        <v/>
      </c>
      <c r="W367" s="11"/>
    </row>
    <row r="368" spans="9:23">
      <c r="I368" s="17" t="str">
        <f t="shared" si="118"/>
        <v/>
      </c>
      <c r="M368" s="16" t="str">
        <f t="shared" si="119"/>
        <v/>
      </c>
      <c r="S368" t="str">
        <f>IF(B368="","",VLOOKUP(Cmt(B368),Sheet2!A:B,2,FALSE))</f>
        <v/>
      </c>
      <c r="T368" s="39" t="str">
        <f t="shared" si="121"/>
        <v/>
      </c>
      <c r="U368" s="13" t="str">
        <f t="shared" si="120"/>
        <v/>
      </c>
      <c r="W368" s="11"/>
    </row>
    <row r="369" spans="9:23">
      <c r="I369" s="17" t="str">
        <f t="shared" si="118"/>
        <v/>
      </c>
      <c r="M369" s="16" t="str">
        <f t="shared" si="119"/>
        <v/>
      </c>
      <c r="S369" t="str">
        <f>IF(B369="","",VLOOKUP(Cmt(B369),Sheet2!A:B,2,FALSE))</f>
        <v/>
      </c>
      <c r="T369" s="39" t="str">
        <f t="shared" si="121"/>
        <v/>
      </c>
      <c r="U369" s="13" t="str">
        <f t="shared" si="120"/>
        <v/>
      </c>
      <c r="W369" s="11"/>
    </row>
    <row r="370" spans="9:23">
      <c r="I370" s="17" t="str">
        <f t="shared" si="118"/>
        <v/>
      </c>
      <c r="M370" s="16" t="str">
        <f t="shared" si="119"/>
        <v/>
      </c>
      <c r="S370" t="str">
        <f>IF(B370="","",VLOOKUP(Cmt(B370),Sheet2!A:B,2,FALSE))</f>
        <v/>
      </c>
      <c r="T370" s="39" t="str">
        <f t="shared" si="121"/>
        <v/>
      </c>
      <c r="U370" s="13" t="str">
        <f t="shared" si="120"/>
        <v/>
      </c>
      <c r="W370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81"/>
  <sheetViews>
    <sheetView workbookViewId="0">
      <pane ySplit="1" topLeftCell="A27" activePane="bottomLeft" state="frozen"/>
      <selection pane="bottomLeft" sqref="A1:M50"/>
    </sheetView>
  </sheetViews>
  <sheetFormatPr defaultRowHeight="13.5"/>
  <cols>
    <col min="4" max="4" width="10.5" bestFit="1" customWidth="1"/>
    <col min="7" max="7" width="10.5" bestFit="1" customWidth="1"/>
    <col min="8" max="8" width="10.5" style="77" customWidth="1"/>
    <col min="12" max="12" width="13" bestFit="1" customWidth="1"/>
    <col min="13" max="13" width="12" customWidth="1"/>
  </cols>
  <sheetData>
    <row r="1" spans="1:19">
      <c r="A1" s="67" t="s">
        <v>1</v>
      </c>
      <c r="B1" s="67" t="s">
        <v>2</v>
      </c>
      <c r="C1" s="67" t="s">
        <v>3</v>
      </c>
      <c r="D1" s="67" t="s">
        <v>89</v>
      </c>
      <c r="E1" s="67" t="s">
        <v>41</v>
      </c>
      <c r="F1" s="68" t="s">
        <v>289</v>
      </c>
      <c r="G1" s="68" t="s">
        <v>181</v>
      </c>
      <c r="H1" s="74" t="s">
        <v>290</v>
      </c>
      <c r="I1" s="67" t="s">
        <v>5</v>
      </c>
      <c r="J1" s="67" t="s">
        <v>19</v>
      </c>
      <c r="K1" s="62" t="s">
        <v>42</v>
      </c>
      <c r="L1" s="62" t="s">
        <v>291</v>
      </c>
      <c r="M1" s="62" t="s">
        <v>292</v>
      </c>
      <c r="N1" s="67" t="s">
        <v>183</v>
      </c>
      <c r="O1" s="67" t="s">
        <v>186</v>
      </c>
      <c r="P1" s="69" t="s">
        <v>184</v>
      </c>
      <c r="Q1" s="69" t="s">
        <v>185</v>
      </c>
      <c r="R1" s="72" t="s">
        <v>280</v>
      </c>
      <c r="S1" s="72" t="s">
        <v>293</v>
      </c>
    </row>
    <row r="2" spans="1:19">
      <c r="A2" s="13" t="s">
        <v>93</v>
      </c>
      <c r="B2" s="13">
        <v>1</v>
      </c>
      <c r="C2" s="13">
        <v>3175.2</v>
      </c>
      <c r="D2" s="21">
        <v>43138</v>
      </c>
      <c r="E2" s="33">
        <v>0.42499999999999999</v>
      </c>
      <c r="F2" s="20">
        <v>1.9E-2</v>
      </c>
      <c r="G2" s="20">
        <v>1.9E-2</v>
      </c>
      <c r="H2" s="75">
        <f t="shared" ref="H2:H33" si="0">F2/G2*B2</f>
        <v>1</v>
      </c>
      <c r="I2" s="13">
        <v>3107.2</v>
      </c>
      <c r="J2" s="21">
        <v>43138</v>
      </c>
      <c r="K2" s="33">
        <v>0.46180555555555558</v>
      </c>
      <c r="L2" s="16">
        <v>-20400</v>
      </c>
      <c r="M2" s="16">
        <f t="shared" ref="M2:M33" si="1">(I2-C2)*H2*S2</f>
        <v>-20400</v>
      </c>
      <c r="N2" s="13"/>
      <c r="O2" s="13"/>
      <c r="P2" s="70"/>
      <c r="Q2" s="71"/>
      <c r="R2" t="s">
        <v>282</v>
      </c>
      <c r="S2">
        <f>VLOOKUP(Cmt(A2),Sheet2!A:B,2,FALSE)</f>
        <v>300</v>
      </c>
    </row>
    <row r="3" spans="1:19">
      <c r="A3" s="13" t="s">
        <v>151</v>
      </c>
      <c r="B3" s="13">
        <v>13</v>
      </c>
      <c r="C3" s="13">
        <v>1373</v>
      </c>
      <c r="D3" s="21">
        <v>43138</v>
      </c>
      <c r="E3" s="33">
        <v>0.38263888888888892</v>
      </c>
      <c r="F3" s="20">
        <v>3.3000000000000002E-2</v>
      </c>
      <c r="G3" s="20">
        <v>1.6500000000000001E-2</v>
      </c>
      <c r="H3" s="75">
        <f t="shared" si="0"/>
        <v>26</v>
      </c>
      <c r="I3" s="13">
        <v>1360</v>
      </c>
      <c r="J3" s="21">
        <v>43139</v>
      </c>
      <c r="K3" s="33">
        <v>0.37847222222222227</v>
      </c>
      <c r="L3" s="16">
        <v>-14820</v>
      </c>
      <c r="M3" s="16">
        <f t="shared" si="1"/>
        <v>-20280</v>
      </c>
      <c r="N3" s="13">
        <v>-2</v>
      </c>
      <c r="O3" s="13">
        <v>272.25</v>
      </c>
      <c r="P3" s="70">
        <v>43138</v>
      </c>
      <c r="Q3" s="71">
        <v>0.62152777777777779</v>
      </c>
      <c r="R3" t="s">
        <v>282</v>
      </c>
      <c r="S3">
        <f>VLOOKUP(Cmt(A3),Sheet2!A:B,2,FALSE)</f>
        <v>60</v>
      </c>
    </row>
    <row r="4" spans="1:19">
      <c r="A4" s="13" t="s">
        <v>64</v>
      </c>
      <c r="B4" s="13">
        <v>29</v>
      </c>
      <c r="C4" s="13">
        <v>4032.14</v>
      </c>
      <c r="D4" s="21">
        <v>43139</v>
      </c>
      <c r="E4" s="33">
        <v>0.46875</v>
      </c>
      <c r="F4" s="20">
        <v>3.5999999999999997E-2</v>
      </c>
      <c r="G4" s="20">
        <v>1.7999999999999999E-2</v>
      </c>
      <c r="H4" s="75">
        <f t="shared" si="0"/>
        <v>58</v>
      </c>
      <c r="I4" s="1">
        <v>3998</v>
      </c>
      <c r="J4" s="2">
        <v>43140</v>
      </c>
      <c r="K4" s="26">
        <v>0.40138888888888885</v>
      </c>
      <c r="L4" s="16">
        <v>-16860.599999999962</v>
      </c>
      <c r="M4" s="16">
        <f t="shared" si="1"/>
        <v>-19801.199999999924</v>
      </c>
      <c r="N4" s="13"/>
      <c r="O4" s="13"/>
      <c r="P4" s="22"/>
      <c r="Q4" s="22"/>
      <c r="R4" t="s">
        <v>285</v>
      </c>
      <c r="S4">
        <f>VLOOKUP(Cmt(A4),Sheet2!A:B,2,FALSE)</f>
        <v>10</v>
      </c>
    </row>
    <row r="5" spans="1:19">
      <c r="A5" s="13" t="s">
        <v>59</v>
      </c>
      <c r="B5" s="13">
        <v>20</v>
      </c>
      <c r="C5" s="13">
        <v>6778</v>
      </c>
      <c r="D5" s="21">
        <v>43138</v>
      </c>
      <c r="E5" s="33">
        <v>0.42499999999999999</v>
      </c>
      <c r="F5" s="20">
        <v>2.1000000000000001E-2</v>
      </c>
      <c r="G5" s="20">
        <v>1.0500000000000001E-2</v>
      </c>
      <c r="H5" s="75">
        <f t="shared" si="0"/>
        <v>40</v>
      </c>
      <c r="I5" s="13">
        <v>6684</v>
      </c>
      <c r="J5" s="21">
        <v>43139</v>
      </c>
      <c r="K5" s="33">
        <v>0.37847222222222227</v>
      </c>
      <c r="L5" s="16">
        <v>-14000</v>
      </c>
      <c r="M5" s="16">
        <f t="shared" si="1"/>
        <v>-18800</v>
      </c>
      <c r="N5" s="13">
        <v>30</v>
      </c>
      <c r="O5" s="13">
        <v>4027</v>
      </c>
      <c r="P5" s="70">
        <v>43136</v>
      </c>
      <c r="Q5" s="71">
        <v>0.62152777777777779</v>
      </c>
      <c r="R5" t="s">
        <v>285</v>
      </c>
      <c r="S5">
        <f>VLOOKUP(Cmt(A5),Sheet2!A:B,2,FALSE)</f>
        <v>5</v>
      </c>
    </row>
    <row r="6" spans="1:19">
      <c r="A6" s="13" t="s">
        <v>273</v>
      </c>
      <c r="B6" s="13">
        <v>20</v>
      </c>
      <c r="C6" s="13">
        <v>527.5</v>
      </c>
      <c r="D6" s="21">
        <v>43138</v>
      </c>
      <c r="E6" s="33">
        <v>0.38263888888888892</v>
      </c>
      <c r="F6" s="20">
        <v>3.2000000000000001E-2</v>
      </c>
      <c r="G6" s="20">
        <v>1.6E-2</v>
      </c>
      <c r="H6" s="75">
        <f t="shared" si="0"/>
        <v>40</v>
      </c>
      <c r="I6" s="13">
        <v>523.5</v>
      </c>
      <c r="J6" s="21">
        <v>43139</v>
      </c>
      <c r="K6" s="33">
        <v>0.37847222222222227</v>
      </c>
      <c r="L6" s="16">
        <v>-12000</v>
      </c>
      <c r="M6" s="16">
        <f t="shared" si="1"/>
        <v>-16000</v>
      </c>
      <c r="N6" s="13">
        <v>29</v>
      </c>
      <c r="O6" s="13">
        <v>4009</v>
      </c>
      <c r="P6" s="70">
        <v>43138</v>
      </c>
      <c r="Q6" s="71">
        <v>0.62152777777777779</v>
      </c>
      <c r="R6" t="s">
        <v>285</v>
      </c>
      <c r="S6">
        <f>VLOOKUP(Cmt(A6),Sheet2!A:B,2,FALSE)</f>
        <v>100</v>
      </c>
    </row>
    <row r="7" spans="1:19">
      <c r="A7" s="13" t="s">
        <v>57</v>
      </c>
      <c r="B7" s="13">
        <v>8</v>
      </c>
      <c r="C7" s="13">
        <v>105220</v>
      </c>
      <c r="D7" s="21">
        <v>43133</v>
      </c>
      <c r="E7" s="33">
        <v>0.3833333333333333</v>
      </c>
      <c r="F7" s="20">
        <v>2.5999999999999999E-2</v>
      </c>
      <c r="G7" s="20">
        <v>1.2999999999999999E-2</v>
      </c>
      <c r="H7" s="75">
        <f t="shared" si="0"/>
        <v>16</v>
      </c>
      <c r="I7" s="13">
        <v>104320</v>
      </c>
      <c r="J7" s="21">
        <v>43133</v>
      </c>
      <c r="K7" s="33">
        <v>0.89930555555555547</v>
      </c>
      <c r="L7" s="16">
        <v>-7200</v>
      </c>
      <c r="M7" s="16">
        <f t="shared" si="1"/>
        <v>-14400</v>
      </c>
      <c r="N7" s="1">
        <v>29</v>
      </c>
      <c r="O7" s="1">
        <v>4022</v>
      </c>
      <c r="P7" s="48">
        <v>43139</v>
      </c>
      <c r="Q7" s="49">
        <v>0.62152777777777779</v>
      </c>
      <c r="R7" t="s">
        <v>285</v>
      </c>
      <c r="S7">
        <f>VLOOKUP(Cmt(A7),Sheet2!A:B,2,FALSE)</f>
        <v>1</v>
      </c>
    </row>
    <row r="8" spans="1:19">
      <c r="A8" s="13" t="s">
        <v>87</v>
      </c>
      <c r="B8" s="13">
        <v>-8</v>
      </c>
      <c r="C8" s="13">
        <v>5082</v>
      </c>
      <c r="D8" s="21">
        <v>43139</v>
      </c>
      <c r="E8" s="33">
        <v>0.38055555555555554</v>
      </c>
      <c r="F8" s="20">
        <v>1.7999999999999999E-2</v>
      </c>
      <c r="G8" s="20">
        <v>5.9999999999999993E-3</v>
      </c>
      <c r="H8" s="75">
        <f t="shared" si="0"/>
        <v>-24</v>
      </c>
      <c r="I8" s="13">
        <v>5140</v>
      </c>
      <c r="J8" s="21">
        <v>43139</v>
      </c>
      <c r="K8" s="33">
        <v>0.59375</v>
      </c>
      <c r="L8" s="16">
        <v>-4640</v>
      </c>
      <c r="M8" s="16">
        <f t="shared" si="1"/>
        <v>-13920</v>
      </c>
      <c r="N8" s="13"/>
      <c r="O8" s="13"/>
      <c r="P8" s="22"/>
      <c r="Q8" s="22"/>
      <c r="R8" t="s">
        <v>285</v>
      </c>
      <c r="S8">
        <f>VLOOKUP(Cmt(A8),Sheet2!A:B,2,FALSE)</f>
        <v>10</v>
      </c>
    </row>
    <row r="9" spans="1:19">
      <c r="A9" s="13" t="s">
        <v>163</v>
      </c>
      <c r="B9" s="13">
        <v>2</v>
      </c>
      <c r="C9" s="13">
        <v>2157</v>
      </c>
      <c r="D9" s="21">
        <v>43139</v>
      </c>
      <c r="E9" s="33">
        <v>0.92013888888888884</v>
      </c>
      <c r="F9" s="20">
        <v>1.4E-2</v>
      </c>
      <c r="G9" s="20">
        <v>7.0000000000000001E-3</v>
      </c>
      <c r="H9" s="75">
        <f t="shared" si="0"/>
        <v>4</v>
      </c>
      <c r="I9" s="1">
        <v>2122.5</v>
      </c>
      <c r="J9" s="2">
        <v>43140</v>
      </c>
      <c r="K9" s="26">
        <v>0.4291666666666667</v>
      </c>
      <c r="L9" s="16">
        <v>-6900</v>
      </c>
      <c r="M9" s="16">
        <f t="shared" si="1"/>
        <v>-13800</v>
      </c>
      <c r="N9" s="13">
        <v>20</v>
      </c>
      <c r="O9" s="13">
        <v>526.5</v>
      </c>
      <c r="P9" s="70">
        <v>43136</v>
      </c>
      <c r="Q9" s="71">
        <v>0.62152777777777779</v>
      </c>
      <c r="R9" t="s">
        <v>285</v>
      </c>
      <c r="S9">
        <f>VLOOKUP(Cmt(A9),Sheet2!A:B,2,FALSE)</f>
        <v>100</v>
      </c>
    </row>
    <row r="10" spans="1:19">
      <c r="A10" s="13" t="s">
        <v>64</v>
      </c>
      <c r="B10" s="13">
        <v>30</v>
      </c>
      <c r="C10" s="13">
        <v>4035</v>
      </c>
      <c r="D10" s="21">
        <v>43136</v>
      </c>
      <c r="E10" s="33">
        <v>0.56597222222222221</v>
      </c>
      <c r="F10" s="20">
        <v>3.7999999999999999E-2</v>
      </c>
      <c r="G10" s="20">
        <v>1.9E-2</v>
      </c>
      <c r="H10" s="75">
        <f t="shared" si="0"/>
        <v>60</v>
      </c>
      <c r="I10" s="13">
        <v>4012.3330000000001</v>
      </c>
      <c r="J10" s="21">
        <v>43137</v>
      </c>
      <c r="K10" s="33">
        <v>0.37847222222222227</v>
      </c>
      <c r="L10" s="16">
        <v>-11200.19999999995</v>
      </c>
      <c r="M10" s="16">
        <f t="shared" si="1"/>
        <v>-13600.19999999995</v>
      </c>
      <c r="N10" s="13">
        <v>20</v>
      </c>
      <c r="O10" s="13">
        <v>525.5</v>
      </c>
      <c r="P10" s="70">
        <v>43138</v>
      </c>
      <c r="Q10" s="71">
        <v>0.62152777777777779</v>
      </c>
      <c r="R10" t="s">
        <v>285</v>
      </c>
      <c r="S10">
        <f>VLOOKUP(Cmt(A10),Sheet2!A:B,2,FALSE)</f>
        <v>10</v>
      </c>
    </row>
    <row r="11" spans="1:19">
      <c r="A11" s="13" t="s">
        <v>52</v>
      </c>
      <c r="B11" s="13">
        <v>18</v>
      </c>
      <c r="C11" s="13">
        <v>3965</v>
      </c>
      <c r="D11" s="21">
        <v>43133</v>
      </c>
      <c r="E11" s="33">
        <v>0.44444444444444442</v>
      </c>
      <c r="F11" s="20">
        <v>2.1999999999999999E-2</v>
      </c>
      <c r="G11" s="20">
        <v>1.0999999999999999E-2</v>
      </c>
      <c r="H11" s="75">
        <f t="shared" si="0"/>
        <v>36</v>
      </c>
      <c r="I11" s="13">
        <v>3928</v>
      </c>
      <c r="J11" s="21">
        <v>43133</v>
      </c>
      <c r="K11" s="33">
        <v>0.95763888888888893</v>
      </c>
      <c r="L11" s="16">
        <v>-6660</v>
      </c>
      <c r="M11" s="16">
        <f t="shared" si="1"/>
        <v>-13320</v>
      </c>
      <c r="N11" s="13"/>
      <c r="O11" s="13"/>
      <c r="P11" s="22"/>
      <c r="Q11" s="22"/>
      <c r="R11" t="s">
        <v>285</v>
      </c>
      <c r="S11">
        <f>VLOOKUP(Cmt(A11),Sheet2!A:B,2,FALSE)</f>
        <v>10</v>
      </c>
    </row>
    <row r="12" spans="1:19">
      <c r="A12" s="13" t="s">
        <v>273</v>
      </c>
      <c r="B12" s="13">
        <v>12</v>
      </c>
      <c r="C12" s="13">
        <v>533.5</v>
      </c>
      <c r="D12" s="21">
        <v>43139</v>
      </c>
      <c r="E12" s="33">
        <v>0.92013888888888884</v>
      </c>
      <c r="F12" s="20">
        <v>0.02</v>
      </c>
      <c r="G12" s="20">
        <v>0.01</v>
      </c>
      <c r="H12" s="75">
        <f t="shared" si="0"/>
        <v>24</v>
      </c>
      <c r="I12" s="13">
        <v>528.5</v>
      </c>
      <c r="J12" s="21">
        <v>43140</v>
      </c>
      <c r="K12" s="33">
        <v>0.56597222222222221</v>
      </c>
      <c r="L12" s="16">
        <v>-6000</v>
      </c>
      <c r="M12" s="16">
        <f t="shared" si="1"/>
        <v>-12000</v>
      </c>
      <c r="N12" s="13">
        <v>4</v>
      </c>
      <c r="O12" s="13">
        <v>2115</v>
      </c>
      <c r="P12" s="70">
        <v>43136</v>
      </c>
      <c r="Q12" s="71">
        <v>0.62152777777777779</v>
      </c>
      <c r="R12" t="s">
        <v>285</v>
      </c>
      <c r="S12">
        <f>VLOOKUP(Cmt(A12),Sheet2!A:B,2,FALSE)</f>
        <v>100</v>
      </c>
    </row>
    <row r="13" spans="1:19">
      <c r="A13" s="13" t="s">
        <v>53</v>
      </c>
      <c r="B13" s="13">
        <v>-4</v>
      </c>
      <c r="C13" s="13">
        <v>52800</v>
      </c>
      <c r="D13" s="21">
        <v>43137</v>
      </c>
      <c r="E13" s="33">
        <v>0.4375</v>
      </c>
      <c r="F13" s="20">
        <v>0.03</v>
      </c>
      <c r="G13" s="20">
        <v>1.4999999999999999E-2</v>
      </c>
      <c r="H13" s="75">
        <f t="shared" si="0"/>
        <v>-8</v>
      </c>
      <c r="I13" s="13">
        <v>53090</v>
      </c>
      <c r="J13" s="21">
        <v>43138</v>
      </c>
      <c r="K13" s="33">
        <v>0.37847222222222227</v>
      </c>
      <c r="L13" s="16">
        <v>-13400</v>
      </c>
      <c r="M13" s="16">
        <f t="shared" si="1"/>
        <v>-11600</v>
      </c>
      <c r="N13" s="13">
        <v>4</v>
      </c>
      <c r="O13" s="13">
        <v>2156</v>
      </c>
      <c r="P13" s="70">
        <v>43138</v>
      </c>
      <c r="Q13" s="71">
        <v>0.62152777777777779</v>
      </c>
      <c r="R13" t="s">
        <v>285</v>
      </c>
      <c r="S13">
        <f>VLOOKUP(Cmt(A13),Sheet2!A:B,2,FALSE)</f>
        <v>5</v>
      </c>
    </row>
    <row r="14" spans="1:19">
      <c r="A14" s="13" t="s">
        <v>161</v>
      </c>
      <c r="B14" s="13">
        <v>-14</v>
      </c>
      <c r="C14" s="13">
        <v>3612</v>
      </c>
      <c r="D14" s="21">
        <v>43133</v>
      </c>
      <c r="E14" s="33">
        <v>0.3833333333333333</v>
      </c>
      <c r="F14" s="73">
        <v>2.4E-2</v>
      </c>
      <c r="G14" s="20">
        <v>8.0000000000000002E-3</v>
      </c>
      <c r="H14" s="75">
        <f t="shared" si="0"/>
        <v>-42</v>
      </c>
      <c r="I14" s="13">
        <v>3665</v>
      </c>
      <c r="J14" s="21">
        <v>43136</v>
      </c>
      <c r="K14" s="33">
        <v>0.37847222222222227</v>
      </c>
      <c r="L14" s="16">
        <v>-3710</v>
      </c>
      <c r="M14" s="16">
        <f t="shared" si="1"/>
        <v>-11130</v>
      </c>
      <c r="N14" s="13">
        <v>4</v>
      </c>
      <c r="O14" s="13">
        <v>2146</v>
      </c>
      <c r="P14" s="70">
        <v>43139</v>
      </c>
      <c r="Q14" s="71">
        <v>0.62152777777777779</v>
      </c>
      <c r="R14" t="s">
        <v>285</v>
      </c>
      <c r="S14">
        <f>VLOOKUP(Cmt(A14),Sheet2!A:B,2,FALSE)</f>
        <v>5</v>
      </c>
    </row>
    <row r="15" spans="1:19">
      <c r="A15" s="13" t="s">
        <v>164</v>
      </c>
      <c r="B15" s="13">
        <v>1</v>
      </c>
      <c r="C15" s="13">
        <v>4282</v>
      </c>
      <c r="D15" s="21">
        <v>43133</v>
      </c>
      <c r="E15" s="33">
        <v>0.61875000000000002</v>
      </c>
      <c r="F15" s="20">
        <v>1.2999999999999999E-2</v>
      </c>
      <c r="G15" s="20">
        <v>1.2999999999999999E-2</v>
      </c>
      <c r="H15" s="75">
        <f t="shared" si="0"/>
        <v>1</v>
      </c>
      <c r="I15" s="13">
        <v>4247.2</v>
      </c>
      <c r="J15" s="21">
        <v>43136</v>
      </c>
      <c r="K15" s="33">
        <v>0.39999999999999997</v>
      </c>
      <c r="L15" s="16">
        <v>-10440.000000000055</v>
      </c>
      <c r="M15" s="16">
        <f t="shared" si="1"/>
        <v>-10440.000000000055</v>
      </c>
      <c r="N15" s="13"/>
      <c r="O15" s="13"/>
      <c r="P15" s="22"/>
      <c r="Q15" s="22"/>
      <c r="R15" t="s">
        <v>285</v>
      </c>
      <c r="S15">
        <f>VLOOKUP(Cmt(A15),Sheet2!A:B,2,FALSE)</f>
        <v>300</v>
      </c>
    </row>
    <row r="16" spans="1:19">
      <c r="A16" s="13" t="s">
        <v>273</v>
      </c>
      <c r="B16" s="13">
        <v>20</v>
      </c>
      <c r="C16" s="13">
        <v>518.5</v>
      </c>
      <c r="D16" s="21">
        <v>43133</v>
      </c>
      <c r="E16" s="33">
        <v>0.89513888888888893</v>
      </c>
      <c r="F16" s="20">
        <v>3.2000000000000001E-2</v>
      </c>
      <c r="G16" s="20">
        <v>1.6E-2</v>
      </c>
      <c r="H16" s="75">
        <f t="shared" si="0"/>
        <v>40</v>
      </c>
      <c r="I16" s="13">
        <v>516.5</v>
      </c>
      <c r="J16" s="21">
        <v>43136</v>
      </c>
      <c r="K16" s="33">
        <v>0.39999999999999997</v>
      </c>
      <c r="L16" s="16">
        <v>-4000</v>
      </c>
      <c r="M16" s="16">
        <f t="shared" si="1"/>
        <v>-8000</v>
      </c>
      <c r="N16" s="13">
        <v>11</v>
      </c>
      <c r="O16" s="13">
        <v>1374.5</v>
      </c>
      <c r="P16" s="70">
        <v>43136</v>
      </c>
      <c r="Q16" s="71">
        <v>0.62152777777777779</v>
      </c>
      <c r="R16" t="s">
        <v>285</v>
      </c>
      <c r="S16">
        <f>VLOOKUP(Cmt(A16),Sheet2!A:B,2,FALSE)</f>
        <v>100</v>
      </c>
    </row>
    <row r="17" spans="1:19">
      <c r="A17" s="13" t="s">
        <v>59</v>
      </c>
      <c r="B17" s="13">
        <v>20</v>
      </c>
      <c r="C17" s="13">
        <v>6694</v>
      </c>
      <c r="D17" s="21">
        <v>43136</v>
      </c>
      <c r="E17" s="33">
        <v>0.4236111111111111</v>
      </c>
      <c r="F17" s="20">
        <v>2.1000000000000001E-2</v>
      </c>
      <c r="G17" s="20">
        <v>1.0500000000000001E-2</v>
      </c>
      <c r="H17" s="75">
        <f t="shared" si="0"/>
        <v>40</v>
      </c>
      <c r="I17" s="13">
        <v>6654</v>
      </c>
      <c r="J17" s="21">
        <v>43137</v>
      </c>
      <c r="K17" s="33">
        <v>0.40138888888888885</v>
      </c>
      <c r="L17" s="16">
        <v>-16000</v>
      </c>
      <c r="M17" s="16">
        <f t="shared" si="1"/>
        <v>-8000</v>
      </c>
      <c r="N17" s="13">
        <v>13</v>
      </c>
      <c r="O17" s="13">
        <v>1366</v>
      </c>
      <c r="P17" s="70">
        <v>43138</v>
      </c>
      <c r="Q17" s="71">
        <v>0.62152777777777779</v>
      </c>
      <c r="R17" t="s">
        <v>285</v>
      </c>
      <c r="S17">
        <f>VLOOKUP(Cmt(A17),Sheet2!A:B,2,FALSE)</f>
        <v>5</v>
      </c>
    </row>
    <row r="18" spans="1:19">
      <c r="A18" s="13" t="s">
        <v>87</v>
      </c>
      <c r="B18" s="13">
        <v>-7</v>
      </c>
      <c r="C18" s="13">
        <v>5096</v>
      </c>
      <c r="D18" s="21">
        <v>43137</v>
      </c>
      <c r="E18" s="33">
        <v>0.92361111111111116</v>
      </c>
      <c r="F18" s="20">
        <v>1.7999999999999999E-2</v>
      </c>
      <c r="G18" s="20">
        <v>5.9999999999999993E-3</v>
      </c>
      <c r="H18" s="75">
        <f t="shared" si="0"/>
        <v>-21</v>
      </c>
      <c r="I18" s="13">
        <v>5134</v>
      </c>
      <c r="J18" s="21">
        <v>43138</v>
      </c>
      <c r="K18" s="33">
        <v>0.37847222222222227</v>
      </c>
      <c r="L18" s="16">
        <v>-2660</v>
      </c>
      <c r="M18" s="16">
        <f t="shared" si="1"/>
        <v>-7980</v>
      </c>
      <c r="N18" s="13"/>
      <c r="O18" s="13"/>
      <c r="P18" s="22"/>
      <c r="Q18" s="22"/>
      <c r="R18" t="s">
        <v>285</v>
      </c>
      <c r="S18">
        <f>VLOOKUP(Cmt(A18),Sheet2!A:B,2,FALSE)</f>
        <v>10</v>
      </c>
    </row>
    <row r="19" spans="1:19">
      <c r="A19" s="13" t="s">
        <v>57</v>
      </c>
      <c r="B19" s="13">
        <v>-7</v>
      </c>
      <c r="C19" s="13">
        <v>100340</v>
      </c>
      <c r="D19" s="21">
        <v>43139</v>
      </c>
      <c r="E19" s="33">
        <v>0.88263888888888886</v>
      </c>
      <c r="F19" s="20">
        <v>2.1000000000000001E-2</v>
      </c>
      <c r="G19" s="20">
        <v>1.0500000000000001E-2</v>
      </c>
      <c r="H19" s="75">
        <f t="shared" si="0"/>
        <v>-14</v>
      </c>
      <c r="I19" s="13">
        <v>100874.28571428571</v>
      </c>
      <c r="J19" s="21">
        <v>43139</v>
      </c>
      <c r="K19" s="33">
        <v>0.92361111111111116</v>
      </c>
      <c r="L19" s="16">
        <v>-3739.9999999999709</v>
      </c>
      <c r="M19" s="16">
        <f t="shared" si="1"/>
        <v>-7479.9999999999418</v>
      </c>
      <c r="N19" s="13"/>
      <c r="O19" s="13"/>
      <c r="P19" s="22"/>
      <c r="Q19" s="22"/>
      <c r="R19" t="s">
        <v>285</v>
      </c>
      <c r="S19">
        <f>VLOOKUP(Cmt(A19),Sheet2!A:B,2,FALSE)</f>
        <v>1</v>
      </c>
    </row>
    <row r="20" spans="1:19">
      <c r="A20" s="13" t="s">
        <v>156</v>
      </c>
      <c r="B20" s="13">
        <v>9</v>
      </c>
      <c r="C20" s="13">
        <v>26745</v>
      </c>
      <c r="D20" s="21">
        <v>43133</v>
      </c>
      <c r="E20" s="33">
        <v>0.3833333333333333</v>
      </c>
      <c r="F20" s="20">
        <v>3.6999999999999998E-2</v>
      </c>
      <c r="G20" s="20">
        <v>1.8499999999999999E-2</v>
      </c>
      <c r="H20" s="75">
        <f t="shared" si="0"/>
        <v>18</v>
      </c>
      <c r="I20" s="13">
        <v>26665</v>
      </c>
      <c r="J20" s="21">
        <v>43136</v>
      </c>
      <c r="K20" s="33">
        <v>0.38263888888888892</v>
      </c>
      <c r="L20" s="16">
        <v>-3600</v>
      </c>
      <c r="M20" s="16">
        <f t="shared" si="1"/>
        <v>-7200</v>
      </c>
      <c r="N20" s="13">
        <v>27</v>
      </c>
      <c r="O20" s="13">
        <v>3964</v>
      </c>
      <c r="P20" s="70">
        <v>43136</v>
      </c>
      <c r="Q20" s="71">
        <v>0.62152777777777779</v>
      </c>
      <c r="R20" t="s">
        <v>285</v>
      </c>
      <c r="S20">
        <f>VLOOKUP(Cmt(A20),Sheet2!A:B,2,FALSE)</f>
        <v>5</v>
      </c>
    </row>
    <row r="21" spans="1:19">
      <c r="A21" s="13" t="s">
        <v>52</v>
      </c>
      <c r="B21" s="13">
        <v>27</v>
      </c>
      <c r="C21" s="13">
        <v>3957</v>
      </c>
      <c r="D21" s="21">
        <v>43136</v>
      </c>
      <c r="E21" s="33">
        <v>0.6020833333333333</v>
      </c>
      <c r="F21" s="20">
        <v>3.3000000000000002E-2</v>
      </c>
      <c r="G21" s="20">
        <v>1.6500000000000001E-2</v>
      </c>
      <c r="H21" s="75">
        <f t="shared" si="0"/>
        <v>54</v>
      </c>
      <c r="I21" s="13">
        <v>3944</v>
      </c>
      <c r="J21" s="21">
        <v>43137</v>
      </c>
      <c r="K21" s="33">
        <v>0.46597222222222223</v>
      </c>
      <c r="L21" s="16">
        <v>-8910</v>
      </c>
      <c r="M21" s="16">
        <f t="shared" si="1"/>
        <v>-7020</v>
      </c>
      <c r="N21" s="13">
        <v>20</v>
      </c>
      <c r="O21" s="13">
        <v>6774</v>
      </c>
      <c r="P21" s="70">
        <v>43136</v>
      </c>
      <c r="Q21" s="71">
        <v>0.62152777777777779</v>
      </c>
      <c r="R21" t="s">
        <v>285</v>
      </c>
      <c r="S21">
        <f>VLOOKUP(Cmt(A21),Sheet2!A:B,2,FALSE)</f>
        <v>10</v>
      </c>
    </row>
    <row r="22" spans="1:19">
      <c r="A22" s="13" t="s">
        <v>64</v>
      </c>
      <c r="B22" s="13">
        <v>29</v>
      </c>
      <c r="C22" s="13">
        <v>4019</v>
      </c>
      <c r="D22" s="21">
        <v>43138</v>
      </c>
      <c r="E22" s="33">
        <v>0.38263888888888892</v>
      </c>
      <c r="F22" s="20">
        <v>3.5999999999999997E-2</v>
      </c>
      <c r="G22" s="20">
        <v>1.7999999999999999E-2</v>
      </c>
      <c r="H22" s="75">
        <f t="shared" si="0"/>
        <v>58</v>
      </c>
      <c r="I22" s="13">
        <v>4008</v>
      </c>
      <c r="J22" s="21">
        <v>43138</v>
      </c>
      <c r="K22" s="33">
        <v>0.9243055555555556</v>
      </c>
      <c r="L22" s="16">
        <v>-3480</v>
      </c>
      <c r="M22" s="16">
        <f t="shared" si="1"/>
        <v>-6380</v>
      </c>
      <c r="N22" s="13"/>
      <c r="O22" s="13"/>
      <c r="P22" s="22"/>
      <c r="Q22" s="22"/>
      <c r="R22" t="s">
        <v>285</v>
      </c>
      <c r="S22">
        <f>VLOOKUP(Cmt(A22),Sheet2!A:B,2,FALSE)</f>
        <v>10</v>
      </c>
    </row>
    <row r="23" spans="1:19">
      <c r="A23" s="13" t="s">
        <v>62</v>
      </c>
      <c r="B23" s="13">
        <v>-12</v>
      </c>
      <c r="C23" s="13">
        <v>2769</v>
      </c>
      <c r="D23" s="21">
        <v>43139</v>
      </c>
      <c r="E23" s="33">
        <v>0.38055555555555554</v>
      </c>
      <c r="F23" s="20">
        <v>1.4999999999999999E-2</v>
      </c>
      <c r="G23" s="20">
        <v>4.9999999999999992E-3</v>
      </c>
      <c r="H23" s="75">
        <f t="shared" si="0"/>
        <v>-36.000000000000007</v>
      </c>
      <c r="I23" s="13">
        <v>2785</v>
      </c>
      <c r="J23" s="21">
        <v>43139</v>
      </c>
      <c r="K23" s="33">
        <v>0.62013888888888891</v>
      </c>
      <c r="L23" s="16">
        <v>-1920</v>
      </c>
      <c r="M23" s="16">
        <f t="shared" si="1"/>
        <v>-5760.0000000000009</v>
      </c>
      <c r="N23" s="13">
        <v>20</v>
      </c>
      <c r="O23" s="13">
        <v>6730</v>
      </c>
      <c r="P23" s="70">
        <v>43138</v>
      </c>
      <c r="Q23" s="71">
        <v>0.62152777777777779</v>
      </c>
      <c r="R23" t="s">
        <v>285</v>
      </c>
      <c r="S23">
        <f>VLOOKUP(Cmt(A23),Sheet2!A:B,2,FALSE)</f>
        <v>10</v>
      </c>
    </row>
    <row r="24" spans="1:19">
      <c r="A24" s="13" t="s">
        <v>163</v>
      </c>
      <c r="B24" s="13">
        <v>4</v>
      </c>
      <c r="C24" s="13">
        <v>2148.5</v>
      </c>
      <c r="D24" s="21">
        <v>43139</v>
      </c>
      <c r="E24" s="33">
        <v>0.46875</v>
      </c>
      <c r="F24" s="20">
        <v>2.5000000000000001E-2</v>
      </c>
      <c r="G24" s="20">
        <v>1.2500000000000001E-2</v>
      </c>
      <c r="H24" s="75">
        <f t="shared" si="0"/>
        <v>8</v>
      </c>
      <c r="I24" s="13">
        <v>2141.5</v>
      </c>
      <c r="J24" s="21">
        <v>43139</v>
      </c>
      <c r="K24" s="33">
        <v>0.87986111111111109</v>
      </c>
      <c r="L24" s="16">
        <v>-4600</v>
      </c>
      <c r="M24" s="16">
        <f t="shared" si="1"/>
        <v>-5600</v>
      </c>
      <c r="N24" s="13"/>
      <c r="O24" s="13"/>
      <c r="P24" s="22"/>
      <c r="Q24" s="22"/>
      <c r="R24" t="s">
        <v>283</v>
      </c>
      <c r="S24">
        <f>VLOOKUP(Cmt(A24),Sheet2!A:B,2,FALSE)</f>
        <v>100</v>
      </c>
    </row>
    <row r="25" spans="1:19">
      <c r="A25" s="13" t="s">
        <v>151</v>
      </c>
      <c r="B25" s="13">
        <v>10</v>
      </c>
      <c r="C25" s="13">
        <v>1365.5</v>
      </c>
      <c r="D25" s="21">
        <v>43139</v>
      </c>
      <c r="E25" s="33">
        <v>0.88263888888888886</v>
      </c>
      <c r="F25" s="20">
        <v>2.4E-2</v>
      </c>
      <c r="G25" s="20">
        <v>1.2E-2</v>
      </c>
      <c r="H25" s="75">
        <f t="shared" si="0"/>
        <v>20</v>
      </c>
      <c r="I25" s="1">
        <v>1361</v>
      </c>
      <c r="J25" s="2">
        <v>43140</v>
      </c>
      <c r="K25" s="26">
        <v>0.46249999999999997</v>
      </c>
      <c r="L25" s="16">
        <v>-2700</v>
      </c>
      <c r="M25" s="16">
        <f t="shared" si="1"/>
        <v>-5400</v>
      </c>
      <c r="N25" s="13">
        <v>-16</v>
      </c>
      <c r="O25" s="13">
        <v>9565</v>
      </c>
      <c r="P25" s="70">
        <v>43139</v>
      </c>
      <c r="Q25" s="71">
        <v>0.62152777777777779</v>
      </c>
      <c r="R25" t="s">
        <v>283</v>
      </c>
      <c r="S25">
        <f>VLOOKUP(Cmt(A25),Sheet2!A:B,2,FALSE)</f>
        <v>60</v>
      </c>
    </row>
    <row r="26" spans="1:19">
      <c r="A26" s="13" t="s">
        <v>165</v>
      </c>
      <c r="B26" s="13">
        <v>-14</v>
      </c>
      <c r="C26" s="13">
        <v>14370</v>
      </c>
      <c r="D26" s="21">
        <v>43138</v>
      </c>
      <c r="E26" s="33">
        <v>0.46180555555555558</v>
      </c>
      <c r="F26" s="20">
        <v>3.2000000000000001E-2</v>
      </c>
      <c r="G26" s="20">
        <v>1.6E-2</v>
      </c>
      <c r="H26" s="75">
        <f t="shared" si="0"/>
        <v>-28</v>
      </c>
      <c r="I26" s="13">
        <v>14405</v>
      </c>
      <c r="J26" s="21">
        <v>43138</v>
      </c>
      <c r="K26" s="33">
        <v>0.57847222222222217</v>
      </c>
      <c r="L26" s="16">
        <v>-2450</v>
      </c>
      <c r="M26" s="16">
        <f t="shared" si="1"/>
        <v>-4900</v>
      </c>
      <c r="N26" s="13"/>
      <c r="O26" s="13"/>
      <c r="P26" s="22"/>
      <c r="Q26" s="22"/>
      <c r="R26" t="s">
        <v>283</v>
      </c>
      <c r="S26">
        <f>VLOOKUP(Cmt(A26),Sheet2!A:B,2,FALSE)</f>
        <v>5</v>
      </c>
    </row>
    <row r="27" spans="1:19">
      <c r="A27" s="13" t="s">
        <v>54</v>
      </c>
      <c r="B27" s="13">
        <v>-11</v>
      </c>
      <c r="C27" s="13">
        <v>5625.82</v>
      </c>
      <c r="D27" s="21">
        <v>43139</v>
      </c>
      <c r="E27" s="33">
        <v>0.88263888888888886</v>
      </c>
      <c r="F27" s="20">
        <v>1.4E-2</v>
      </c>
      <c r="G27" s="20">
        <v>4.6666666666666662E-3</v>
      </c>
      <c r="H27" s="75">
        <f t="shared" si="0"/>
        <v>-33.000000000000007</v>
      </c>
      <c r="I27" s="13">
        <v>5646</v>
      </c>
      <c r="J27" s="21">
        <v>43139</v>
      </c>
      <c r="K27" s="33">
        <v>0.92361111111111116</v>
      </c>
      <c r="L27" s="16">
        <v>-1109.900000000016</v>
      </c>
      <c r="M27" s="16">
        <f t="shared" si="1"/>
        <v>-3329.7000000000485</v>
      </c>
      <c r="N27" s="13"/>
      <c r="O27" s="13"/>
      <c r="P27" s="22"/>
      <c r="Q27" s="22"/>
      <c r="R27" t="s">
        <v>283</v>
      </c>
      <c r="S27">
        <f>VLOOKUP(Cmt(A27),Sheet2!A:B,2,FALSE)</f>
        <v>5</v>
      </c>
    </row>
    <row r="28" spans="1:19">
      <c r="A28" s="13" t="s">
        <v>56</v>
      </c>
      <c r="B28" s="13">
        <v>27</v>
      </c>
      <c r="C28" s="13">
        <v>2121</v>
      </c>
      <c r="D28" s="21">
        <v>43136</v>
      </c>
      <c r="E28" s="33">
        <v>0.38194444444444442</v>
      </c>
      <c r="F28" s="20">
        <v>2.7E-2</v>
      </c>
      <c r="G28" s="20">
        <v>8.9999999999999993E-3</v>
      </c>
      <c r="H28" s="75">
        <f t="shared" si="0"/>
        <v>81</v>
      </c>
      <c r="I28" s="13">
        <v>2117</v>
      </c>
      <c r="J28" s="21">
        <v>43137</v>
      </c>
      <c r="K28" s="33">
        <v>0.42638888888888887</v>
      </c>
      <c r="L28" s="16">
        <v>-1080</v>
      </c>
      <c r="M28" s="16">
        <f t="shared" si="1"/>
        <v>-3240</v>
      </c>
      <c r="N28" s="13"/>
      <c r="O28" s="13"/>
      <c r="P28" s="22"/>
      <c r="Q28" s="22"/>
      <c r="R28" s="49" t="s">
        <v>283</v>
      </c>
      <c r="S28">
        <f>VLOOKUP(Cmt(A28),Sheet2!A:B,2,FALSE)</f>
        <v>10</v>
      </c>
    </row>
    <row r="29" spans="1:19">
      <c r="A29" s="13" t="s">
        <v>63</v>
      </c>
      <c r="B29" s="13">
        <v>-13</v>
      </c>
      <c r="C29" s="13">
        <v>2768</v>
      </c>
      <c r="D29" s="21">
        <v>43136</v>
      </c>
      <c r="E29" s="33">
        <v>0.88124999999999998</v>
      </c>
      <c r="F29" s="20">
        <v>1.7000000000000001E-2</v>
      </c>
      <c r="G29" s="20">
        <v>5.6666666666666671E-3</v>
      </c>
      <c r="H29" s="75">
        <f t="shared" si="0"/>
        <v>-39</v>
      </c>
      <c r="I29" s="13">
        <v>2775</v>
      </c>
      <c r="J29" s="21">
        <v>43137</v>
      </c>
      <c r="K29" s="33">
        <v>0.92013888888888884</v>
      </c>
      <c r="L29" s="16">
        <v>-4030.0000000000005</v>
      </c>
      <c r="M29" s="16">
        <f t="shared" si="1"/>
        <v>-2730</v>
      </c>
      <c r="R29" t="s">
        <v>283</v>
      </c>
      <c r="S29">
        <f>VLOOKUP(Cmt(A29),Sheet2!A:B,2,FALSE)</f>
        <v>10</v>
      </c>
    </row>
    <row r="30" spans="1:19">
      <c r="A30" s="13" t="s">
        <v>61</v>
      </c>
      <c r="B30" s="13">
        <v>4</v>
      </c>
      <c r="C30" s="13">
        <v>2912</v>
      </c>
      <c r="D30" s="21">
        <v>43133</v>
      </c>
      <c r="E30" s="33">
        <v>0.3833333333333333</v>
      </c>
      <c r="F30" s="20">
        <v>4.0000000000000001E-3</v>
      </c>
      <c r="G30" s="20">
        <v>2E-3</v>
      </c>
      <c r="H30" s="75">
        <f t="shared" si="0"/>
        <v>8</v>
      </c>
      <c r="I30" s="13">
        <v>2878</v>
      </c>
      <c r="J30" s="21">
        <v>43133</v>
      </c>
      <c r="K30" s="33">
        <v>0.89513888888888893</v>
      </c>
      <c r="L30" s="16">
        <v>-1360</v>
      </c>
      <c r="M30" s="16">
        <f t="shared" si="1"/>
        <v>-2720</v>
      </c>
      <c r="N30" s="13"/>
      <c r="O30" s="13"/>
      <c r="P30" s="70"/>
      <c r="Q30" s="71"/>
      <c r="R30" t="s">
        <v>284</v>
      </c>
      <c r="S30">
        <f>VLOOKUP(Cmt(A30),Sheet2!A:B,2,FALSE)</f>
        <v>10</v>
      </c>
    </row>
    <row r="31" spans="1:19">
      <c r="A31" s="13" t="s">
        <v>63</v>
      </c>
      <c r="B31" s="13">
        <v>17</v>
      </c>
      <c r="C31" s="13">
        <v>2807</v>
      </c>
      <c r="D31" s="21">
        <v>43139</v>
      </c>
      <c r="E31" s="33">
        <v>0.56805555555555554</v>
      </c>
      <c r="F31" s="20">
        <v>2.1999999999999999E-2</v>
      </c>
      <c r="G31" s="20">
        <v>7.3333333333333323E-3</v>
      </c>
      <c r="H31" s="75">
        <f t="shared" si="0"/>
        <v>51.000000000000007</v>
      </c>
      <c r="I31" s="13">
        <v>2802</v>
      </c>
      <c r="J31" s="21">
        <v>43140</v>
      </c>
      <c r="K31" s="33">
        <v>0.46249999999999997</v>
      </c>
      <c r="L31" s="16">
        <v>-2550</v>
      </c>
      <c r="M31" s="16">
        <f t="shared" si="1"/>
        <v>-2550.0000000000005</v>
      </c>
      <c r="N31" s="13"/>
      <c r="O31" s="13"/>
      <c r="P31" s="22"/>
      <c r="Q31" s="22"/>
      <c r="R31" t="s">
        <v>284</v>
      </c>
      <c r="S31">
        <f>VLOOKUP(Cmt(A31),Sheet2!A:B,2,FALSE)</f>
        <v>10</v>
      </c>
    </row>
    <row r="32" spans="1:19">
      <c r="A32" s="13" t="s">
        <v>93</v>
      </c>
      <c r="B32" s="13">
        <v>1</v>
      </c>
      <c r="C32" s="13">
        <v>3171</v>
      </c>
      <c r="D32" s="21">
        <v>43136</v>
      </c>
      <c r="E32" s="33">
        <v>0.56597222222222221</v>
      </c>
      <c r="F32" s="20">
        <v>1.7999999999999999E-2</v>
      </c>
      <c r="G32" s="20">
        <v>1.7999999999999999E-2</v>
      </c>
      <c r="H32" s="75">
        <f t="shared" si="0"/>
        <v>1</v>
      </c>
      <c r="I32" s="13">
        <v>3162.8</v>
      </c>
      <c r="J32" s="21">
        <v>43137</v>
      </c>
      <c r="K32" s="33">
        <v>0.40138888888888885</v>
      </c>
      <c r="L32" s="16">
        <v>-2459.9999999999454</v>
      </c>
      <c r="M32" s="16">
        <f t="shared" si="1"/>
        <v>-2459.9999999999454</v>
      </c>
      <c r="N32" s="13"/>
      <c r="O32" s="13"/>
      <c r="P32" s="22"/>
      <c r="Q32" s="22"/>
      <c r="R32" t="s">
        <v>284</v>
      </c>
      <c r="S32">
        <f>VLOOKUP(Cmt(A32),Sheet2!A:B,2,FALSE)</f>
        <v>300</v>
      </c>
    </row>
    <row r="33" spans="1:19">
      <c r="A33" s="13" t="s">
        <v>165</v>
      </c>
      <c r="B33" s="13">
        <v>-15</v>
      </c>
      <c r="C33" s="13">
        <v>14430</v>
      </c>
      <c r="D33" s="21">
        <v>43137</v>
      </c>
      <c r="E33" s="33">
        <v>0.4375</v>
      </c>
      <c r="F33" s="20">
        <v>3.3000000000000002E-2</v>
      </c>
      <c r="G33" s="20">
        <v>1.6500000000000001E-2</v>
      </c>
      <c r="H33" s="75">
        <f t="shared" si="0"/>
        <v>-30</v>
      </c>
      <c r="I33" s="13">
        <v>14445</v>
      </c>
      <c r="J33" s="21">
        <v>43138</v>
      </c>
      <c r="K33" s="33">
        <v>0.42499999999999999</v>
      </c>
      <c r="L33" s="16">
        <v>-9375</v>
      </c>
      <c r="M33" s="16">
        <f t="shared" si="1"/>
        <v>-2250</v>
      </c>
      <c r="N33" s="13">
        <v>-26.000000000000004</v>
      </c>
      <c r="O33" s="13">
        <v>2763</v>
      </c>
      <c r="P33" s="70">
        <v>43137</v>
      </c>
      <c r="Q33" s="71">
        <v>0.62152777777777779</v>
      </c>
      <c r="R33" t="s">
        <v>284</v>
      </c>
      <c r="S33">
        <f>VLOOKUP(Cmt(A33),Sheet2!A:B,2,FALSE)</f>
        <v>5</v>
      </c>
    </row>
    <row r="34" spans="1:19">
      <c r="A34" s="13" t="s">
        <v>62</v>
      </c>
      <c r="B34" s="13">
        <v>-9</v>
      </c>
      <c r="C34" s="13">
        <v>2783</v>
      </c>
      <c r="D34" s="21">
        <v>43133</v>
      </c>
      <c r="E34" s="33">
        <v>0.89513888888888893</v>
      </c>
      <c r="F34" s="20">
        <v>1.2E-2</v>
      </c>
      <c r="G34" s="20">
        <v>4.0000000000000001E-3</v>
      </c>
      <c r="H34" s="75">
        <f t="shared" ref="H34:H57" si="2">F34/G34*B34</f>
        <v>-27</v>
      </c>
      <c r="I34" s="13">
        <v>2789</v>
      </c>
      <c r="J34" s="21">
        <v>43136</v>
      </c>
      <c r="K34" s="33">
        <v>0.56527777777777777</v>
      </c>
      <c r="L34" s="16">
        <v>-540</v>
      </c>
      <c r="M34" s="16">
        <f t="shared" ref="M34:M50" si="3">(I34-C34)*H34*S34</f>
        <v>-1620</v>
      </c>
      <c r="N34" s="13"/>
      <c r="O34" s="13"/>
      <c r="P34" s="22"/>
      <c r="Q34" s="22"/>
      <c r="R34" t="s">
        <v>284</v>
      </c>
      <c r="S34">
        <f>VLOOKUP(Cmt(A34),Sheet2!A:B,2,FALSE)</f>
        <v>10</v>
      </c>
    </row>
    <row r="35" spans="1:19">
      <c r="A35" s="13" t="s">
        <v>59</v>
      </c>
      <c r="B35" s="13">
        <v>20</v>
      </c>
      <c r="C35" s="13">
        <v>6696</v>
      </c>
      <c r="D35" s="21">
        <v>43137</v>
      </c>
      <c r="E35" s="33">
        <v>0.4375</v>
      </c>
      <c r="F35" s="20">
        <v>2.1000000000000001E-2</v>
      </c>
      <c r="G35" s="20">
        <v>1.0500000000000001E-2</v>
      </c>
      <c r="H35" s="75">
        <f t="shared" si="2"/>
        <v>40</v>
      </c>
      <c r="I35" s="13">
        <v>6688</v>
      </c>
      <c r="J35" s="21">
        <v>43137</v>
      </c>
      <c r="K35" s="33">
        <v>0.46597222222222223</v>
      </c>
      <c r="L35" s="16">
        <v>-800</v>
      </c>
      <c r="M35" s="16">
        <f t="shared" si="3"/>
        <v>-1600</v>
      </c>
      <c r="N35" s="13">
        <v>34</v>
      </c>
      <c r="O35" s="13">
        <v>2807</v>
      </c>
      <c r="P35" s="70">
        <v>43139</v>
      </c>
      <c r="Q35" s="71">
        <v>0.62152777777777779</v>
      </c>
      <c r="R35" t="s">
        <v>284</v>
      </c>
      <c r="S35">
        <f>VLOOKUP(Cmt(A35),Sheet2!A:B,2,FALSE)</f>
        <v>5</v>
      </c>
    </row>
    <row r="36" spans="1:19">
      <c r="A36" s="13" t="s">
        <v>166</v>
      </c>
      <c r="B36" s="13">
        <v>-8</v>
      </c>
      <c r="C36" s="13">
        <v>9545</v>
      </c>
      <c r="D36" s="21">
        <v>43139</v>
      </c>
      <c r="E36" s="33">
        <v>0.37777777777777777</v>
      </c>
      <c r="F36" s="20">
        <v>1.9E-2</v>
      </c>
      <c r="G36" s="20">
        <v>6.3333333333333332E-3</v>
      </c>
      <c r="H36" s="75">
        <f t="shared" si="2"/>
        <v>-24</v>
      </c>
      <c r="I36" s="1">
        <v>9555</v>
      </c>
      <c r="J36" s="2">
        <v>43140</v>
      </c>
      <c r="K36" s="26">
        <v>0.4291666666666667</v>
      </c>
      <c r="L36" s="16">
        <v>400</v>
      </c>
      <c r="M36" s="16">
        <f t="shared" si="3"/>
        <v>-1200</v>
      </c>
      <c r="N36" s="13"/>
      <c r="O36" s="13"/>
      <c r="P36" s="70"/>
      <c r="Q36" s="71"/>
      <c r="R36" t="s">
        <v>284</v>
      </c>
      <c r="S36">
        <f>VLOOKUP(Cmt(A36),Sheet2!A:B,2,FALSE)</f>
        <v>5</v>
      </c>
    </row>
    <row r="37" spans="1:19">
      <c r="A37" s="13" t="s">
        <v>55</v>
      </c>
      <c r="B37" s="13">
        <v>29</v>
      </c>
      <c r="C37" s="13">
        <v>2327</v>
      </c>
      <c r="D37" s="21">
        <v>43138</v>
      </c>
      <c r="E37" s="33">
        <v>0.87847222222222221</v>
      </c>
      <c r="F37" s="20">
        <v>2.1000000000000001E-2</v>
      </c>
      <c r="G37" s="20">
        <v>1.0500000000000001E-2</v>
      </c>
      <c r="H37" s="75">
        <f t="shared" si="2"/>
        <v>58</v>
      </c>
      <c r="I37" s="13">
        <v>2325</v>
      </c>
      <c r="J37" s="21">
        <v>43139</v>
      </c>
      <c r="K37" s="33">
        <v>0.37847222222222227</v>
      </c>
      <c r="L37" s="16">
        <v>-580</v>
      </c>
      <c r="M37" s="16">
        <f t="shared" si="3"/>
        <v>-1160</v>
      </c>
      <c r="N37" s="13"/>
      <c r="O37" s="13"/>
      <c r="P37" s="22"/>
      <c r="Q37" s="22"/>
      <c r="R37" t="s">
        <v>284</v>
      </c>
      <c r="S37">
        <f>VLOOKUP(Cmt(A37),Sheet2!A:B,2,FALSE)</f>
        <v>10</v>
      </c>
    </row>
    <row r="38" spans="1:19">
      <c r="A38" s="13" t="s">
        <v>63</v>
      </c>
      <c r="B38" s="13">
        <v>25</v>
      </c>
      <c r="C38" s="13">
        <v>2796</v>
      </c>
      <c r="D38" s="21">
        <v>43138</v>
      </c>
      <c r="E38" s="33">
        <v>0.87847222222222221</v>
      </c>
      <c r="F38" s="20">
        <v>2.1999999999999999E-2</v>
      </c>
      <c r="G38" s="20">
        <v>1.0999999999999999E-2</v>
      </c>
      <c r="H38" s="75">
        <f t="shared" si="2"/>
        <v>50</v>
      </c>
      <c r="I38" s="13">
        <v>2796</v>
      </c>
      <c r="J38" s="21">
        <v>43139</v>
      </c>
      <c r="K38" s="33">
        <v>0.37847222222222227</v>
      </c>
      <c r="L38" s="16">
        <v>0</v>
      </c>
      <c r="M38" s="16">
        <f t="shared" si="3"/>
        <v>0</v>
      </c>
      <c r="N38" s="13"/>
      <c r="O38" s="13"/>
      <c r="P38" s="22"/>
      <c r="Q38" s="22"/>
      <c r="R38" t="s">
        <v>284</v>
      </c>
      <c r="S38">
        <f>VLOOKUP(Cmt(A38),Sheet2!A:B,2,FALSE)</f>
        <v>10</v>
      </c>
    </row>
    <row r="39" spans="1:19">
      <c r="A39" s="13" t="s">
        <v>55</v>
      </c>
      <c r="B39" s="13">
        <v>19</v>
      </c>
      <c r="C39" s="13">
        <v>2338</v>
      </c>
      <c r="D39" s="21">
        <v>43139</v>
      </c>
      <c r="E39" s="33">
        <v>0.56805555555555554</v>
      </c>
      <c r="F39" s="20">
        <v>2.1000000000000001E-2</v>
      </c>
      <c r="G39" s="20">
        <v>7.0000000000000001E-3</v>
      </c>
      <c r="H39" s="75">
        <f t="shared" si="2"/>
        <v>57</v>
      </c>
      <c r="I39" s="1">
        <v>2338</v>
      </c>
      <c r="J39" s="2">
        <v>43140</v>
      </c>
      <c r="K39" s="26">
        <v>0.46249999999999997</v>
      </c>
      <c r="L39" s="16">
        <v>0</v>
      </c>
      <c r="M39" s="16">
        <f t="shared" si="3"/>
        <v>0</v>
      </c>
      <c r="N39" s="13"/>
      <c r="O39" s="13"/>
      <c r="P39" s="22"/>
      <c r="Q39" s="22"/>
      <c r="R39" s="49" t="s">
        <v>284</v>
      </c>
      <c r="S39">
        <f>VLOOKUP(Cmt(A39),Sheet2!A:B,2,FALSE)</f>
        <v>10</v>
      </c>
    </row>
    <row r="40" spans="1:19">
      <c r="A40" s="13" t="s">
        <v>64</v>
      </c>
      <c r="B40" s="13">
        <v>21</v>
      </c>
      <c r="C40" s="13">
        <v>4015</v>
      </c>
      <c r="D40" s="21">
        <v>43133</v>
      </c>
      <c r="E40" s="33">
        <v>0.3833333333333333</v>
      </c>
      <c r="F40" s="20">
        <v>3.9E-2</v>
      </c>
      <c r="G40" s="20">
        <v>1.2999999999999999E-2</v>
      </c>
      <c r="H40" s="75">
        <f t="shared" si="2"/>
        <v>63</v>
      </c>
      <c r="I40" s="13">
        <v>4016</v>
      </c>
      <c r="J40" s="21">
        <v>43136</v>
      </c>
      <c r="K40" s="33">
        <v>0.37847222222222227</v>
      </c>
      <c r="L40" s="16">
        <v>210</v>
      </c>
      <c r="M40" s="16">
        <f t="shared" si="3"/>
        <v>630</v>
      </c>
      <c r="N40" s="13">
        <v>38</v>
      </c>
      <c r="O40" s="13">
        <v>2338</v>
      </c>
      <c r="P40" s="70">
        <v>43139</v>
      </c>
      <c r="Q40" s="71">
        <v>0.62152777777777779</v>
      </c>
      <c r="R40" s="49" t="s">
        <v>284</v>
      </c>
      <c r="S40">
        <f>VLOOKUP(Cmt(A40),Sheet2!A:B,2,FALSE)</f>
        <v>10</v>
      </c>
    </row>
    <row r="41" spans="1:19">
      <c r="A41" s="13" t="s">
        <v>60</v>
      </c>
      <c r="B41" s="13">
        <v>-2</v>
      </c>
      <c r="C41" s="13">
        <v>275.75</v>
      </c>
      <c r="D41" s="21">
        <v>43133</v>
      </c>
      <c r="E41" s="33">
        <v>0.89583333333333337</v>
      </c>
      <c r="F41" s="20">
        <v>1.7999999999999999E-2</v>
      </c>
      <c r="G41" s="20">
        <v>8.9999999999999993E-3</v>
      </c>
      <c r="H41" s="75">
        <f t="shared" si="2"/>
        <v>-4</v>
      </c>
      <c r="I41" s="13">
        <v>275.55</v>
      </c>
      <c r="J41" s="21">
        <v>43137</v>
      </c>
      <c r="K41" s="33">
        <v>0.39166666666666666</v>
      </c>
      <c r="L41" s="16">
        <v>399.99999999997726</v>
      </c>
      <c r="M41" s="16">
        <f t="shared" si="3"/>
        <v>799.99999999995453</v>
      </c>
      <c r="N41" s="13"/>
      <c r="O41" s="13"/>
      <c r="P41" s="70"/>
      <c r="Q41" s="71"/>
      <c r="R41" t="s">
        <v>281</v>
      </c>
      <c r="S41">
        <f>VLOOKUP(Cmt(A41),Sheet2!A:B,2,FALSE)</f>
        <v>1000</v>
      </c>
    </row>
    <row r="42" spans="1:19">
      <c r="A42" s="13" t="s">
        <v>163</v>
      </c>
      <c r="B42" s="13">
        <v>4</v>
      </c>
      <c r="C42" s="13">
        <v>2136.5</v>
      </c>
      <c r="D42" s="21">
        <v>43138</v>
      </c>
      <c r="E42" s="33">
        <v>0.38263888888888892</v>
      </c>
      <c r="F42" s="20">
        <v>2.5000000000000001E-2</v>
      </c>
      <c r="G42" s="20">
        <v>1.2500000000000001E-2</v>
      </c>
      <c r="H42" s="75">
        <f t="shared" si="2"/>
        <v>8</v>
      </c>
      <c r="I42" s="13">
        <v>2143</v>
      </c>
      <c r="J42" s="21">
        <v>43139</v>
      </c>
      <c r="K42" s="33">
        <v>0.37847222222222227</v>
      </c>
      <c r="L42" s="16">
        <v>-2600</v>
      </c>
      <c r="M42" s="16">
        <f t="shared" si="3"/>
        <v>5200</v>
      </c>
      <c r="N42" s="13">
        <v>-15</v>
      </c>
      <c r="O42" s="13">
        <v>14335</v>
      </c>
      <c r="P42" s="70">
        <v>43137</v>
      </c>
      <c r="Q42" s="71">
        <v>0.62152777777777779</v>
      </c>
      <c r="R42" t="s">
        <v>281</v>
      </c>
      <c r="S42">
        <f>VLOOKUP(Cmt(A42),Sheet2!A:B,2,FALSE)</f>
        <v>100</v>
      </c>
    </row>
    <row r="43" spans="1:19">
      <c r="A43" s="13" t="s">
        <v>87</v>
      </c>
      <c r="B43" s="13">
        <v>-9</v>
      </c>
      <c r="C43" s="13">
        <v>5132</v>
      </c>
      <c r="D43" s="21">
        <v>43133</v>
      </c>
      <c r="E43" s="33">
        <v>0.46458333333333335</v>
      </c>
      <c r="F43" s="20">
        <v>2.1000000000000001E-2</v>
      </c>
      <c r="G43" s="20">
        <v>7.0000000000000001E-3</v>
      </c>
      <c r="H43" s="75">
        <f t="shared" si="2"/>
        <v>-27</v>
      </c>
      <c r="I43" s="13">
        <v>5102</v>
      </c>
      <c r="J43" s="21">
        <v>43136</v>
      </c>
      <c r="K43" s="33">
        <v>0.88124999999999998</v>
      </c>
      <c r="L43" s="16">
        <v>2700</v>
      </c>
      <c r="M43" s="16">
        <f t="shared" si="3"/>
        <v>8100</v>
      </c>
      <c r="N43" s="13"/>
      <c r="O43" s="13"/>
      <c r="P43" s="22"/>
      <c r="Q43" s="22"/>
      <c r="R43" t="s">
        <v>281</v>
      </c>
      <c r="S43">
        <f>VLOOKUP(Cmt(A43),Sheet2!A:B,2,FALSE)</f>
        <v>10</v>
      </c>
    </row>
    <row r="44" spans="1:19">
      <c r="A44" s="13" t="s">
        <v>56</v>
      </c>
      <c r="B44" s="13">
        <v>73</v>
      </c>
      <c r="C44" s="13">
        <v>2132</v>
      </c>
      <c r="D44" s="21">
        <v>43137</v>
      </c>
      <c r="E44" s="33">
        <v>0.61875000000000002</v>
      </c>
      <c r="F44" s="20">
        <v>2.4E-2</v>
      </c>
      <c r="G44" s="20">
        <v>2.4E-2</v>
      </c>
      <c r="H44" s="75">
        <f t="shared" si="2"/>
        <v>73</v>
      </c>
      <c r="I44" s="13">
        <v>2144</v>
      </c>
      <c r="J44" s="21">
        <v>43139</v>
      </c>
      <c r="K44" s="33">
        <v>0.56805555555555554</v>
      </c>
      <c r="L44" s="16">
        <v>8760</v>
      </c>
      <c r="M44" s="16">
        <f t="shared" si="3"/>
        <v>8760</v>
      </c>
      <c r="R44" t="s">
        <v>281</v>
      </c>
      <c r="S44">
        <f>VLOOKUP(Cmt(A44),Sheet2!A:B,2,FALSE)</f>
        <v>10</v>
      </c>
    </row>
    <row r="45" spans="1:19">
      <c r="A45" s="13" t="s">
        <v>60</v>
      </c>
      <c r="B45" s="13">
        <v>-2</v>
      </c>
      <c r="C45" s="13">
        <v>274.35000000000002</v>
      </c>
      <c r="D45" s="21">
        <v>43137</v>
      </c>
      <c r="E45" s="33">
        <v>0.88263888888888886</v>
      </c>
      <c r="F45" s="20">
        <v>1.7999999999999999E-2</v>
      </c>
      <c r="G45" s="20">
        <v>8.9999999999999993E-3</v>
      </c>
      <c r="H45" s="75">
        <f t="shared" si="2"/>
        <v>-4</v>
      </c>
      <c r="I45" s="13">
        <v>272</v>
      </c>
      <c r="J45" s="21">
        <v>43139</v>
      </c>
      <c r="K45" s="33">
        <v>0.87847222222222221</v>
      </c>
      <c r="L45" s="16">
        <v>5200.0000000000455</v>
      </c>
      <c r="M45" s="16">
        <f t="shared" si="3"/>
        <v>9400.0000000000909</v>
      </c>
      <c r="N45" s="13">
        <v>-4</v>
      </c>
      <c r="O45" s="13">
        <v>52710</v>
      </c>
      <c r="P45" s="70">
        <v>43137</v>
      </c>
      <c r="Q45" s="71">
        <v>0.62152777777777779</v>
      </c>
      <c r="R45" t="s">
        <v>281</v>
      </c>
      <c r="S45">
        <f>VLOOKUP(Cmt(A45),Sheet2!A:B,2,FALSE)</f>
        <v>1000</v>
      </c>
    </row>
    <row r="46" spans="1:19">
      <c r="A46" s="13" t="s">
        <v>273</v>
      </c>
      <c r="B46" s="13">
        <v>20</v>
      </c>
      <c r="C46" s="13">
        <v>518.5</v>
      </c>
      <c r="D46" s="21">
        <v>43136</v>
      </c>
      <c r="E46" s="33">
        <v>0.4236111111111111</v>
      </c>
      <c r="F46" s="20">
        <v>3.2000000000000001E-2</v>
      </c>
      <c r="G46" s="20">
        <v>1.6E-2</v>
      </c>
      <c r="H46" s="75">
        <f t="shared" si="2"/>
        <v>40</v>
      </c>
      <c r="I46" s="13">
        <v>521.5</v>
      </c>
      <c r="J46" s="21">
        <v>43137</v>
      </c>
      <c r="K46" s="33">
        <v>0.42638888888888887</v>
      </c>
      <c r="L46" s="16">
        <v>-4000</v>
      </c>
      <c r="M46" s="16">
        <f t="shared" si="3"/>
        <v>12000</v>
      </c>
      <c r="N46" s="13"/>
      <c r="O46" s="13"/>
      <c r="P46" s="22"/>
      <c r="Q46" s="22"/>
      <c r="R46" t="s">
        <v>281</v>
      </c>
      <c r="S46">
        <f>VLOOKUP(Cmt(A46),Sheet2!A:B,2,FALSE)</f>
        <v>100</v>
      </c>
    </row>
    <row r="47" spans="1:19">
      <c r="A47" s="13" t="s">
        <v>53</v>
      </c>
      <c r="B47" s="13">
        <v>-7</v>
      </c>
      <c r="C47" s="13">
        <v>52690</v>
      </c>
      <c r="D47" s="21">
        <v>43138</v>
      </c>
      <c r="E47" s="33">
        <v>0.62152777777777779</v>
      </c>
      <c r="F47" s="20">
        <v>2.9000000000000001E-2</v>
      </c>
      <c r="G47" s="20">
        <v>2.9000000000000001E-2</v>
      </c>
      <c r="H47" s="75">
        <f t="shared" si="2"/>
        <v>-7</v>
      </c>
      <c r="I47" s="13">
        <v>52080</v>
      </c>
      <c r="J47" s="21">
        <v>43139</v>
      </c>
      <c r="K47" s="33">
        <v>0.59375</v>
      </c>
      <c r="L47" s="16">
        <v>21350</v>
      </c>
      <c r="M47" s="16">
        <f t="shared" si="3"/>
        <v>21350</v>
      </c>
      <c r="R47" t="s">
        <v>281</v>
      </c>
      <c r="S47">
        <f>VLOOKUP(Cmt(A47),Sheet2!A:B,2,FALSE)</f>
        <v>5</v>
      </c>
    </row>
    <row r="48" spans="1:19">
      <c r="A48" s="13" t="s">
        <v>165</v>
      </c>
      <c r="B48" s="13">
        <v>-14</v>
      </c>
      <c r="C48" s="13">
        <v>14570</v>
      </c>
      <c r="D48" s="21">
        <v>43136</v>
      </c>
      <c r="E48" s="33">
        <v>0.38541666666666669</v>
      </c>
      <c r="F48" s="20">
        <v>3.2000000000000001E-2</v>
      </c>
      <c r="G48" s="20">
        <v>1.6E-2</v>
      </c>
      <c r="H48" s="75">
        <f t="shared" si="2"/>
        <v>-28</v>
      </c>
      <c r="I48" s="13">
        <v>14400</v>
      </c>
      <c r="J48" s="21">
        <v>43137</v>
      </c>
      <c r="K48" s="33">
        <v>0.37847222222222227</v>
      </c>
      <c r="L48" s="16">
        <v>11900</v>
      </c>
      <c r="M48" s="16">
        <f t="shared" si="3"/>
        <v>23800</v>
      </c>
      <c r="N48" s="13"/>
      <c r="O48" s="13"/>
      <c r="P48" s="22"/>
      <c r="Q48" s="22"/>
      <c r="R48" t="s">
        <v>281</v>
      </c>
      <c r="S48">
        <f>VLOOKUP(Cmt(A48),Sheet2!A:B,2,FALSE)</f>
        <v>5</v>
      </c>
    </row>
    <row r="49" spans="1:19">
      <c r="A49" s="13" t="s">
        <v>163</v>
      </c>
      <c r="B49" s="13">
        <v>4</v>
      </c>
      <c r="C49" s="13">
        <v>2043</v>
      </c>
      <c r="D49" s="21">
        <v>43133</v>
      </c>
      <c r="E49" s="33">
        <v>0.44444444444444442</v>
      </c>
      <c r="F49" s="20">
        <v>2.1000000000000001E-2</v>
      </c>
      <c r="G49" s="20">
        <v>1.0500000000000001E-2</v>
      </c>
      <c r="H49" s="75">
        <f t="shared" si="2"/>
        <v>8</v>
      </c>
      <c r="I49" s="13">
        <v>2116.5</v>
      </c>
      <c r="J49" s="21" t="s">
        <v>275</v>
      </c>
      <c r="K49" s="33" t="s">
        <v>276</v>
      </c>
      <c r="L49" s="16">
        <v>29400</v>
      </c>
      <c r="M49" s="16">
        <f t="shared" si="3"/>
        <v>58800</v>
      </c>
      <c r="N49" s="13"/>
      <c r="O49" s="13"/>
      <c r="P49" s="22"/>
      <c r="Q49" s="22"/>
      <c r="R49" t="s">
        <v>281</v>
      </c>
      <c r="S49">
        <f>VLOOKUP(Cmt(A49),Sheet2!A:B,2,FALSE)</f>
        <v>100</v>
      </c>
    </row>
    <row r="50" spans="1:19">
      <c r="A50" s="13" t="s">
        <v>151</v>
      </c>
      <c r="B50" s="13">
        <v>11</v>
      </c>
      <c r="C50" s="13">
        <v>1299.5</v>
      </c>
      <c r="D50" s="21">
        <v>43132</v>
      </c>
      <c r="E50" s="47">
        <v>0.88541666666666663</v>
      </c>
      <c r="F50" s="20">
        <v>2.6000000000000002E-2</v>
      </c>
      <c r="G50" s="20">
        <v>1.3000000000000001E-2</v>
      </c>
      <c r="H50" s="75">
        <f t="shared" si="2"/>
        <v>22</v>
      </c>
      <c r="I50" s="13">
        <v>1369.5</v>
      </c>
      <c r="J50" s="21">
        <v>43136</v>
      </c>
      <c r="K50" s="33" t="s">
        <v>274</v>
      </c>
      <c r="L50" s="16">
        <v>46200</v>
      </c>
      <c r="M50" s="16">
        <f t="shared" si="3"/>
        <v>92400</v>
      </c>
      <c r="R50" t="s">
        <v>281</v>
      </c>
      <c r="S50">
        <f>VLOOKUP(Cmt(A50),Sheet2!A:B,2,FALSE)</f>
        <v>60</v>
      </c>
    </row>
    <row r="51" spans="1:19">
      <c r="A51" s="1" t="s">
        <v>54</v>
      </c>
      <c r="B51" s="1">
        <v>-11</v>
      </c>
      <c r="C51" s="1">
        <v>5622</v>
      </c>
      <c r="D51" s="2">
        <v>43140</v>
      </c>
      <c r="E51" s="26">
        <v>0.38055555555555554</v>
      </c>
      <c r="F51" s="17">
        <v>1.4E-2</v>
      </c>
      <c r="G51" s="17">
        <v>4.6666666666666662E-3</v>
      </c>
      <c r="H51" s="75">
        <f t="shared" si="2"/>
        <v>-33.000000000000007</v>
      </c>
      <c r="I51" s="26"/>
      <c r="J51" s="16"/>
      <c r="M51" s="16"/>
      <c r="N51" s="13"/>
      <c r="O51" s="13"/>
      <c r="P51" s="70"/>
      <c r="Q51" s="71"/>
      <c r="R51" s="22" t="s">
        <v>281</v>
      </c>
      <c r="S51">
        <f>VLOOKUP(Cmt(A51),Sheet2!A:B,2,FALSE)</f>
        <v>5</v>
      </c>
    </row>
    <row r="52" spans="1:19">
      <c r="A52" s="1" t="s">
        <v>165</v>
      </c>
      <c r="B52" s="1">
        <v>-10</v>
      </c>
      <c r="C52" s="1">
        <v>14345</v>
      </c>
      <c r="D52" s="2">
        <v>43140</v>
      </c>
      <c r="E52" s="26">
        <v>0.46249999999999997</v>
      </c>
      <c r="F52" s="17">
        <v>2.3E-2</v>
      </c>
      <c r="G52" s="17">
        <v>1.15E-2</v>
      </c>
      <c r="H52" s="75">
        <f t="shared" si="2"/>
        <v>-20</v>
      </c>
      <c r="I52" s="33"/>
      <c r="J52" s="16"/>
      <c r="M52" s="16"/>
      <c r="N52" s="13"/>
      <c r="O52" s="13"/>
      <c r="P52" s="22"/>
      <c r="Q52" s="22"/>
      <c r="R52" t="s">
        <v>286</v>
      </c>
      <c r="S52">
        <f>VLOOKUP(Cmt(A52),Sheet2!A:B,2,FALSE)</f>
        <v>5</v>
      </c>
    </row>
    <row r="53" spans="1:19">
      <c r="A53" s="1" t="s">
        <v>53</v>
      </c>
      <c r="B53" s="1">
        <v>-2</v>
      </c>
      <c r="C53" s="1">
        <v>51680</v>
      </c>
      <c r="D53" s="2">
        <v>43140</v>
      </c>
      <c r="E53" s="26">
        <v>0.38055555555555554</v>
      </c>
      <c r="F53" s="17">
        <v>1.9E-2</v>
      </c>
      <c r="G53" s="17">
        <v>9.4999999999999998E-3</v>
      </c>
      <c r="H53" s="75">
        <f t="shared" si="2"/>
        <v>-4</v>
      </c>
      <c r="I53" s="33"/>
      <c r="J53" s="16"/>
      <c r="M53" s="16"/>
      <c r="N53" s="13"/>
      <c r="O53" s="13"/>
      <c r="P53" s="22"/>
      <c r="Q53" s="22"/>
      <c r="R53" t="s">
        <v>286</v>
      </c>
      <c r="S53">
        <f>VLOOKUP(Cmt(A53),Sheet2!A:B,2,FALSE)</f>
        <v>5</v>
      </c>
    </row>
    <row r="54" spans="1:19">
      <c r="A54" s="1" t="s">
        <v>57</v>
      </c>
      <c r="B54" s="1">
        <v>-7</v>
      </c>
      <c r="C54" s="1">
        <v>100210</v>
      </c>
      <c r="D54" s="2">
        <v>43140</v>
      </c>
      <c r="E54" s="26">
        <v>0.38055555555555554</v>
      </c>
      <c r="F54" s="17">
        <v>2.1000000000000001E-2</v>
      </c>
      <c r="G54" s="17">
        <v>1.0500000000000001E-2</v>
      </c>
      <c r="H54" s="75">
        <f t="shared" si="2"/>
        <v>-14</v>
      </c>
      <c r="I54" s="33"/>
      <c r="J54" s="16"/>
      <c r="M54" s="16"/>
      <c r="N54" s="13"/>
      <c r="O54" s="13"/>
      <c r="P54" s="70"/>
      <c r="Q54" s="71"/>
      <c r="R54" t="s">
        <v>286</v>
      </c>
      <c r="S54">
        <f>VLOOKUP(Cmt(A54),Sheet2!A:B,2,FALSE)</f>
        <v>1</v>
      </c>
    </row>
    <row r="55" spans="1:19">
      <c r="A55" s="13" t="s">
        <v>164</v>
      </c>
      <c r="B55" s="13">
        <v>-1</v>
      </c>
      <c r="C55" s="13">
        <v>4194.6000000000004</v>
      </c>
      <c r="D55" s="21">
        <v>43138</v>
      </c>
      <c r="E55" s="33">
        <v>0.40277777777777773</v>
      </c>
      <c r="F55" s="20">
        <v>1.9E-2</v>
      </c>
      <c r="G55" s="20">
        <v>1.9E-2</v>
      </c>
      <c r="H55" s="75">
        <f t="shared" si="2"/>
        <v>-1</v>
      </c>
      <c r="I55" s="13"/>
      <c r="J55" s="13"/>
      <c r="K55" s="13"/>
      <c r="L55" s="16" t="s">
        <v>272</v>
      </c>
      <c r="M55" s="16"/>
      <c r="N55" s="13"/>
      <c r="O55" s="13"/>
      <c r="P55" s="22"/>
      <c r="Q55" s="22"/>
      <c r="R55" t="s">
        <v>286</v>
      </c>
      <c r="S55">
        <f>VLOOKUP(Cmt(A55),Sheet2!A:B,2,FALSE)</f>
        <v>300</v>
      </c>
    </row>
    <row r="56" spans="1:19">
      <c r="A56" s="1" t="s">
        <v>93</v>
      </c>
      <c r="B56" s="1">
        <v>-1</v>
      </c>
      <c r="C56" s="1">
        <v>2850</v>
      </c>
      <c r="D56" s="2">
        <v>43140</v>
      </c>
      <c r="E56" s="26">
        <v>0.40138888888888885</v>
      </c>
      <c r="F56" s="17">
        <v>1.7000000000000001E-2</v>
      </c>
      <c r="G56" s="17">
        <v>1.7000000000000001E-2</v>
      </c>
      <c r="H56" s="75">
        <f t="shared" si="2"/>
        <v>-1</v>
      </c>
      <c r="I56" s="26"/>
      <c r="J56" s="16"/>
      <c r="M56" s="16"/>
      <c r="R56" t="s">
        <v>286</v>
      </c>
      <c r="S56">
        <f>VLOOKUP(Cmt(A56),Sheet2!A:B,2,FALSE)</f>
        <v>300</v>
      </c>
    </row>
    <row r="57" spans="1:19">
      <c r="A57" s="1" t="s">
        <v>58</v>
      </c>
      <c r="B57" s="1">
        <v>-1</v>
      </c>
      <c r="C57" s="1">
        <v>6119.2</v>
      </c>
      <c r="D57" s="2">
        <v>43132</v>
      </c>
      <c r="E57" s="26">
        <v>0.44444444444444442</v>
      </c>
      <c r="F57" s="17">
        <v>1.7999999999999999E-2</v>
      </c>
      <c r="G57" s="17">
        <v>1.7999999999999999E-2</v>
      </c>
      <c r="H57" s="75">
        <f t="shared" si="2"/>
        <v>-1</v>
      </c>
      <c r="I57" s="33"/>
      <c r="J57" s="16"/>
      <c r="M57" s="16"/>
      <c r="S57">
        <f>VLOOKUP(Cmt(A57),Sheet2!A:B,2,FALSE)</f>
        <v>200</v>
      </c>
    </row>
    <row r="58" spans="1:19">
      <c r="A58" s="13"/>
      <c r="B58" s="13"/>
      <c r="C58" s="13"/>
      <c r="D58" s="21"/>
      <c r="E58" s="33"/>
      <c r="F58" s="20"/>
      <c r="G58" s="21"/>
      <c r="H58" s="76"/>
      <c r="I58" s="33"/>
      <c r="J58" s="16"/>
    </row>
    <row r="59" spans="1:19">
      <c r="A59" s="13"/>
      <c r="B59" s="13"/>
      <c r="C59" s="13"/>
      <c r="D59" s="21"/>
      <c r="E59" s="33"/>
      <c r="F59" s="20"/>
      <c r="G59" s="21"/>
      <c r="H59" s="76"/>
      <c r="I59" s="33"/>
      <c r="J59" s="16"/>
    </row>
    <row r="60" spans="1:19">
      <c r="A60" s="13"/>
      <c r="B60" s="13"/>
      <c r="C60" s="13"/>
      <c r="D60" s="21"/>
      <c r="E60" s="33"/>
      <c r="F60" s="20"/>
      <c r="G60" s="21"/>
      <c r="H60" s="76"/>
      <c r="I60" s="33"/>
      <c r="J60" s="16"/>
    </row>
    <row r="61" spans="1:19">
      <c r="A61" s="13"/>
      <c r="B61" s="13"/>
      <c r="C61" s="13"/>
      <c r="D61" s="21"/>
      <c r="E61" s="33"/>
      <c r="F61" s="20"/>
      <c r="G61" s="21"/>
      <c r="H61" s="76"/>
      <c r="I61" s="33"/>
      <c r="J61" s="16"/>
    </row>
    <row r="62" spans="1:19">
      <c r="A62" s="13"/>
      <c r="B62" s="13"/>
      <c r="C62" s="13"/>
      <c r="D62" s="21"/>
      <c r="E62" s="33"/>
      <c r="F62" s="20"/>
      <c r="G62" s="21"/>
      <c r="H62" s="76"/>
      <c r="I62" s="33"/>
      <c r="J62" s="16"/>
    </row>
    <row r="63" spans="1:19">
      <c r="A63" s="13"/>
      <c r="B63" s="13"/>
      <c r="C63" s="13"/>
      <c r="D63" s="21"/>
      <c r="E63" s="33"/>
      <c r="F63" s="20"/>
      <c r="G63" s="21"/>
      <c r="H63" s="76"/>
      <c r="I63" s="33"/>
      <c r="J63" s="16"/>
    </row>
    <row r="64" spans="1:19">
      <c r="A64" s="13"/>
      <c r="B64" s="13"/>
      <c r="C64" s="13"/>
      <c r="D64" s="21"/>
      <c r="E64" s="33"/>
      <c r="F64" s="20"/>
      <c r="G64" s="21"/>
      <c r="H64" s="76"/>
      <c r="I64" s="33"/>
      <c r="J64" s="16"/>
    </row>
    <row r="65" spans="1:10">
      <c r="A65" s="13"/>
      <c r="B65" s="13"/>
      <c r="C65" s="13"/>
      <c r="D65" s="21"/>
      <c r="E65" s="33"/>
      <c r="F65" s="20"/>
      <c r="G65" s="21"/>
      <c r="H65" s="76"/>
      <c r="I65" s="47"/>
      <c r="J65" s="16"/>
    </row>
    <row r="66" spans="1:10">
      <c r="A66" s="13"/>
      <c r="B66" s="13"/>
      <c r="C66" s="13"/>
      <c r="D66" s="21"/>
      <c r="E66" s="33"/>
      <c r="F66" s="20"/>
      <c r="G66" s="21"/>
      <c r="H66" s="76"/>
      <c r="I66" s="33"/>
      <c r="J66" s="16"/>
    </row>
    <row r="67" spans="1:10">
      <c r="A67" s="13"/>
      <c r="B67" s="13"/>
      <c r="C67" s="13"/>
      <c r="D67" s="21"/>
      <c r="E67" s="33"/>
      <c r="F67" s="20"/>
      <c r="G67" s="21"/>
      <c r="H67" s="76"/>
      <c r="I67" s="33"/>
      <c r="J67" s="16"/>
    </row>
    <row r="68" spans="1:10">
      <c r="A68" s="13"/>
      <c r="B68" s="13"/>
      <c r="C68" s="13"/>
      <c r="D68" s="21"/>
      <c r="E68" s="33"/>
      <c r="F68" s="20"/>
      <c r="G68" s="21"/>
      <c r="H68" s="76"/>
      <c r="I68" s="33"/>
      <c r="J68" s="16"/>
    </row>
    <row r="69" spans="1:10">
      <c r="A69" s="13"/>
      <c r="B69" s="13"/>
      <c r="C69" s="13"/>
      <c r="D69" s="21"/>
      <c r="E69" s="33"/>
      <c r="F69" s="20"/>
      <c r="G69" s="21"/>
      <c r="H69" s="76"/>
      <c r="I69" s="47"/>
      <c r="J69" s="16"/>
    </row>
    <row r="70" spans="1:10">
      <c r="A70" s="13"/>
      <c r="B70" s="13"/>
      <c r="C70" s="13"/>
      <c r="D70" s="21"/>
      <c r="E70" s="33"/>
      <c r="F70" s="20"/>
      <c r="G70" s="21"/>
      <c r="H70" s="76"/>
      <c r="I70" s="33"/>
      <c r="J70" s="16"/>
    </row>
    <row r="71" spans="1:10">
      <c r="A71" s="13"/>
      <c r="B71" s="13"/>
      <c r="C71" s="13"/>
      <c r="D71" s="21"/>
      <c r="E71" s="33"/>
      <c r="F71" s="20"/>
      <c r="G71" s="21"/>
      <c r="H71" s="76"/>
      <c r="I71" s="33"/>
      <c r="J71" s="16"/>
    </row>
    <row r="72" spans="1:10">
      <c r="A72" s="13"/>
      <c r="B72" s="13"/>
      <c r="C72" s="13"/>
      <c r="D72" s="21"/>
      <c r="E72" s="33"/>
      <c r="F72" s="20"/>
      <c r="G72" s="21"/>
      <c r="H72" s="76"/>
      <c r="I72" s="47"/>
      <c r="J72" s="16"/>
    </row>
    <row r="73" spans="1:10">
      <c r="A73" s="13"/>
      <c r="B73" s="13"/>
      <c r="C73" s="13"/>
      <c r="D73" s="21"/>
      <c r="E73" s="33"/>
      <c r="F73" s="20"/>
      <c r="G73" s="21"/>
      <c r="H73" s="76"/>
      <c r="I73" s="33"/>
      <c r="J73" s="16"/>
    </row>
    <row r="74" spans="1:10">
      <c r="A74" s="13"/>
      <c r="B74" s="13"/>
      <c r="C74" s="13"/>
      <c r="D74" s="21"/>
      <c r="E74" s="33"/>
      <c r="F74" s="20"/>
      <c r="G74" s="21"/>
      <c r="H74" s="76"/>
      <c r="I74" s="33"/>
      <c r="J74" s="16"/>
    </row>
    <row r="75" spans="1:10">
      <c r="A75" s="13"/>
      <c r="B75" s="13"/>
      <c r="C75" s="13"/>
      <c r="D75" s="21"/>
      <c r="E75" s="33"/>
      <c r="F75" s="20"/>
      <c r="G75" s="21"/>
      <c r="H75" s="76"/>
      <c r="I75" s="33"/>
      <c r="J75" s="16"/>
    </row>
    <row r="76" spans="1:10">
      <c r="A76" s="13"/>
      <c r="B76" s="13"/>
      <c r="C76" s="13"/>
      <c r="D76" s="21"/>
      <c r="E76" s="33"/>
      <c r="F76" s="20"/>
      <c r="G76" s="21"/>
      <c r="H76" s="76"/>
      <c r="I76" s="33"/>
      <c r="J76" s="13"/>
    </row>
    <row r="77" spans="1:10">
      <c r="A77" s="13"/>
      <c r="B77" s="13"/>
      <c r="C77" s="13"/>
      <c r="D77" s="21"/>
      <c r="E77" s="33"/>
      <c r="F77" s="20"/>
      <c r="G77" s="21"/>
      <c r="H77" s="76"/>
      <c r="I77" s="33"/>
      <c r="J77" s="16"/>
    </row>
    <row r="78" spans="1:10">
      <c r="A78" s="13"/>
      <c r="B78" s="13"/>
      <c r="C78" s="13"/>
      <c r="D78" s="21"/>
      <c r="E78" s="33"/>
      <c r="F78" s="20"/>
      <c r="G78" s="21"/>
      <c r="H78" s="76"/>
      <c r="I78" s="33"/>
      <c r="J78" s="16"/>
    </row>
    <row r="79" spans="1:10">
      <c r="A79" s="13"/>
      <c r="B79" s="13"/>
      <c r="C79" s="13"/>
      <c r="D79" s="21"/>
      <c r="E79" s="33"/>
      <c r="F79" s="20"/>
      <c r="G79" s="21"/>
      <c r="H79" s="76"/>
      <c r="I79" s="33"/>
      <c r="J79" s="16"/>
    </row>
    <row r="80" spans="1:10">
      <c r="A80" s="13"/>
      <c r="B80" s="13"/>
      <c r="C80" s="13"/>
      <c r="D80" s="21"/>
      <c r="E80" s="33"/>
      <c r="F80" s="20"/>
      <c r="G80" s="21"/>
      <c r="H80" s="76"/>
      <c r="I80" s="33"/>
      <c r="J80" s="16"/>
    </row>
    <row r="81" spans="1:10">
      <c r="A81" s="13"/>
      <c r="B81" s="13"/>
      <c r="C81" s="13"/>
      <c r="D81" s="21"/>
      <c r="E81" s="33"/>
      <c r="F81" s="20"/>
      <c r="G81" s="21"/>
      <c r="H81" s="76"/>
      <c r="I81" s="33"/>
      <c r="J81" s="16"/>
    </row>
  </sheetData>
  <sortState ref="A2:M57">
    <sortCondition ref="M2:M57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40" workbookViewId="0">
      <selection activeCell="F14" sqref="F14"/>
    </sheetView>
  </sheetViews>
  <sheetFormatPr defaultRowHeight="13.5"/>
  <cols>
    <col min="1" max="1" width="9" style="58" bestFit="1" customWidth="1"/>
    <col min="2" max="2" width="10.5" style="57" bestFit="1" customWidth="1"/>
  </cols>
  <sheetData>
    <row r="1" spans="1:2">
      <c r="A1" s="58" t="s">
        <v>216</v>
      </c>
      <c r="B1" s="57" t="s">
        <v>268</v>
      </c>
    </row>
    <row r="2" spans="1:2">
      <c r="A2" s="58" t="s">
        <v>217</v>
      </c>
      <c r="B2" s="57">
        <v>5</v>
      </c>
    </row>
    <row r="3" spans="1:2">
      <c r="A3" s="58" t="s">
        <v>218</v>
      </c>
      <c r="B3" s="57">
        <v>5</v>
      </c>
    </row>
    <row r="4" spans="1:2">
      <c r="A4" s="58" t="s">
        <v>219</v>
      </c>
      <c r="B4" s="57">
        <v>5</v>
      </c>
    </row>
    <row r="5" spans="1:2">
      <c r="A5" s="58" t="s">
        <v>220</v>
      </c>
      <c r="B5" s="57">
        <v>5</v>
      </c>
    </row>
    <row r="6" spans="1:2">
      <c r="A6" s="58" t="s">
        <v>221</v>
      </c>
      <c r="B6" s="57">
        <v>1</v>
      </c>
    </row>
    <row r="7" spans="1:2">
      <c r="A7" s="58" t="s">
        <v>222</v>
      </c>
      <c r="B7" s="57">
        <v>1</v>
      </c>
    </row>
    <row r="8" spans="1:2">
      <c r="A8" s="58" t="s">
        <v>223</v>
      </c>
      <c r="B8" s="57">
        <v>1000</v>
      </c>
    </row>
    <row r="9" spans="1:2">
      <c r="A9" s="58" t="s">
        <v>224</v>
      </c>
      <c r="B9" s="57">
        <v>15</v>
      </c>
    </row>
    <row r="10" spans="1:2">
      <c r="A10" s="58" t="s">
        <v>225</v>
      </c>
      <c r="B10" s="57">
        <v>10</v>
      </c>
    </row>
    <row r="11" spans="1:2">
      <c r="A11" s="58" t="s">
        <v>226</v>
      </c>
      <c r="B11" s="57">
        <v>10</v>
      </c>
    </row>
    <row r="12" spans="1:2">
      <c r="A12" s="58" t="s">
        <v>227</v>
      </c>
      <c r="B12" s="57">
        <v>10</v>
      </c>
    </row>
    <row r="13" spans="1:2">
      <c r="A13" s="58" t="s">
        <v>228</v>
      </c>
      <c r="B13" s="57">
        <v>50</v>
      </c>
    </row>
    <row r="14" spans="1:2">
      <c r="A14" s="58" t="s">
        <v>229</v>
      </c>
      <c r="B14" s="57">
        <v>10</v>
      </c>
    </row>
    <row r="15" spans="1:2">
      <c r="A15" s="58" t="s">
        <v>230</v>
      </c>
      <c r="B15" s="57">
        <v>10</v>
      </c>
    </row>
    <row r="16" spans="1:2">
      <c r="A16" s="58" t="s">
        <v>231</v>
      </c>
      <c r="B16" s="57">
        <v>20</v>
      </c>
    </row>
    <row r="17" spans="1:2">
      <c r="A17" s="58" t="s">
        <v>232</v>
      </c>
      <c r="B17" s="57">
        <v>50</v>
      </c>
    </row>
    <row r="18" spans="1:2">
      <c r="A18" s="58" t="s">
        <v>233</v>
      </c>
      <c r="B18" s="57">
        <v>5</v>
      </c>
    </row>
    <row r="19" spans="1:2">
      <c r="A19" s="58" t="s">
        <v>234</v>
      </c>
      <c r="B19" s="57">
        <v>10</v>
      </c>
    </row>
    <row r="20" spans="1:2">
      <c r="A20" s="58" t="s">
        <v>235</v>
      </c>
      <c r="B20" s="57">
        <v>10</v>
      </c>
    </row>
    <row r="21" spans="1:2">
      <c r="A21" s="58" t="s">
        <v>236</v>
      </c>
      <c r="B21" s="57">
        <v>20</v>
      </c>
    </row>
    <row r="22" spans="1:2">
      <c r="A22" s="58" t="s">
        <v>237</v>
      </c>
      <c r="B22" s="57">
        <v>10</v>
      </c>
    </row>
    <row r="23" spans="1:2">
      <c r="A23" s="58" t="s">
        <v>238</v>
      </c>
      <c r="B23" s="57">
        <v>10</v>
      </c>
    </row>
    <row r="24" spans="1:2">
      <c r="A24" s="58" t="s">
        <v>239</v>
      </c>
      <c r="B24" s="57">
        <v>20</v>
      </c>
    </row>
    <row r="25" spans="1:2">
      <c r="A25" s="58" t="s">
        <v>240</v>
      </c>
      <c r="B25" s="57">
        <v>20</v>
      </c>
    </row>
    <row r="26" spans="1:2">
      <c r="A26" s="58" t="s">
        <v>241</v>
      </c>
      <c r="B26" s="57">
        <v>5</v>
      </c>
    </row>
    <row r="27" spans="1:2">
      <c r="A27" s="58" t="s">
        <v>242</v>
      </c>
      <c r="B27" s="57">
        <v>5</v>
      </c>
    </row>
    <row r="28" spans="1:2">
      <c r="A28" s="58" t="s">
        <v>243</v>
      </c>
      <c r="B28" s="57">
        <v>10</v>
      </c>
    </row>
    <row r="29" spans="1:2">
      <c r="A29" s="58" t="s">
        <v>244</v>
      </c>
      <c r="B29" s="57">
        <v>20</v>
      </c>
    </row>
    <row r="30" spans="1:2">
      <c r="A30" s="58" t="s">
        <v>245</v>
      </c>
      <c r="B30" s="57">
        <v>100</v>
      </c>
    </row>
    <row r="31" spans="1:2">
      <c r="A31" s="58" t="s">
        <v>246</v>
      </c>
      <c r="B31" s="57">
        <v>5</v>
      </c>
    </row>
    <row r="32" spans="1:2">
      <c r="A32" s="58" t="s">
        <v>247</v>
      </c>
      <c r="B32" s="57">
        <v>5</v>
      </c>
    </row>
    <row r="33" spans="1:2">
      <c r="A33" s="58" t="s">
        <v>248</v>
      </c>
      <c r="B33" s="57">
        <v>10</v>
      </c>
    </row>
    <row r="34" spans="1:2">
      <c r="A34" s="58" t="s">
        <v>249</v>
      </c>
      <c r="B34" s="57">
        <v>10</v>
      </c>
    </row>
    <row r="35" spans="1:2">
      <c r="A35" s="58" t="s">
        <v>250</v>
      </c>
      <c r="B35" s="57">
        <v>10</v>
      </c>
    </row>
    <row r="36" spans="1:2">
      <c r="A36" s="58" t="s">
        <v>251</v>
      </c>
      <c r="B36" s="57">
        <v>10</v>
      </c>
    </row>
    <row r="37" spans="1:2">
      <c r="A37" s="58" t="s">
        <v>212</v>
      </c>
      <c r="B37" s="57">
        <v>10</v>
      </c>
    </row>
    <row r="38" spans="1:2">
      <c r="A38" s="58" t="s">
        <v>252</v>
      </c>
      <c r="B38" s="57">
        <v>10</v>
      </c>
    </row>
    <row r="39" spans="1:2">
      <c r="A39" s="58" t="s">
        <v>253</v>
      </c>
      <c r="B39" s="57">
        <v>10</v>
      </c>
    </row>
    <row r="40" spans="1:2">
      <c r="A40" s="58" t="s">
        <v>254</v>
      </c>
      <c r="B40" s="57">
        <v>500</v>
      </c>
    </row>
    <row r="41" spans="1:2">
      <c r="A41" s="58" t="s">
        <v>255</v>
      </c>
      <c r="B41" s="57">
        <v>500</v>
      </c>
    </row>
    <row r="42" spans="1:2">
      <c r="A42" s="58" t="s">
        <v>256</v>
      </c>
      <c r="B42" s="57">
        <v>5</v>
      </c>
    </row>
    <row r="43" spans="1:2">
      <c r="A43" s="58" t="s">
        <v>257</v>
      </c>
      <c r="B43" s="57">
        <v>5</v>
      </c>
    </row>
    <row r="44" spans="1:2">
      <c r="A44" s="58" t="s">
        <v>258</v>
      </c>
      <c r="B44" s="57">
        <v>5</v>
      </c>
    </row>
    <row r="45" spans="1:2">
      <c r="A45" s="58" t="s">
        <v>259</v>
      </c>
      <c r="B45" s="57">
        <v>5</v>
      </c>
    </row>
    <row r="46" spans="1:2">
      <c r="A46" s="58" t="s">
        <v>260</v>
      </c>
      <c r="B46" s="57">
        <v>100</v>
      </c>
    </row>
    <row r="47" spans="1:2">
      <c r="A47" s="58" t="s">
        <v>261</v>
      </c>
      <c r="B47" s="57">
        <v>60</v>
      </c>
    </row>
    <row r="48" spans="1:2">
      <c r="A48" s="58" t="s">
        <v>262</v>
      </c>
      <c r="B48" s="57">
        <v>100</v>
      </c>
    </row>
    <row r="49" spans="1:2">
      <c r="A49" s="58" t="s">
        <v>263</v>
      </c>
      <c r="B49" s="57">
        <v>300</v>
      </c>
    </row>
    <row r="50" spans="1:2">
      <c r="A50" s="58" t="s">
        <v>264</v>
      </c>
      <c r="B50" s="57">
        <v>200</v>
      </c>
    </row>
    <row r="51" spans="1:2">
      <c r="A51" s="58" t="s">
        <v>265</v>
      </c>
      <c r="B51" s="57">
        <v>300</v>
      </c>
    </row>
    <row r="52" spans="1:2">
      <c r="A52" s="58" t="s">
        <v>266</v>
      </c>
      <c r="B52" s="57">
        <v>10000</v>
      </c>
    </row>
    <row r="53" spans="1:2">
      <c r="A53" s="58" t="s">
        <v>267</v>
      </c>
      <c r="B53" s="57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2018-02-27T09:58:43Z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