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0" i="1" l="1"/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40" i="5"/>
  <c r="S41" i="5"/>
  <c r="S38" i="5"/>
  <c r="S12" i="5"/>
  <c r="S13" i="5"/>
  <c r="S10" i="5"/>
  <c r="S11" i="5"/>
  <c r="S48" i="5"/>
  <c r="S49" i="5"/>
  <c r="S46" i="5"/>
  <c r="S20" i="5"/>
  <c r="S21" i="5"/>
  <c r="S18" i="5"/>
  <c r="S36" i="5"/>
  <c r="S34" i="5"/>
  <c r="S9" i="5"/>
  <c r="S6" i="5"/>
  <c r="S45" i="5"/>
  <c r="S16" i="5"/>
  <c r="S14" i="5"/>
  <c r="S19" i="5"/>
  <c r="S53" i="5"/>
  <c r="S24" i="5"/>
  <c r="S22" i="5"/>
  <c r="S23" i="5"/>
  <c r="S15" i="5"/>
  <c r="S32" i="5"/>
  <c r="S30" i="5"/>
  <c r="S5" i="5"/>
  <c r="S2" i="5"/>
  <c r="S31" i="5"/>
  <c r="S56" i="5"/>
  <c r="S57" i="5"/>
  <c r="S54" i="5"/>
  <c r="S28" i="5"/>
  <c r="S29" i="5"/>
  <c r="S26" i="5"/>
  <c r="S47" i="5"/>
  <c r="S43" i="5"/>
  <c r="S39" i="5"/>
  <c r="S51" i="5"/>
  <c r="S37" i="5"/>
  <c r="S8" i="5"/>
  <c r="S7" i="5"/>
  <c r="S44" i="5"/>
  <c r="S42" i="5"/>
  <c r="S17" i="5"/>
  <c r="S52" i="5"/>
  <c r="S50" i="5"/>
  <c r="S25" i="5"/>
  <c r="S35" i="5"/>
  <c r="S27" i="5"/>
  <c r="S33" i="5"/>
  <c r="S4" i="5"/>
  <c r="S55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41" i="1" l="1"/>
  <c r="T241" i="1" s="1"/>
  <c r="S242" i="1"/>
  <c r="T242" i="1" s="1"/>
  <c r="S243" i="1"/>
  <c r="S244" i="1"/>
  <c r="U244" i="1" s="1"/>
  <c r="S245" i="1"/>
  <c r="T245" i="1" s="1"/>
  <c r="S246" i="1"/>
  <c r="T246" i="1" s="1"/>
  <c r="S247" i="1"/>
  <c r="S248" i="1"/>
  <c r="U248" i="1" s="1"/>
  <c r="S249" i="1"/>
  <c r="T249" i="1" s="1"/>
  <c r="S250" i="1"/>
  <c r="T250" i="1" s="1"/>
  <c r="S251" i="1"/>
  <c r="S252" i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29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40" i="1"/>
  <c r="S239" i="1"/>
  <c r="S238" i="1"/>
  <c r="S237" i="1"/>
  <c r="S236" i="1"/>
  <c r="S64" i="1"/>
  <c r="S76" i="1"/>
  <c r="S123" i="1"/>
  <c r="S20" i="1"/>
  <c r="S53" i="1"/>
  <c r="S17" i="1"/>
  <c r="S144" i="1"/>
  <c r="S106" i="1"/>
  <c r="S157" i="1"/>
  <c r="S227" i="1"/>
  <c r="S69" i="1"/>
  <c r="S102" i="1"/>
  <c r="S95" i="1"/>
  <c r="S131" i="1"/>
  <c r="S159" i="1"/>
  <c r="S63" i="1"/>
  <c r="S166" i="1"/>
  <c r="S193" i="1"/>
  <c r="S234" i="1"/>
  <c r="S178" i="1"/>
  <c r="S92" i="1"/>
  <c r="S177" i="1"/>
  <c r="S8" i="1"/>
  <c r="S206" i="1"/>
  <c r="S96" i="1"/>
  <c r="S200" i="1"/>
  <c r="S138" i="1"/>
  <c r="S127" i="1"/>
  <c r="S135" i="1"/>
  <c r="S113" i="1"/>
  <c r="S100" i="1"/>
  <c r="S121" i="1"/>
  <c r="S98" i="1"/>
  <c r="S176" i="1"/>
  <c r="S143" i="1"/>
  <c r="S103" i="1"/>
  <c r="S183" i="1"/>
  <c r="S230" i="1"/>
  <c r="S57" i="1"/>
  <c r="S196" i="1"/>
  <c r="S132" i="1"/>
  <c r="S73" i="1"/>
  <c r="S118" i="1"/>
  <c r="S153" i="1"/>
  <c r="S18" i="1"/>
  <c r="S162" i="1"/>
  <c r="S48" i="1"/>
  <c r="S37" i="1"/>
  <c r="S105" i="1"/>
  <c r="S126" i="1"/>
  <c r="S4" i="1"/>
  <c r="S22" i="1"/>
  <c r="S110" i="1"/>
  <c r="S221" i="1"/>
  <c r="S86" i="1"/>
  <c r="S83" i="1"/>
  <c r="S134" i="1"/>
  <c r="S189" i="1"/>
  <c r="S169" i="1"/>
  <c r="S27" i="1"/>
  <c r="S75" i="1"/>
  <c r="S128" i="1"/>
  <c r="S2" i="1"/>
  <c r="S203" i="1"/>
  <c r="S235" i="1"/>
  <c r="S217" i="1"/>
  <c r="S192" i="1"/>
  <c r="S119" i="1"/>
  <c r="S21" i="1"/>
  <c r="S129" i="1"/>
  <c r="S49" i="1"/>
  <c r="S202" i="1"/>
  <c r="S163" i="1"/>
  <c r="S209" i="1"/>
  <c r="S78" i="1"/>
  <c r="S122" i="1"/>
  <c r="S182" i="1"/>
  <c r="S67" i="1"/>
  <c r="S151" i="1"/>
  <c r="S220" i="1"/>
  <c r="S211" i="1"/>
  <c r="S175" i="1"/>
  <c r="S219" i="1"/>
  <c r="S172" i="1"/>
  <c r="S197" i="1"/>
  <c r="S9" i="1"/>
  <c r="S147" i="1"/>
  <c r="S165" i="1"/>
  <c r="S139" i="1"/>
  <c r="S137" i="1"/>
  <c r="S43" i="1"/>
  <c r="S120" i="1"/>
  <c r="S93" i="1"/>
  <c r="S90" i="1"/>
  <c r="S188" i="1"/>
  <c r="S180" i="1"/>
  <c r="S68" i="1"/>
  <c r="S54" i="1"/>
  <c r="S141" i="1"/>
  <c r="S124" i="1"/>
  <c r="S36" i="1"/>
  <c r="S40" i="1"/>
  <c r="S149" i="1"/>
  <c r="S161" i="1"/>
  <c r="S3" i="1"/>
  <c r="S152" i="1"/>
  <c r="S187" i="1"/>
  <c r="S156" i="1"/>
  <c r="S62" i="1"/>
  <c r="S231" i="1"/>
  <c r="S19" i="1"/>
  <c r="S112" i="1"/>
  <c r="S111" i="1"/>
  <c r="S11" i="1"/>
  <c r="S216" i="1"/>
  <c r="S56" i="1"/>
  <c r="S171" i="1"/>
  <c r="S150" i="1"/>
  <c r="S160" i="1"/>
  <c r="S12" i="1"/>
  <c r="S88" i="1"/>
  <c r="S60" i="1"/>
  <c r="S70" i="1"/>
  <c r="S6" i="1"/>
  <c r="S228" i="1"/>
  <c r="S24" i="1"/>
  <c r="S10" i="1"/>
  <c r="S201" i="1"/>
  <c r="S207" i="1"/>
  <c r="S229" i="1"/>
  <c r="S39" i="1"/>
  <c r="S51" i="1"/>
  <c r="S184" i="1"/>
  <c r="S79" i="1"/>
  <c r="S71" i="1"/>
  <c r="S61" i="1"/>
  <c r="S82" i="1"/>
  <c r="S223" i="1"/>
  <c r="S145" i="1"/>
  <c r="S218" i="1"/>
  <c r="S23" i="1"/>
  <c r="S26" i="1"/>
  <c r="S38" i="1"/>
  <c r="S212" i="1"/>
  <c r="S85" i="1"/>
  <c r="S45" i="1"/>
  <c r="S215" i="1"/>
  <c r="S198" i="1"/>
  <c r="S208" i="1"/>
  <c r="S72" i="1"/>
  <c r="S97" i="1"/>
  <c r="S115" i="1"/>
  <c r="S226" i="1"/>
  <c r="S142" i="1"/>
  <c r="S91" i="1"/>
  <c r="S174" i="1"/>
  <c r="S185" i="1"/>
  <c r="S204" i="1"/>
  <c r="S81" i="1"/>
  <c r="S5" i="1"/>
  <c r="S224" i="1"/>
  <c r="S59" i="1"/>
  <c r="S94" i="1"/>
  <c r="S191" i="1"/>
  <c r="S101" i="1"/>
  <c r="S125" i="1"/>
  <c r="S114" i="1"/>
  <c r="S84" i="1"/>
  <c r="S58" i="1"/>
  <c r="S74" i="1"/>
  <c r="S205" i="1"/>
  <c r="S41" i="1"/>
  <c r="S195" i="1"/>
  <c r="S50" i="1"/>
  <c r="S35" i="1"/>
  <c r="S222" i="1"/>
  <c r="S42" i="1"/>
  <c r="S44" i="1"/>
  <c r="S46" i="1"/>
  <c r="S108" i="1"/>
  <c r="S146" i="1"/>
  <c r="S80" i="1"/>
  <c r="S155" i="1"/>
  <c r="S89" i="1"/>
  <c r="S210" i="1"/>
  <c r="S66" i="1"/>
  <c r="S117" i="1"/>
  <c r="S7" i="1"/>
  <c r="S199" i="1"/>
  <c r="S130" i="1"/>
  <c r="S104" i="1"/>
  <c r="S154" i="1"/>
  <c r="S47" i="1"/>
  <c r="S65" i="1"/>
  <c r="S170" i="1"/>
  <c r="S167" i="1"/>
  <c r="S213" i="1"/>
  <c r="S179" i="1"/>
  <c r="S55" i="1"/>
  <c r="S52" i="1"/>
  <c r="S173" i="1"/>
  <c r="S158" i="1"/>
  <c r="S225" i="1"/>
  <c r="S148" i="1"/>
  <c r="S87" i="1"/>
  <c r="S233" i="1"/>
  <c r="S16" i="1"/>
  <c r="S107" i="1"/>
  <c r="S13" i="1"/>
  <c r="S194" i="1"/>
  <c r="S77" i="1"/>
  <c r="S186" i="1"/>
  <c r="S14" i="1"/>
  <c r="S133" i="1"/>
  <c r="S232" i="1"/>
  <c r="S140" i="1"/>
  <c r="S15" i="1"/>
  <c r="S109" i="1"/>
  <c r="S136" i="1"/>
  <c r="S214" i="1"/>
  <c r="S181" i="1"/>
  <c r="S116" i="1"/>
  <c r="S168" i="1"/>
  <c r="S190" i="1"/>
  <c r="S99" i="1"/>
  <c r="S33" i="1"/>
  <c r="T238" i="1" l="1"/>
  <c r="T237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244" i="1"/>
  <c r="T356" i="1"/>
  <c r="T292" i="1"/>
  <c r="T308" i="1"/>
  <c r="T248" i="1"/>
  <c r="T340" i="1"/>
  <c r="T276" i="1"/>
  <c r="T324" i="1"/>
  <c r="T260" i="1"/>
  <c r="U353" i="1"/>
  <c r="U321" i="1"/>
  <c r="U289" i="1"/>
  <c r="U241" i="1"/>
  <c r="U361" i="1"/>
  <c r="U345" i="1"/>
  <c r="U329" i="1"/>
  <c r="U313" i="1"/>
  <c r="U297" i="1"/>
  <c r="U281" i="1"/>
  <c r="U265" i="1"/>
  <c r="U249" i="1"/>
  <c r="T364" i="1"/>
  <c r="T348" i="1"/>
  <c r="T332" i="1"/>
  <c r="T316" i="1"/>
  <c r="T300" i="1"/>
  <c r="T284" i="1"/>
  <c r="T268" i="1"/>
  <c r="T252" i="1"/>
  <c r="T236" i="1"/>
  <c r="U357" i="1"/>
  <c r="U341" i="1"/>
  <c r="U325" i="1"/>
  <c r="U309" i="1"/>
  <c r="U293" i="1"/>
  <c r="U277" i="1"/>
  <c r="U261" i="1"/>
  <c r="U245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U253" i="1"/>
  <c r="T368" i="1"/>
  <c r="T352" i="1"/>
  <c r="T336" i="1"/>
  <c r="T320" i="1"/>
  <c r="T304" i="1"/>
  <c r="T288" i="1"/>
  <c r="T272" i="1"/>
  <c r="T256" i="1"/>
  <c r="T240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U251" i="1"/>
  <c r="T251" i="1"/>
  <c r="U247" i="1"/>
  <c r="T247" i="1"/>
  <c r="U243" i="1"/>
  <c r="T243" i="1"/>
  <c r="T239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U242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U237" i="1" s="1"/>
  <c r="I238" i="1"/>
  <c r="U238" i="1" s="1"/>
  <c r="I239" i="1"/>
  <c r="U239" i="1" s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40" i="1" l="1"/>
  <c r="U236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235" i="1" s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163" i="1" l="1"/>
  <c r="U162" i="1"/>
  <c r="U161" i="1"/>
  <c r="U160" i="1"/>
  <c r="G159" i="1"/>
  <c r="G158" i="1"/>
  <c r="G157" i="1" l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159" i="1" l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G149" i="1" l="1"/>
  <c r="G148" i="1"/>
  <c r="G140" i="1" l="1"/>
  <c r="M141" i="1" l="1"/>
  <c r="M138" i="1"/>
  <c r="U149" i="1"/>
  <c r="U148" i="1"/>
  <c r="U140" i="1"/>
  <c r="U141" i="1"/>
  <c r="G139" i="1" l="1"/>
  <c r="U139" i="1" l="1"/>
  <c r="G138" i="1"/>
  <c r="U138" i="1" l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<sst xmlns="http://schemas.openxmlformats.org/spreadsheetml/2006/main" count="457" uniqueCount="300">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</sst>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11744"/>
        <c:axId val="261812304"/>
      </c:lineChart>
      <c:dateAx>
        <c:axId val="261811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1812304"/>
        <c:crosses val="autoZero"/>
        <c:auto val="1"/>
        <c:lblOffset val="100"/>
        <c:baseTimeUnit val="days"/>
      </c:dateAx>
      <c:valAx>
        <c:axId val="26181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181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919488"/>
        <c:axId val="465920048"/>
      </c:lineChart>
      <c:dateAx>
        <c:axId val="46591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920048"/>
        <c:crosses val="autoZero"/>
        <c:auto val="1"/>
        <c:lblOffset val="100"/>
        <c:baseTimeUnit val="days"/>
      </c:dateAx>
      <c:valAx>
        <c:axId val="46592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14" activePane="bottomLeft" state="frozen"/>
      <selection pane="bottomLeft" activeCell="C36" sqref="C3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0.24186046511627907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0.79152364007152465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">
        <f t="shared" si="1"/>
        <v>0.97952649999999997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24" activePane="bottomLeft" state="frozen"/>
      <selection pane="bottomLeft" activeCell="M237" sqref="M237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215</v>
      </c>
      <c r="V1" s="65">
        <f>COUNTIF(M2:M9987,"&gt;0")</f>
        <v>52</v>
      </c>
      <c r="W1" s="65">
        <f>COUNTIF(M2:M9987,"&lt;0")</f>
        <v>159</v>
      </c>
      <c r="X1" s="65">
        <f>SUMIF(M2:M9987,"&gt;0")</f>
        <v>737566.54999999981</v>
      </c>
      <c r="Y1" s="65">
        <f>ABS(SUMIF(M2:M9987,"&lt;0"))</f>
        <v>931831.36000000068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M211" s="16" t="str">
        <f t="shared" si="71"/>
        <v/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M231" s="16" t="str">
        <f t="shared" si="103"/>
        <v/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M232" s="16" t="str">
        <f t="shared" si="103"/>
        <v/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/>
      <c r="K234" s="34"/>
      <c r="L234" s="34"/>
      <c r="M234" s="40" t="str">
        <f t="shared" si="103"/>
        <v/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M236" s="16" t="str">
        <f t="shared" si="103"/>
        <v/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M237" s="16" t="str">
        <f t="shared" si="103"/>
        <v/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M238" s="16" t="str">
        <f t="shared" si="103"/>
        <v/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B240" s="1" t="s">
        <v>299</v>
      </c>
      <c r="C240" s="1">
        <v>10</v>
      </c>
      <c r="D240" s="1">
        <v>1360.5</v>
      </c>
      <c r="E240" s="2">
        <v>43143</v>
      </c>
      <c r="F240" s="26">
        <v>0.56805555555555554</v>
      </c>
      <c r="G240" s="17">
        <v>2.4E-2</v>
      </c>
      <c r="H240" s="53">
        <v>0.5</v>
      </c>
      <c r="I240" s="17">
        <f t="shared" si="102"/>
        <v>1.2E-2</v>
      </c>
      <c r="M240" s="16" t="str">
        <f t="shared" si="103"/>
        <v/>
      </c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9:23">
      <c r="I241" s="17" t="str">
        <f t="shared" si="102"/>
        <v/>
      </c>
      <c r="M241" s="16" t="str">
        <f t="shared" si="103"/>
        <v/>
      </c>
      <c r="S241" t="str">
        <f>IF(B241="","",VLOOKUP(Cmt(B241),Sheet2!A:B,2,FALSE))</f>
        <v/>
      </c>
      <c r="T241" s="39" t="str">
        <f t="shared" si="112"/>
        <v/>
      </c>
      <c r="U241" s="13" t="str">
        <f t="shared" si="110"/>
        <v/>
      </c>
      <c r="W241" s="11"/>
    </row>
    <row r="242" spans="9:23">
      <c r="I242" s="17" t="str">
        <f t="shared" si="102"/>
        <v/>
      </c>
      <c r="M242" s="16" t="str">
        <f t="shared" si="103"/>
        <v/>
      </c>
      <c r="S242" t="str">
        <f>IF(B242="","",VLOOKUP(Cmt(B242),Sheet2!A:B,2,FALSE))</f>
        <v/>
      </c>
      <c r="T242" s="39" t="str">
        <f t="shared" si="112"/>
        <v/>
      </c>
      <c r="U242" s="13" t="str">
        <f t="shared" si="110"/>
        <v/>
      </c>
      <c r="W242" s="11"/>
    </row>
    <row r="243" spans="9:23">
      <c r="I243" s="17" t="str">
        <f t="shared" si="102"/>
        <v/>
      </c>
      <c r="M243" s="16" t="str">
        <f t="shared" si="103"/>
        <v/>
      </c>
      <c r="S243" t="str">
        <f>IF(B243="","",VLOOKUP(Cmt(B243),Sheet2!A:B,2,FALSE))</f>
        <v/>
      </c>
      <c r="T243" s="39" t="str">
        <f t="shared" si="112"/>
        <v/>
      </c>
      <c r="U243" s="13" t="str">
        <f t="shared" si="110"/>
        <v/>
      </c>
      <c r="W243" s="11"/>
    </row>
    <row r="244" spans="9:23">
      <c r="I244" s="17" t="str">
        <f t="shared" si="102"/>
        <v/>
      </c>
      <c r="M244" s="16" t="str">
        <f t="shared" si="103"/>
        <v/>
      </c>
      <c r="S244" t="str">
        <f>IF(B244="","",VLOOKUP(Cmt(B244),Sheet2!A:B,2,FALSE))</f>
        <v/>
      </c>
      <c r="T244" s="39" t="str">
        <f t="shared" si="112"/>
        <v/>
      </c>
      <c r="U244" s="13" t="str">
        <f t="shared" si="110"/>
        <v/>
      </c>
      <c r="W244" s="11"/>
    </row>
    <row r="245" spans="9:23">
      <c r="I245" s="17" t="str">
        <f t="shared" si="102"/>
        <v/>
      </c>
      <c r="M245" s="16" t="str">
        <f t="shared" si="103"/>
        <v/>
      </c>
      <c r="S245" t="str">
        <f>IF(B245="","",VLOOKUP(Cmt(B245),Sheet2!A:B,2,FALSE))</f>
        <v/>
      </c>
      <c r="T245" s="39" t="str">
        <f t="shared" si="112"/>
        <v/>
      </c>
      <c r="U245" s="13" t="str">
        <f t="shared" si="110"/>
        <v/>
      </c>
      <c r="W245" s="11"/>
    </row>
    <row r="246" spans="9:23">
      <c r="I246" s="17" t="str">
        <f t="shared" si="102"/>
        <v/>
      </c>
      <c r="M246" s="16" t="str">
        <f t="shared" si="103"/>
        <v/>
      </c>
      <c r="S246" t="str">
        <f>IF(B246="","",VLOOKUP(Cmt(B246),Sheet2!A:B,2,FALSE))</f>
        <v/>
      </c>
      <c r="T246" s="39" t="str">
        <f t="shared" si="112"/>
        <v/>
      </c>
      <c r="U246" s="13" t="str">
        <f t="shared" si="110"/>
        <v/>
      </c>
      <c r="W246" s="11"/>
    </row>
    <row r="247" spans="9:23">
      <c r="I247" s="17" t="str">
        <f t="shared" si="102"/>
        <v/>
      </c>
      <c r="M247" s="16" t="str">
        <f t="shared" si="103"/>
        <v/>
      </c>
      <c r="S247" t="str">
        <f>IF(B247="","",VLOOKUP(Cmt(B247),Sheet2!A:B,2,FALSE))</f>
        <v/>
      </c>
      <c r="T247" s="39" t="str">
        <f t="shared" si="112"/>
        <v/>
      </c>
      <c r="U247" s="13" t="str">
        <f t="shared" si="110"/>
        <v/>
      </c>
      <c r="W247" s="11"/>
    </row>
    <row r="248" spans="9:23">
      <c r="I248" s="17" t="str">
        <f t="shared" si="102"/>
        <v/>
      </c>
      <c r="M248" s="16" t="str">
        <f t="shared" si="103"/>
        <v/>
      </c>
      <c r="S248" t="str">
        <f>IF(B248="","",VLOOKUP(Cmt(B248),Sheet2!A:B,2,FALSE))</f>
        <v/>
      </c>
      <c r="T248" s="39" t="str">
        <f t="shared" si="112"/>
        <v/>
      </c>
      <c r="U248" s="13" t="str">
        <f t="shared" si="110"/>
        <v/>
      </c>
      <c r="W248" s="11"/>
    </row>
    <row r="249" spans="9:23">
      <c r="I249" s="17" t="str">
        <f t="shared" si="102"/>
        <v/>
      </c>
      <c r="M249" s="16" t="str">
        <f t="shared" si="103"/>
        <v/>
      </c>
      <c r="S249" t="str">
        <f>IF(B249="","",VLOOKUP(Cmt(B249),Sheet2!A:B,2,FALSE))</f>
        <v/>
      </c>
      <c r="T249" s="39" t="str">
        <f t="shared" si="112"/>
        <v/>
      </c>
      <c r="U249" s="13" t="str">
        <f t="shared" si="110"/>
        <v/>
      </c>
      <c r="W249" s="11"/>
    </row>
    <row r="250" spans="9:23">
      <c r="I250" s="17" t="str">
        <f t="shared" si="102"/>
        <v/>
      </c>
      <c r="M250" s="16" t="str">
        <f t="shared" si="103"/>
        <v/>
      </c>
      <c r="S250" t="str">
        <f>IF(B250="","",VLOOKUP(Cmt(B250),Sheet2!A:B,2,FALSE))</f>
        <v/>
      </c>
      <c r="T250" s="39" t="str">
        <f t="shared" si="112"/>
        <v/>
      </c>
      <c r="U250" s="13" t="str">
        <f t="shared" si="110"/>
        <v/>
      </c>
      <c r="W250" s="11"/>
    </row>
    <row r="251" spans="9:23">
      <c r="I251" s="17" t="str">
        <f t="shared" si="102"/>
        <v/>
      </c>
      <c r="M251" s="16" t="str">
        <f t="shared" si="103"/>
        <v/>
      </c>
      <c r="S251" t="str">
        <f>IF(B251="","",VLOOKUP(Cmt(B251),Sheet2!A:B,2,FALSE))</f>
        <v/>
      </c>
      <c r="T251" s="39" t="str">
        <f t="shared" si="112"/>
        <v/>
      </c>
      <c r="U251" s="13" t="str">
        <f t="shared" si="110"/>
        <v/>
      </c>
      <c r="W251" s="11"/>
    </row>
    <row r="252" spans="9:23">
      <c r="I252" s="17" t="str">
        <f t="shared" si="102"/>
        <v/>
      </c>
      <c r="M252" s="16" t="str">
        <f t="shared" si="103"/>
        <v/>
      </c>
      <c r="S252" t="str">
        <f>IF(B252="","",VLOOKUP(Cmt(B252),Sheet2!A:B,2,FALSE))</f>
        <v/>
      </c>
      <c r="T252" s="39" t="str">
        <f t="shared" si="112"/>
        <v/>
      </c>
      <c r="U252" s="13" t="str">
        <f t="shared" si="110"/>
        <v/>
      </c>
      <c r="W252" s="11"/>
    </row>
    <row r="253" spans="9:23">
      <c r="I253" s="17" t="str">
        <f t="shared" si="102"/>
        <v/>
      </c>
      <c r="M253" s="16" t="str">
        <f t="shared" si="103"/>
        <v/>
      </c>
      <c r="S253" t="str">
        <f>IF(B253="","",VLOOKUP(Cmt(B253),Sheet2!A:B,2,FALSE))</f>
        <v/>
      </c>
      <c r="T253" s="39" t="str">
        <f t="shared" si="112"/>
        <v/>
      </c>
      <c r="U253" s="13" t="str">
        <f t="shared" si="110"/>
        <v/>
      </c>
      <c r="W253" s="11"/>
    </row>
    <row r="254" spans="9:23">
      <c r="I254" s="17" t="str">
        <f t="shared" si="102"/>
        <v/>
      </c>
      <c r="M254" s="16" t="str">
        <f t="shared" si="103"/>
        <v/>
      </c>
      <c r="S254" t="str">
        <f>IF(B254="","",VLOOKUP(Cmt(B254),Sheet2!A:B,2,FALSE))</f>
        <v/>
      </c>
      <c r="T254" s="39" t="str">
        <f t="shared" si="112"/>
        <v/>
      </c>
      <c r="U254" s="13" t="str">
        <f t="shared" si="110"/>
        <v/>
      </c>
      <c r="W254" s="11"/>
    </row>
    <row r="255" spans="9:23">
      <c r="I255" s="17" t="str">
        <f t="shared" si="102"/>
        <v/>
      </c>
      <c r="M255" s="16" t="str">
        <f t="shared" si="103"/>
        <v/>
      </c>
      <c r="S255" t="str">
        <f>IF(B255="","",VLOOKUP(Cmt(B255),Sheet2!A:B,2,FALSE))</f>
        <v/>
      </c>
      <c r="T255" s="39" t="str">
        <f t="shared" si="112"/>
        <v/>
      </c>
      <c r="U255" s="13" t="str">
        <f t="shared" si="110"/>
        <v/>
      </c>
      <c r="W255" s="11"/>
    </row>
    <row r="256" spans="9:23">
      <c r="I256" s="17" t="str">
        <f t="shared" si="102"/>
        <v/>
      </c>
      <c r="M256" s="16" t="str">
        <f t="shared" si="103"/>
        <v/>
      </c>
      <c r="S256" t="str">
        <f>IF(B256="","",VLOOKUP(Cmt(B256),Sheet2!A:B,2,FALSE))</f>
        <v/>
      </c>
      <c r="T256" s="39" t="str">
        <f t="shared" si="112"/>
        <v/>
      </c>
      <c r="U256" s="13" t="str">
        <f t="shared" si="110"/>
        <v/>
      </c>
      <c r="W256" s="11"/>
    </row>
    <row r="257" spans="9:23"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9:23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9:23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9:23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9:23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9:23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9:23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9:23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9:23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9:23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9:23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9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9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9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9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9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2018-02-12T09:12:01Z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