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7" i="2" l="1"/>
  <c r="D326" i="1" l="1"/>
  <c r="D325" i="1"/>
  <c r="C76" i="2" l="1"/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S309" i="1"/>
  <c r="S308" i="1"/>
  <c r="S310" i="1"/>
  <c r="M310" i="1" l="1"/>
  <c r="M309" i="1"/>
  <c r="M308" i="1"/>
  <c r="I295" i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371" i="1"/>
  <c r="S372" i="1"/>
  <c r="U372" i="1" s="1"/>
  <c r="S373" i="1"/>
  <c r="T373" i="1" s="1"/>
  <c r="S374" i="1"/>
  <c r="T374" i="1" s="1"/>
  <c r="S25" i="1"/>
  <c r="S28" i="1"/>
  <c r="S29" i="1"/>
  <c r="S30" i="1"/>
  <c r="S31" i="1"/>
  <c r="S32" i="1"/>
  <c r="S34" i="1"/>
  <c r="M301" i="1"/>
  <c r="M305" i="1"/>
  <c r="M323" i="1"/>
  <c r="M324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I215" i="1"/>
  <c r="S305" i="1"/>
  <c r="S331" i="1"/>
  <c r="S330" i="1"/>
  <c r="S329" i="1"/>
  <c r="S325" i="1"/>
  <c r="S311" i="1"/>
  <c r="S314" i="1"/>
  <c r="S315" i="1"/>
  <c r="S324" i="1"/>
  <c r="S319" i="1"/>
  <c r="S318" i="1"/>
  <c r="S328" i="1"/>
  <c r="S313" i="1"/>
  <c r="S327" i="1"/>
  <c r="S321" i="1"/>
  <c r="S323" i="1"/>
  <c r="S322" i="1"/>
  <c r="S307" i="1"/>
  <c r="S317" i="1"/>
  <c r="S326" i="1"/>
  <c r="S316" i="1"/>
  <c r="S320" i="1"/>
  <c r="S312" i="1"/>
  <c r="T330" i="1" l="1"/>
  <c r="M322" i="1"/>
  <c r="M320" i="1"/>
  <c r="M319" i="1"/>
  <c r="M321" i="1"/>
  <c r="M325" i="1"/>
  <c r="M317" i="1"/>
  <c r="M318" i="1"/>
  <c r="M315" i="1"/>
  <c r="M312" i="1"/>
  <c r="M313" i="1"/>
  <c r="M314" i="1"/>
  <c r="M316" i="1"/>
  <c r="M311" i="1"/>
  <c r="M307" i="1"/>
  <c r="T307" i="1"/>
  <c r="T308" i="1" s="1"/>
  <c r="T360" i="1"/>
  <c r="T312" i="1"/>
  <c r="T313" i="1" s="1"/>
  <c r="T314" i="1" s="1"/>
  <c r="T315" i="1" s="1"/>
  <c r="T344" i="1"/>
  <c r="U357" i="1"/>
  <c r="U365" i="1"/>
  <c r="U349" i="1"/>
  <c r="U333" i="1"/>
  <c r="T368" i="1"/>
  <c r="T352" i="1"/>
  <c r="T336" i="1"/>
  <c r="T301" i="1"/>
  <c r="U361" i="1"/>
  <c r="U345" i="1"/>
  <c r="T364" i="1"/>
  <c r="T348" i="1"/>
  <c r="T332" i="1"/>
  <c r="U373" i="1"/>
  <c r="U341" i="1"/>
  <c r="U369" i="1"/>
  <c r="U353" i="1"/>
  <c r="U337" i="1"/>
  <c r="T372" i="1"/>
  <c r="T356" i="1"/>
  <c r="T340" i="1"/>
  <c r="U371" i="1"/>
  <c r="T371" i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T331" i="1"/>
  <c r="U374" i="1"/>
  <c r="U370" i="1"/>
  <c r="U366" i="1"/>
  <c r="U362" i="1"/>
  <c r="U358" i="1"/>
  <c r="U354" i="1"/>
  <c r="U350" i="1"/>
  <c r="U346" i="1"/>
  <c r="U342" i="1"/>
  <c r="U338" i="1"/>
  <c r="U334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11" i="1"/>
  <c r="U311" i="1" s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210" i="1"/>
  <c r="S274" i="1"/>
  <c r="S66" i="1"/>
  <c r="S257" i="1"/>
  <c r="S215" i="1"/>
  <c r="S289" i="1"/>
  <c r="S278" i="1"/>
  <c r="S303" i="1"/>
  <c r="S78" i="1"/>
  <c r="S145" i="1"/>
  <c r="S245" i="1"/>
  <c r="S82" i="1"/>
  <c r="S270" i="1"/>
  <c r="S236" i="1"/>
  <c r="S129" i="1"/>
  <c r="S57" i="1"/>
  <c r="S60" i="1"/>
  <c r="S43" i="1"/>
  <c r="S176" i="1"/>
  <c r="S205" i="1"/>
  <c r="S212" i="1"/>
  <c r="S38" i="1"/>
  <c r="S27" i="1"/>
  <c r="S194" i="1"/>
  <c r="S292" i="1"/>
  <c r="S300" i="1"/>
  <c r="S298" i="1"/>
  <c r="S163" i="1"/>
  <c r="S140" i="1"/>
  <c r="S128" i="1"/>
  <c r="S84" i="1"/>
  <c r="S113" i="1"/>
  <c r="S46" i="1"/>
  <c r="S271" i="1"/>
  <c r="S83" i="1"/>
  <c r="S101" i="1"/>
  <c r="S224" i="1"/>
  <c r="S262" i="1"/>
  <c r="S286" i="1"/>
  <c r="S4" i="1"/>
  <c r="S135" i="1"/>
  <c r="S75" i="1"/>
  <c r="S211" i="1"/>
  <c r="S22" i="1"/>
  <c r="S126" i="1"/>
  <c r="S218" i="1"/>
  <c r="S37" i="1"/>
  <c r="S192" i="1"/>
  <c r="S143" i="1"/>
  <c r="S76" i="1"/>
  <c r="S185" i="1"/>
  <c r="S56" i="1"/>
  <c r="S304" i="1"/>
  <c r="S201" i="1"/>
  <c r="S183" i="1"/>
  <c r="S178" i="1"/>
  <c r="S151" i="1"/>
  <c r="S225" i="1"/>
  <c r="S120" i="1"/>
  <c r="S139" i="1"/>
  <c r="S162" i="1"/>
  <c r="S293" i="1"/>
  <c r="S41" i="1"/>
  <c r="S148" i="1"/>
  <c r="S130" i="1"/>
  <c r="S127" i="1"/>
  <c r="S3" i="1"/>
  <c r="S102" i="1"/>
  <c r="S237" i="1"/>
  <c r="S256" i="1"/>
  <c r="S54" i="1"/>
  <c r="S250" i="1"/>
  <c r="S193" i="1"/>
  <c r="S48" i="1"/>
  <c r="S67" i="1"/>
  <c r="S295" i="1"/>
  <c r="S63" i="1"/>
  <c r="S213" i="1"/>
  <c r="S173" i="1"/>
  <c r="S70" i="1"/>
  <c r="S220" i="1"/>
  <c r="S238" i="1"/>
  <c r="S242" i="1"/>
  <c r="S55" i="1"/>
  <c r="S198" i="1"/>
  <c r="S49" i="1"/>
  <c r="S96" i="1"/>
  <c r="S207" i="1"/>
  <c r="S182" i="1"/>
  <c r="S160" i="1"/>
  <c r="S226" i="1"/>
  <c r="S111" i="1"/>
  <c r="S217" i="1"/>
  <c r="S206" i="1"/>
  <c r="S47" i="1"/>
  <c r="S277" i="1"/>
  <c r="S156" i="1"/>
  <c r="S119" i="1"/>
  <c r="S222" i="1"/>
  <c r="S58" i="1"/>
  <c r="S45" i="1"/>
  <c r="S72" i="1"/>
  <c r="S243" i="1"/>
  <c r="S228" i="1"/>
  <c r="S188" i="1"/>
  <c r="S279" i="1"/>
  <c r="S282" i="1"/>
  <c r="S59" i="1"/>
  <c r="S177" i="1"/>
  <c r="S103" i="1"/>
  <c r="S248" i="1"/>
  <c r="S136" i="1"/>
  <c r="S200" i="1"/>
  <c r="S147" i="1"/>
  <c r="S98" i="1"/>
  <c r="S118" i="1"/>
  <c r="S116" i="1"/>
  <c r="S297" i="1"/>
  <c r="S21" i="1"/>
  <c r="S265" i="1"/>
  <c r="S61" i="1"/>
  <c r="S165" i="1"/>
  <c r="S33" i="1"/>
  <c r="S186" i="1"/>
  <c r="S175" i="1"/>
  <c r="S172" i="1"/>
  <c r="S306" i="1"/>
  <c r="S244" i="1"/>
  <c r="S267" i="1"/>
  <c r="S187" i="1"/>
  <c r="S159" i="1"/>
  <c r="S122" i="1"/>
  <c r="S302" i="1"/>
  <c r="S264" i="1"/>
  <c r="S199" i="1"/>
  <c r="S254" i="1"/>
  <c r="S235" i="1"/>
  <c r="S69" i="1"/>
  <c r="S249" i="1"/>
  <c r="S169" i="1"/>
  <c r="S71" i="1"/>
  <c r="S157" i="1"/>
  <c r="S94" i="1"/>
  <c r="S280" i="1"/>
  <c r="S180" i="1"/>
  <c r="S35" i="1"/>
  <c r="S216" i="1"/>
  <c r="S260" i="1"/>
  <c r="S223" i="1"/>
  <c r="S18" i="1"/>
  <c r="S240" i="1"/>
  <c r="S241" i="1"/>
  <c r="S197" i="1"/>
  <c r="S6" i="1"/>
  <c r="S296" i="1"/>
  <c r="S272" i="1"/>
  <c r="S214" i="1"/>
  <c r="S273" i="1"/>
  <c r="S20" i="1"/>
  <c r="S252" i="1"/>
  <c r="S15" i="1"/>
  <c r="S171" i="1"/>
  <c r="S81" i="1"/>
  <c r="S50" i="1"/>
  <c r="S210" i="1"/>
  <c r="S124" i="1"/>
  <c r="S168" i="1"/>
  <c r="S134" i="1"/>
  <c r="S263" i="1"/>
  <c r="S8" i="1"/>
  <c r="S291" i="1"/>
  <c r="S99" i="1"/>
  <c r="S105" i="1"/>
  <c r="S294" i="1"/>
  <c r="S2" i="1"/>
  <c r="S276" i="1"/>
  <c r="S227" i="1"/>
  <c r="S284" i="1"/>
  <c r="S117" i="1"/>
  <c r="S150" i="1"/>
  <c r="S239" i="1"/>
  <c r="S14" i="1"/>
  <c r="S10" i="1"/>
  <c r="S112" i="1"/>
  <c r="S181" i="1"/>
  <c r="S154" i="1"/>
  <c r="S246" i="1"/>
  <c r="S23" i="1"/>
  <c r="S288" i="1"/>
  <c r="S285" i="1"/>
  <c r="S219" i="1"/>
  <c r="S115" i="1"/>
  <c r="S11" i="1"/>
  <c r="S17" i="1"/>
  <c r="S65" i="1"/>
  <c r="S80" i="1"/>
  <c r="S203" i="1"/>
  <c r="S97" i="1"/>
  <c r="S12" i="1"/>
  <c r="S73" i="1"/>
  <c r="S233" i="1"/>
  <c r="S133" i="1"/>
  <c r="S93" i="1"/>
  <c r="S137" i="1"/>
  <c r="S138" i="1"/>
  <c r="S95" i="1"/>
  <c r="S104" i="1"/>
  <c r="S196" i="1"/>
  <c r="S62" i="1"/>
  <c r="S132" i="1"/>
  <c r="S204" i="1"/>
  <c r="S149" i="1"/>
  <c r="S189" i="1"/>
  <c r="S230" i="1"/>
  <c r="S209" i="1"/>
  <c r="S109" i="1"/>
  <c r="S42" i="1"/>
  <c r="S234" i="1"/>
  <c r="S170" i="1"/>
  <c r="S179" i="1"/>
  <c r="S19" i="1"/>
  <c r="S166" i="1"/>
  <c r="S208" i="1"/>
  <c r="S155" i="1"/>
  <c r="S253" i="1"/>
  <c r="S107" i="1"/>
  <c r="S158" i="1"/>
  <c r="S114" i="1"/>
  <c r="S283" i="1"/>
  <c r="S91" i="1"/>
  <c r="S146" i="1"/>
  <c r="S68" i="1"/>
  <c r="S44" i="1"/>
  <c r="S5" i="1"/>
  <c r="S74" i="1"/>
  <c r="S87" i="1"/>
  <c r="S161" i="1"/>
  <c r="S52" i="1"/>
  <c r="S100" i="1"/>
  <c r="S90" i="1"/>
  <c r="S77" i="1"/>
  <c r="S258" i="1"/>
  <c r="S174" i="1"/>
  <c r="S221" i="1"/>
  <c r="S9" i="1"/>
  <c r="S26" i="1"/>
  <c r="S40" i="1"/>
  <c r="S108" i="1"/>
  <c r="S229" i="1"/>
  <c r="S123" i="1"/>
  <c r="S86" i="1"/>
  <c r="S79" i="1"/>
  <c r="S92" i="1"/>
  <c r="S141" i="1"/>
  <c r="S89" i="1"/>
  <c r="S287" i="1"/>
  <c r="S16" i="1"/>
  <c r="S251" i="1"/>
  <c r="S232" i="1"/>
  <c r="S190" i="1"/>
  <c r="S142" i="1"/>
  <c r="S110" i="1"/>
  <c r="S121" i="1"/>
  <c r="S24" i="1"/>
  <c r="S106" i="1"/>
  <c r="S131" i="1"/>
  <c r="S259" i="1"/>
  <c r="S144" i="1"/>
  <c r="S231" i="1"/>
  <c r="S51" i="1"/>
  <c r="S191" i="1"/>
  <c r="S152" i="1"/>
  <c r="S13" i="1"/>
  <c r="S247" i="1"/>
  <c r="S184" i="1"/>
  <c r="S266" i="1"/>
  <c r="S64" i="1"/>
  <c r="S202" i="1"/>
  <c r="S88" i="1"/>
  <c r="S125" i="1"/>
  <c r="S39" i="1"/>
  <c r="S269" i="1"/>
  <c r="S299" i="1"/>
  <c r="S36" i="1"/>
  <c r="S268" i="1"/>
  <c r="S85" i="1"/>
  <c r="S7" i="1"/>
  <c r="S290" i="1"/>
  <c r="S167" i="1"/>
  <c r="S53" i="1"/>
  <c r="S195" i="1"/>
  <c r="S261" i="1"/>
  <c r="S255" i="1"/>
  <c r="S153" i="1"/>
  <c r="S275" i="1"/>
  <c r="U331" i="1" l="1"/>
  <c r="U330" i="1"/>
  <c r="U308" i="1"/>
  <c r="T309" i="1"/>
  <c r="U315" i="1"/>
  <c r="T316" i="1"/>
  <c r="U307" i="1"/>
  <c r="M306" i="1"/>
  <c r="M304" i="1"/>
  <c r="U313" i="1"/>
  <c r="U314" i="1"/>
  <c r="U312" i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4" i="1"/>
  <c r="U218" i="1"/>
  <c r="U217" i="1"/>
  <c r="U214" i="1"/>
  <c r="U213" i="1"/>
  <c r="U212" i="1"/>
  <c r="U210" i="1"/>
  <c r="U211" i="1"/>
  <c r="U253" i="1" l="1"/>
  <c r="U309" i="1"/>
  <c r="T310" i="1"/>
  <c r="U310" i="1" s="1"/>
  <c r="U316" i="1"/>
  <c r="T317" i="1"/>
  <c r="U262" i="1"/>
  <c r="U285" i="1"/>
  <c r="U247" i="1"/>
  <c r="U260" i="1"/>
  <c r="U248" i="1"/>
  <c r="U261" i="1"/>
  <c r="U286" i="1"/>
  <c r="U279" i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317" i="1" l="1"/>
  <c r="T318" i="1"/>
  <c r="U292" i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T319" i="1" l="1"/>
  <c r="U318" i="1"/>
  <c r="U295" i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U319" i="1" l="1"/>
  <c r="T320" i="1"/>
  <c r="T298" i="1"/>
  <c r="U297" i="1"/>
  <c r="T227" i="1"/>
  <c r="U226" i="1"/>
  <c r="M202" i="1"/>
  <c r="U203" i="1"/>
  <c r="U201" i="1"/>
  <c r="U200" i="1"/>
  <c r="U202" i="1"/>
  <c r="T321" i="1" l="1"/>
  <c r="U320" i="1"/>
  <c r="T299" i="1"/>
  <c r="U298" i="1"/>
  <c r="T228" i="1"/>
  <c r="U227" i="1"/>
  <c r="I199" i="1"/>
  <c r="T322" i="1" l="1"/>
  <c r="U321" i="1"/>
  <c r="T300" i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323" i="1" l="1"/>
  <c r="U322" i="1"/>
  <c r="T230" i="1"/>
  <c r="U229" i="1"/>
  <c r="U196" i="1"/>
  <c r="U197" i="1"/>
  <c r="U198" i="1"/>
  <c r="U194" i="1"/>
  <c r="U195" i="1"/>
  <c r="U323" i="1" l="1"/>
  <c r="T324" i="1"/>
  <c r="T231" i="1"/>
  <c r="U230" i="1"/>
  <c r="U193" i="1"/>
  <c r="U191" i="1"/>
  <c r="U192" i="1"/>
  <c r="G190" i="1"/>
  <c r="G189" i="1"/>
  <c r="T325" i="1" l="1"/>
  <c r="U324" i="1"/>
  <c r="T232" i="1"/>
  <c r="U231" i="1"/>
  <c r="U190" i="1"/>
  <c r="U189" i="1"/>
  <c r="U188" i="1"/>
  <c r="C31" i="2"/>
  <c r="C30" i="2"/>
  <c r="C29" i="2"/>
  <c r="C28" i="2"/>
  <c r="T326" i="1" l="1"/>
  <c r="U325" i="1"/>
  <c r="U232" i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U326" i="1" l="1"/>
  <c r="T327" i="1"/>
  <c r="T234" i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T328" i="1" l="1"/>
  <c r="U327" i="1"/>
  <c r="U234" i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328" i="1" l="1"/>
  <c r="T329" i="1"/>
  <c r="U329" i="1" s="1"/>
  <c r="U235" i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<sst xmlns="http://schemas.openxmlformats.org/spreadsheetml/2006/main" count="489" uniqueCount="375">
  <si>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</si>
  <si>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</si>
  <si>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</si>
  <si>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</si>
  <si>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</si>
  <si>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</si>
  <si>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</si>
  <si>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</si>
  <si>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</si>
  <si>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</si>
  <si>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</si>
  <si>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</si>
  <si>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</si>
  <si>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</si>
  <si>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</si>
  <si>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</si>
  <si>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</si>
  <si>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</si>
  <si>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</si>
  <si>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</si>
  <si>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</si>
  <si>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</si>
  <si>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</si>
  <si>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</si>
  <si>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</si>
  <si>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</si>
  <si>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</si>
  <si>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</si>
  <si>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</si>
  <si>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</si>
  <si>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</si>
  <si>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</si>
  <si>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</si>
  <si>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</si>
  <si>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</si>
  <si>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</si>
  <si>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</si>
  <si>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</si>
  <si>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</si>
  <si>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</si>
  <si>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</si>
  <si>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</si>
  <si>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</si>
  <si>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</si>
  <si>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</si>
  <si>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</si>
  <si>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</si>
  <si>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</si>
  <si>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</si>
  <si>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</si>
  <si>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</si>
  <si>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</si>
  <si>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</si>
  <si>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</si>
  <si>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</si>
  <si>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</si>
  <si>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</si>
  <si>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</si>
  <si>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</si>
  <si>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</si>
  <si>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</si>
  <si>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</si>
  <si>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</si>
  <si>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</si>
  <si>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</si>
  <si>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</si>
  <si>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</si>
  <si>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</si>
  <si>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</si>
  <si>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</si>
  <si>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</si>
  <si>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</si>
  <si>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</si>
  <si>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</si>
  <si>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</si>
  <si>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</si>
  <si>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</si>
  <si>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</si>
  <si>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</si>
  <si>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</si>
  <si>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</si>
  <si>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</si>
  <si>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</si>
  <si>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</si>
  <si>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</si>
  <si>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</si>
  <si>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</si>
  <si>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</si>
  <si>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</si>
  <si>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</si>
  <si>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</si>
  <si>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</si>
  <si>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</si>
  <si>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</si>
  <si>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</si>
  <si>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</si>
  <si>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</si>
  <si>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</si>
  <si>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</si>
  <si>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</si>
  <si>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</si>
  <si>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</si>
  <si>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</si>
  <si>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</si>
  <si>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</si>
  <si>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</si>
  <si>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</si>
  <si>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</si>
  <si>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</si>
  <si>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</si>
  <si>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</si>
  <si>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</si>
  <si>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</si>
  <si>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</si>
  <si>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</si>
  <si>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</si>
  <si>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</si>
  <si>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</si>
  <si>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</si>
  <si>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</si>
  <si>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</si>
  <si>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</si>
  <si>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</si>
  <si>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</si>
  <si>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</si>
  <si>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</si>
  <si>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</si>
  <si>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</si>
  <si>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</si>
  <si>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</si>
  <si>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</si>
  <si>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</si>
  <si>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</si>
  <si>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</si>
  <si>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</si>
  <si>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</si>
  <si>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</si>
  <si>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</si>
  <si>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</si>
  <si>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</si>
  <si>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</si>
  <si>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</si>
  <si>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</si>
  <si>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</si>
  <si>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</si>
  <si>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</si>
  <si>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</si>
  <si>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</si>
  <si>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</si>
  <si>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</si>
  <si>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</si>
  <si>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</si>
  <si>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</si>
  <si>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</si>
  <si>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</si>
  <si>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</si>
  <si>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</si>
  <si>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</si>
  <si>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</si>
  <si>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</si>
  <si>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</si>
  <si>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</si>
  <si>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</si>
  <si>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</si>
  <si>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</si>
  <si>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</si>
  <si>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</si>
  <si>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</si>
  <si>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</si>
  <si>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</si>
  <si>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</si>
  <si>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</si>
  <si>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</si>
  <si>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</si>
  <si>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</si>
  <si>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</si>
  <si>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</si>
  <si>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</si>
  <si>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</si>
  <si>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</si>
  <si>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</si>
  <si>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</si>
  <si>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</si>
  <si>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</si>
  <si>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</si>
  <si>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</si>
  <si>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</si>
  <si>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</si>
  <si>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</si>
  <si>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</si>
  <si>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</si>
  <si>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</si>
  <si>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</si>
  <si>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</si>
  <si>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</si>
  <si>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</si>
  <si>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</si>
  <si>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</si>
  <si>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</si>
  <si>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</si>
  <si>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</si>
  <si>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</si>
  <si>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</si>
  <si>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</si>
  <si>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</si>
  <si>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</si>
  <si>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</si>
  <si>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</si>
  <si>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</si>
  <si>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</si>
  <si>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</si>
  <si>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</si>
  <si>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</si>
  <si>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</si>
  <si>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</si>
  <si>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</si>
  <si>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</si>
  <si>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</si>
  <si>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</si>
  <si>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</si>
  <si>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</si>
  <si>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</si>
  <si>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</si>
  <si>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</si>
  <si>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</si>
  <si>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</si>
  <si>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</si>
  <si>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</si>
  <si>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</si>
  <si>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</si>
  <si>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</si>
  <si>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</si>
  <si>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</si>
  <si>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</si>
  <si>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</si>
  <si>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</si>
  <si>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</si>
  <si>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</si>
  <si>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</si>
  <si>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</si>
  <si>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</si>
  <si>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</si>
  <si>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</si>
  <si>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</si>
  <si>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</si>
  <si>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</si>
  <si>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</si>
  <si>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</si>
  <si>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</si>
  <si>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</si>
  <si>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</si>
  <si>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</si>
  <si>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</si>
  <si>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</si>
  <si>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</si>
  <si>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</si>
  <si>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</si>
  <si>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</si>
  <si>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</si>
  <si>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</si>
  <si>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</si>
  <si>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</si>
  <si>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</si>
  <si>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</si>
  <si>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</si>
  <si>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</si>
  <si>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</si>
  <si>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</si>
  <si>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</si>
  <si>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</si>
  <si>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</si>
  <si>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</si>
  <si>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</si>
  <si>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</si>
  <si>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</si>
  <si>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</si>
  <si>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</si>
  <si>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</si>
  <si>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</si>
  <si>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</si>
  <si>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</si>
  <si>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</si>
  <si>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</si>
  <si>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</si>
  <si>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</si>
  <si>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</si>
  <si>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</si>
  <si>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</si>
  <si>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</si>
  <si>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</si>
  <si>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</si>
  <si>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</si>
  <si>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</si>
  <si>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</si>
  <si>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</si>
  <si>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</si>
  <si>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</si>
  <si>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</si>
  <si>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</si>
  <si>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</si>
  <si>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</si>
  <si>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</si>
  <si>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</si>
  <si>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</si>
  <si>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</si>
  <si>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</si>
  <si>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</si>
  <si>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</si>
  <si>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</si>
  <si>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</si>
  <si>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</si>
  <si>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</si>
  <si>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</si>
  <si>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</si>
  <si>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</si>
  <si>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</si>
  <si>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</si>
  <si>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</si>
  <si>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</si>
  <si>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</si>
  <si>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</si>
  <si>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</si>
  <si>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</si>
  <si>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</si>
  <si>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</si>
  <si>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</si>
  <si>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</si>
  <si>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</si>
  <si>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</si>
  <si>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</si>
  <si>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</si>
  <si>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</si>
  <si>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</si>
  <si>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</si>
  <si>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</si>
  <si>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</si>
  <si>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</si>
  <si>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</si>
  <si>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</si>
  <si>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</si>
  <si>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</si>
  <si>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</si>
  <si>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</si>
  <si>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</si>
  <si>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</si>
  <si>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</si>
  <si>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</si>
  <si>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</si>
  <si>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</si>
  <si>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</si>
  <si>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</si>
  <si>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</si>
  <si>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</si>
  <si>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</si>
  <si>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</si>
  <si>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</si>
  <si>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</si>
  <si>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</si>
  <si>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</si>
  <si>
    <t>BU1806</t>
    <phoneticPr fontId="1" type="noConversion"/>
  </si>
  <si>
    <t>MA805</t>
    <phoneticPr fontId="1" type="noConversion"/>
  </si>
  <si>
    <t>NI1807</t>
    <phoneticPr fontId="1" type="noConversion"/>
  </si>
  <si>
    <t>RM805</t>
    <phoneticPr fontId="1" type="noConversion"/>
  </si>
  <si>
    <t>MA805</t>
    <phoneticPr fontId="1" type="noConversion"/>
  </si>
  <si>
    <t>NI1807</t>
    <phoneticPr fontId="1" type="noConversion"/>
  </si>
  <si>
    <t>BU1806</t>
    <phoneticPr fontId="1" type="noConversion"/>
  </si>
  <si>
    <t>CS1805</t>
    <phoneticPr fontId="1" type="noConversion"/>
  </si>
  <si>
    <t>ZN1806</t>
    <phoneticPr fontId="1" type="noConversion"/>
  </si>
  <si>
    <t>BU1806</t>
    <phoneticPr fontId="1" type="noConversion"/>
  </si>
  <si>
    <t>J1809</t>
    <phoneticPr fontId="1" type="noConversion"/>
  </si>
  <si>
    <t>NI1807</t>
    <phoneticPr fontId="1" type="noConversion"/>
  </si>
  <si>
    <t>RM805</t>
    <phoneticPr fontId="1" type="noConversion"/>
  </si>
  <si>
    <t>CS1805</t>
    <phoneticPr fontId="1" type="noConversion"/>
  </si>
  <si>
    <t>MA805</t>
    <phoneticPr fontId="1" type="noConversion"/>
  </si>
  <si>
    <t>BU1806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</si>
</sst>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676048"/>
        <c:axId val="498676608"/>
      </c:lineChart>
      <c:dateAx>
        <c:axId val="498676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8676608"/>
        <c:crosses val="autoZero"/>
        <c:auto val="1"/>
        <c:lblOffset val="100"/>
        <c:baseTimeUnit val="days"/>
      </c:dateAx>
      <c:valAx>
        <c:axId val="49867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867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权益!$A$19:$A$77</c:f>
              <c:numCache>
                <c:formatCode>m/d/yyyy</c:formatCode>
                <c:ptCount val="59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  <c:pt idx="57">
                  <c:v>43202</c:v>
                </c:pt>
                <c:pt idx="58">
                  <c:v>43203</c:v>
                </c:pt>
              </c:numCache>
            </c:numRef>
          </c:cat>
          <c:val>
            <c:numRef>
              <c:f>权益!$C$19:$C$77</c:f>
              <c:numCache>
                <c:formatCode>0.0000</c:formatCode>
                <c:ptCount val="59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  <c:pt idx="57">
                  <c:v>0.95250990000000002</c:v>
                </c:pt>
                <c:pt idx="58">
                  <c:v>0.95236540000000003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678848"/>
        <c:axId val="498679408"/>
      </c:lineChart>
      <c:dateAx>
        <c:axId val="4986788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8679408"/>
        <c:crosses val="autoZero"/>
        <c:auto val="1"/>
        <c:lblOffset val="100"/>
        <c:baseTimeUnit val="days"/>
      </c:dateAx>
      <c:valAx>
        <c:axId val="49867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867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2"/>
  <sheetViews>
    <sheetView workbookViewId="0">
      <pane ySplit="1" topLeftCell="A23" activePane="bottomLeft" state="frozen"/>
      <selection pane="bottomLeft" activeCell="C77" sqref="C77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COUNTA(C2:C9977)</f>
        <v>64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0.25974025974025972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0.81538954960624221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77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5">
        <f t="shared" si="1"/>
        <v>0.95824980000000004</v>
      </c>
    </row>
    <row r="61" spans="1:3">
      <c r="A61" s="2">
        <v>43185</v>
      </c>
      <c r="B61" s="41">
        <v>9582498</v>
      </c>
      <c r="C61" s="85">
        <f t="shared" si="1"/>
        <v>0.95824980000000004</v>
      </c>
    </row>
    <row r="62" spans="1:3">
      <c r="A62" s="2">
        <v>43186</v>
      </c>
      <c r="B62" s="41">
        <v>9582498</v>
      </c>
      <c r="C62" s="85">
        <f t="shared" si="1"/>
        <v>0.95824980000000004</v>
      </c>
    </row>
    <row r="63" spans="1:3">
      <c r="A63" s="2">
        <v>43187</v>
      </c>
      <c r="B63" s="41">
        <v>9582498</v>
      </c>
      <c r="C63" s="85">
        <f t="shared" si="1"/>
        <v>0.95824980000000004</v>
      </c>
    </row>
    <row r="64" spans="1:3">
      <c r="A64" s="2">
        <v>43188</v>
      </c>
      <c r="B64" s="41">
        <v>9582498</v>
      </c>
      <c r="C64" s="85">
        <f t="shared" si="1"/>
        <v>0.95824980000000004</v>
      </c>
    </row>
    <row r="65" spans="1:4">
      <c r="A65" s="19">
        <v>43189</v>
      </c>
      <c r="B65" s="41">
        <v>9582498</v>
      </c>
      <c r="C65" s="85">
        <f t="shared" si="1"/>
        <v>0.95824980000000004</v>
      </c>
    </row>
    <row r="66" spans="1:4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>
      <c r="A74" s="2">
        <v>43200</v>
      </c>
      <c r="B74" s="25">
        <v>9579844</v>
      </c>
      <c r="C74" s="85">
        <f t="shared" si="1"/>
        <v>0.95798439999999996</v>
      </c>
    </row>
    <row r="75" spans="1:4">
      <c r="A75" s="2">
        <v>43201</v>
      </c>
      <c r="B75" s="25">
        <v>9555703</v>
      </c>
      <c r="C75" s="85">
        <f t="shared" si="1"/>
        <v>0.95557029999999998</v>
      </c>
    </row>
    <row r="76" spans="1:4">
      <c r="A76" s="2">
        <v>43202</v>
      </c>
      <c r="B76" s="25">
        <v>9525099</v>
      </c>
      <c r="C76" s="85">
        <f t="shared" si="1"/>
        <v>0.95250990000000002</v>
      </c>
    </row>
    <row r="77" spans="1:4">
      <c r="A77" s="2">
        <v>43203</v>
      </c>
      <c r="B77" s="25">
        <v>9523654</v>
      </c>
      <c r="C77" s="85">
        <f t="shared" si="1"/>
        <v>0.95236540000000003</v>
      </c>
    </row>
    <row r="78" spans="1:4">
      <c r="A78" s="2">
        <v>43204</v>
      </c>
      <c r="C78" s="85"/>
    </row>
    <row r="79" spans="1:4">
      <c r="A79" s="2">
        <v>43205</v>
      </c>
      <c r="C79" s="85"/>
    </row>
    <row r="80" spans="1:4">
      <c r="A80" s="2">
        <v>43206</v>
      </c>
      <c r="C80" s="85"/>
    </row>
    <row r="81" spans="1:3">
      <c r="A81" s="2">
        <v>43207</v>
      </c>
      <c r="C81" s="85"/>
    </row>
    <row r="82" spans="1:3">
      <c r="A82" s="2">
        <v>43208</v>
      </c>
      <c r="C82" s="8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4"/>
  <sheetViews>
    <sheetView tabSelected="1" workbookViewId="0">
      <pane ySplit="1" topLeftCell="A293" activePane="bottomLeft" state="frozen"/>
      <selection pane="bottomLeft" activeCell="O316" sqref="O316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9.8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COUNT(M2:M9991)</f>
        <v>308</v>
      </c>
      <c r="V1" s="64">
        <f>COUNTIF(M2:M9991,"&gt;0")</f>
        <v>80</v>
      </c>
      <c r="W1" s="64">
        <f>COUNTIF(M2:M9991,"&lt;0")</f>
        <v>222</v>
      </c>
      <c r="X1" s="64">
        <f>SUMIF(M2:M9991,"&gt;0")</f>
        <v>1098976.05</v>
      </c>
      <c r="Y1" s="64">
        <f>ABS(SUMIF(M2:M9991,"&lt;0"))</f>
        <v>1347792.6600000011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42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3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51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3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J304" s="1">
        <v>4080.6</v>
      </c>
      <c r="K304" s="2">
        <v>43174</v>
      </c>
      <c r="M304" s="16">
        <f t="shared" si="119"/>
        <v>-3960.0000000000819</v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C306" s="1">
        <v>36</v>
      </c>
      <c r="D306" s="1">
        <v>2786</v>
      </c>
      <c r="E306" s="2">
        <v>43178</v>
      </c>
      <c r="G306" s="17">
        <v>1.6E-2</v>
      </c>
      <c r="H306" s="52">
        <v>1</v>
      </c>
      <c r="I306" s="17">
        <f t="shared" si="118"/>
        <v>1.6E-2</v>
      </c>
      <c r="J306" s="1">
        <v>2780</v>
      </c>
      <c r="K306" s="2">
        <v>43179</v>
      </c>
      <c r="M306" s="16">
        <f t="shared" si="119"/>
        <v>-2160</v>
      </c>
      <c r="S306">
        <f>IF(B306="","",VLOOKUP(Cmt(B306),Sheet2!A:B,2,FALSE))</f>
        <v>10</v>
      </c>
      <c r="T306" s="39">
        <v>9620000</v>
      </c>
      <c r="U306" s="13">
        <f t="shared" si="122"/>
        <v>36.831777937305574</v>
      </c>
      <c r="W306" s="11"/>
    </row>
    <row r="307" spans="1:23">
      <c r="A307" s="2">
        <v>43180</v>
      </c>
      <c r="B307" s="1" t="s">
        <v>359</v>
      </c>
      <c r="C307" s="1">
        <v>40</v>
      </c>
      <c r="D307" s="1">
        <v>2778</v>
      </c>
      <c r="E307" s="2">
        <v>43180</v>
      </c>
      <c r="I307" s="17" t="str">
        <f t="shared" si="118"/>
        <v/>
      </c>
      <c r="J307" s="1">
        <v>2784</v>
      </c>
      <c r="K307" s="2">
        <v>43181</v>
      </c>
      <c r="M307" s="16">
        <f t="shared" si="119"/>
        <v>2400</v>
      </c>
      <c r="S307">
        <f>IF(B307="","",VLOOKUP(Cmt(B307),Sheet2!A:B,2,FALSE))</f>
        <v>10</v>
      </c>
      <c r="T307" s="39">
        <f t="shared" si="123"/>
        <v>9620000</v>
      </c>
      <c r="U307" s="13" t="e">
        <f t="shared" si="122"/>
        <v>#VALUE!</v>
      </c>
      <c r="W307" s="11"/>
    </row>
    <row r="308" spans="1:23">
      <c r="A308" s="2"/>
      <c r="B308" s="1" t="s">
        <v>360</v>
      </c>
      <c r="C308" s="1">
        <v>35</v>
      </c>
      <c r="D308" s="1">
        <v>2790</v>
      </c>
      <c r="E308" s="2">
        <v>43180</v>
      </c>
      <c r="J308" s="1">
        <v>2770</v>
      </c>
      <c r="K308" s="2">
        <v>43180</v>
      </c>
      <c r="M308" s="16">
        <f>IF(J308="","",C308*(J308-D308)*S308)</f>
        <v>-7000</v>
      </c>
      <c r="S308">
        <f>IF(B308="","",VLOOKUP(Cmt(B308),Sheet2!A:B,2,FALSE))</f>
        <v>10</v>
      </c>
      <c r="T308" s="39">
        <f t="shared" ref="T308:T310" si="125">IF(S308="","",T307)</f>
        <v>9620000</v>
      </c>
      <c r="U308" s="13">
        <f t="shared" ref="U308:U310" si="126">IF(S308="","",T308*I308/(D308*S308*0.15))</f>
        <v>0</v>
      </c>
      <c r="W308" s="11"/>
    </row>
    <row r="309" spans="1:23">
      <c r="A309" s="2">
        <v>43181</v>
      </c>
      <c r="B309" s="1" t="s">
        <v>359</v>
      </c>
      <c r="C309" s="1">
        <v>40</v>
      </c>
      <c r="D309" s="1">
        <v>2802</v>
      </c>
      <c r="E309" s="2">
        <v>43181</v>
      </c>
      <c r="J309" s="1">
        <v>2790</v>
      </c>
      <c r="K309" s="2">
        <v>43182</v>
      </c>
      <c r="M309" s="16">
        <f t="shared" si="119"/>
        <v>-4800</v>
      </c>
      <c r="S309">
        <f>IF(B309="","",VLOOKUP(Cmt(B309),Sheet2!A:B,2,FALSE))</f>
        <v>10</v>
      </c>
      <c r="T309" s="39">
        <f t="shared" si="125"/>
        <v>9620000</v>
      </c>
      <c r="U309" s="13">
        <f t="shared" si="126"/>
        <v>0</v>
      </c>
      <c r="W309" s="11"/>
    </row>
    <row r="310" spans="1:23" ht="14.25" thickBot="1">
      <c r="A310" s="38"/>
      <c r="B310" s="34" t="s">
        <v>360</v>
      </c>
      <c r="C310" s="34">
        <v>35</v>
      </c>
      <c r="D310" s="34">
        <v>2819</v>
      </c>
      <c r="E310" s="38">
        <v>43181</v>
      </c>
      <c r="F310" s="34"/>
      <c r="G310" s="36"/>
      <c r="H310" s="53"/>
      <c r="I310" s="36"/>
      <c r="J310" s="34">
        <v>2769</v>
      </c>
      <c r="K310" s="38">
        <v>43182</v>
      </c>
      <c r="L310" s="34"/>
      <c r="M310" s="40">
        <f t="shared" si="119"/>
        <v>-17500</v>
      </c>
      <c r="N310" s="34"/>
      <c r="O310" s="34"/>
      <c r="P310" s="37"/>
      <c r="Q310" s="37"/>
      <c r="R310" s="37"/>
      <c r="S310">
        <f>IF(B310="","",VLOOKUP(Cmt(B310),Sheet2!A:B,2,FALSE))</f>
        <v>10</v>
      </c>
      <c r="T310" s="39">
        <f t="shared" si="125"/>
        <v>9620000</v>
      </c>
      <c r="U310" s="13">
        <f t="shared" si="126"/>
        <v>0</v>
      </c>
      <c r="W310" s="11"/>
    </row>
    <row r="311" spans="1:23">
      <c r="A311" s="2">
        <v>43200</v>
      </c>
      <c r="B311" s="1" t="s">
        <v>355</v>
      </c>
      <c r="C311" s="1">
        <v>-1</v>
      </c>
      <c r="D311" s="1">
        <v>6006</v>
      </c>
      <c r="E311" s="2">
        <v>43200</v>
      </c>
      <c r="F311" s="26">
        <v>0.59097222222222223</v>
      </c>
      <c r="G311" s="17">
        <v>1.6E-2</v>
      </c>
      <c r="H311" s="52">
        <v>1</v>
      </c>
      <c r="I311" s="17">
        <f t="shared" si="118"/>
        <v>1.6E-2</v>
      </c>
      <c r="J311" s="1">
        <v>6039.8</v>
      </c>
      <c r="K311" s="2">
        <v>43200</v>
      </c>
      <c r="L311" s="26">
        <v>0.62222222222222223</v>
      </c>
      <c r="M311" s="16">
        <f t="shared" si="119"/>
        <v>-6760.0000000000364</v>
      </c>
      <c r="S311">
        <f>IF(B311="","",VLOOKUP(Cmt(B311),Sheet2!A:B,2,FALSE))</f>
        <v>200</v>
      </c>
      <c r="T311" s="39">
        <v>9582498</v>
      </c>
      <c r="U311" s="13">
        <f t="shared" si="122"/>
        <v>0.85092667332667327</v>
      </c>
      <c r="W311" s="11"/>
    </row>
    <row r="312" spans="1:23">
      <c r="A312" s="3"/>
      <c r="B312" s="3" t="s">
        <v>356</v>
      </c>
      <c r="C312" s="3">
        <v>-31</v>
      </c>
      <c r="D312" s="3">
        <v>560.6</v>
      </c>
      <c r="E312" s="19">
        <v>43200</v>
      </c>
      <c r="F312" s="31">
        <v>0.59097222222222223</v>
      </c>
      <c r="G312" s="18">
        <v>2.8000000000000001E-2</v>
      </c>
      <c r="H312" s="51">
        <v>1</v>
      </c>
      <c r="I312" s="18">
        <f t="shared" si="118"/>
        <v>2.8000000000000001E-2</v>
      </c>
      <c r="J312" s="3">
        <v>556.79999999999995</v>
      </c>
      <c r="K312" s="19">
        <v>43202</v>
      </c>
      <c r="L312" s="31">
        <v>0.47847222222222219</v>
      </c>
      <c r="M312" s="14">
        <f t="shared" si="119"/>
        <v>11780.000000000211</v>
      </c>
      <c r="N312" s="3"/>
      <c r="O312" s="3"/>
      <c r="P312" s="4"/>
      <c r="Q312" s="4"/>
      <c r="R312" s="4"/>
      <c r="S312">
        <f>IF(B312="","",VLOOKUP(Cmt(B312),Sheet2!A:B,2,FALSE))</f>
        <v>100</v>
      </c>
      <c r="T312" s="39">
        <f t="shared" si="123"/>
        <v>9582498</v>
      </c>
      <c r="U312" s="13">
        <f t="shared" si="122"/>
        <v>31.907473421334288</v>
      </c>
      <c r="W312" s="11"/>
    </row>
    <row r="313" spans="1:23">
      <c r="A313" s="2">
        <v>43201</v>
      </c>
      <c r="B313" s="1" t="s">
        <v>357</v>
      </c>
      <c r="C313" s="1">
        <v>16</v>
      </c>
      <c r="D313" s="1">
        <v>101720</v>
      </c>
      <c r="E313" s="2">
        <v>43200</v>
      </c>
      <c r="F313" s="26">
        <v>0.88611111111111107</v>
      </c>
      <c r="G313" s="17">
        <v>2.5999999999999999E-2</v>
      </c>
      <c r="H313" s="52">
        <v>1</v>
      </c>
      <c r="I313" s="17">
        <f t="shared" si="118"/>
        <v>2.5999999999999999E-2</v>
      </c>
      <c r="J313" s="1">
        <v>101085</v>
      </c>
      <c r="K313" s="2">
        <v>43201</v>
      </c>
      <c r="L313" s="26">
        <v>0.58611111111111114</v>
      </c>
      <c r="M313" s="16">
        <f t="shared" si="119"/>
        <v>-10160</v>
      </c>
      <c r="S313">
        <f>IF(B313="","",VLOOKUP(Cmt(B313),Sheet2!A:B,2,FALSE))</f>
        <v>1</v>
      </c>
      <c r="T313" s="39">
        <f t="shared" si="123"/>
        <v>9582498</v>
      </c>
      <c r="U313" s="13">
        <f t="shared" si="122"/>
        <v>16.328807707432166</v>
      </c>
      <c r="W313" s="11"/>
    </row>
    <row r="314" spans="1:23">
      <c r="B314" s="1" t="s">
        <v>358</v>
      </c>
      <c r="C314" s="1">
        <v>6</v>
      </c>
      <c r="D314" s="1">
        <v>51200</v>
      </c>
      <c r="E314" s="2">
        <v>43200</v>
      </c>
      <c r="F314" s="26">
        <v>0.88611111111111107</v>
      </c>
      <c r="G314" s="17">
        <v>2.3E-2</v>
      </c>
      <c r="H314" s="52">
        <v>1</v>
      </c>
      <c r="I314" s="17">
        <f t="shared" si="118"/>
        <v>2.3E-2</v>
      </c>
      <c r="J314" s="1">
        <v>50860</v>
      </c>
      <c r="K314" s="2">
        <v>43201</v>
      </c>
      <c r="L314" s="26">
        <v>0.91736111111111107</v>
      </c>
      <c r="M314" s="16">
        <f t="shared" si="119"/>
        <v>-10200</v>
      </c>
      <c r="S314">
        <f>IF(B314="","",VLOOKUP(Cmt(B314),Sheet2!A:B,2,FALSE))</f>
        <v>5</v>
      </c>
      <c r="T314" s="39">
        <f t="shared" si="123"/>
        <v>9582498</v>
      </c>
      <c r="U314" s="13">
        <f t="shared" si="122"/>
        <v>5.7395170312500001</v>
      </c>
      <c r="W314" s="11"/>
    </row>
    <row r="315" spans="1:23">
      <c r="B315" s="1" t="s">
        <v>360</v>
      </c>
      <c r="C315" s="1">
        <v>19</v>
      </c>
      <c r="D315" s="1">
        <v>2749</v>
      </c>
      <c r="E315" s="2">
        <v>43201</v>
      </c>
      <c r="F315" s="26">
        <v>0.38611111111111113</v>
      </c>
      <c r="G315" s="17">
        <v>8.0000000000000002E-3</v>
      </c>
      <c r="H315" s="52">
        <v>1</v>
      </c>
      <c r="I315" s="17">
        <f t="shared" si="118"/>
        <v>8.0000000000000002E-3</v>
      </c>
      <c r="J315" s="1">
        <v>2716</v>
      </c>
      <c r="K315" s="2">
        <v>43201</v>
      </c>
      <c r="L315" s="26">
        <v>0.47500000000000003</v>
      </c>
      <c r="M315" s="16">
        <f t="shared" si="119"/>
        <v>-6270</v>
      </c>
      <c r="S315">
        <f>IF(B315="","",VLOOKUP(Cmt(B315),Sheet2!A:B,2,FALSE))</f>
        <v>10</v>
      </c>
      <c r="T315" s="39">
        <f t="shared" si="123"/>
        <v>9582498</v>
      </c>
      <c r="U315" s="13">
        <f t="shared" si="122"/>
        <v>18.590998908694068</v>
      </c>
      <c r="W315" s="11"/>
    </row>
    <row r="316" spans="1:23">
      <c r="B316" s="1" t="s">
        <v>359</v>
      </c>
      <c r="C316" s="1">
        <v>20</v>
      </c>
      <c r="D316" s="1">
        <v>2844</v>
      </c>
      <c r="E316" s="2">
        <v>43201</v>
      </c>
      <c r="F316" s="26">
        <v>0.38611111111111113</v>
      </c>
      <c r="G316" s="17">
        <v>8.9999999999999993E-3</v>
      </c>
      <c r="H316" s="52">
        <v>1</v>
      </c>
      <c r="I316" s="17">
        <f t="shared" si="118"/>
        <v>8.9999999999999993E-3</v>
      </c>
      <c r="J316" s="1">
        <v>2838</v>
      </c>
      <c r="K316" s="2">
        <v>43201</v>
      </c>
      <c r="L316" s="26">
        <v>0.95208333333333339</v>
      </c>
      <c r="M316" s="16">
        <f t="shared" si="119"/>
        <v>-1200</v>
      </c>
      <c r="S316">
        <f>IF(B316="","",VLOOKUP(Cmt(B316),Sheet2!A:B,2,FALSE))</f>
        <v>10</v>
      </c>
      <c r="T316" s="39">
        <f t="shared" si="123"/>
        <v>9582498</v>
      </c>
      <c r="U316" s="13">
        <f t="shared" si="122"/>
        <v>20.216240506329111</v>
      </c>
      <c r="W316" s="11"/>
    </row>
    <row r="317" spans="1:23">
      <c r="A317" s="3"/>
      <c r="B317" s="3" t="s">
        <v>361</v>
      </c>
      <c r="C317" s="3">
        <v>16</v>
      </c>
      <c r="D317" s="3">
        <v>101640</v>
      </c>
      <c r="E317" s="19">
        <v>43201</v>
      </c>
      <c r="F317" s="31">
        <v>0.62291666666666667</v>
      </c>
      <c r="G317" s="18">
        <v>2.5999999999999999E-2</v>
      </c>
      <c r="H317" s="51">
        <v>1</v>
      </c>
      <c r="I317" s="18">
        <f t="shared" si="118"/>
        <v>2.5999999999999999E-2</v>
      </c>
      <c r="J317" s="3">
        <v>101380</v>
      </c>
      <c r="K317" s="19">
        <v>43201</v>
      </c>
      <c r="L317" s="31">
        <v>0.91736111111111107</v>
      </c>
      <c r="M317" s="14">
        <f t="shared" si="119"/>
        <v>-4160</v>
      </c>
      <c r="N317" s="3"/>
      <c r="O317" s="3"/>
      <c r="P317" s="4"/>
      <c r="Q317" s="4"/>
      <c r="R317" s="4"/>
      <c r="S317">
        <f>IF(B317="","",VLOOKUP(Cmt(B317),Sheet2!A:B,2,FALSE))</f>
        <v>1</v>
      </c>
      <c r="T317" s="39">
        <f t="shared" si="123"/>
        <v>9582498</v>
      </c>
      <c r="U317" s="13">
        <f t="shared" si="122"/>
        <v>16.341659976387248</v>
      </c>
      <c r="W317" s="11"/>
    </row>
    <row r="318" spans="1:23">
      <c r="A318" s="2">
        <v>43202</v>
      </c>
      <c r="B318" s="1" t="s">
        <v>362</v>
      </c>
      <c r="C318" s="1">
        <v>55</v>
      </c>
      <c r="D318" s="1">
        <v>2665</v>
      </c>
      <c r="E318" s="2">
        <v>43201</v>
      </c>
      <c r="F318" s="26">
        <v>0.91875000000000007</v>
      </c>
      <c r="G318" s="17">
        <v>2.3E-2</v>
      </c>
      <c r="H318" s="52">
        <v>1</v>
      </c>
      <c r="I318" s="17">
        <f t="shared" si="118"/>
        <v>2.3E-2</v>
      </c>
      <c r="J318" s="1">
        <v>2655</v>
      </c>
      <c r="K318" s="2">
        <v>43202</v>
      </c>
      <c r="L318" s="26">
        <v>0.47847222222222219</v>
      </c>
      <c r="M318" s="16">
        <f t="shared" si="119"/>
        <v>-5500</v>
      </c>
      <c r="S318">
        <f>IF(B318="","",VLOOKUP(Cmt(B318),Sheet2!A:B,2,FALSE))</f>
        <v>10</v>
      </c>
      <c r="T318" s="39">
        <f t="shared" si="123"/>
        <v>9582498</v>
      </c>
      <c r="U318" s="13">
        <f t="shared" si="122"/>
        <v>55.13382213883677</v>
      </c>
      <c r="W318" s="11"/>
    </row>
    <row r="319" spans="1:23">
      <c r="B319" s="1" t="s">
        <v>363</v>
      </c>
      <c r="C319" s="1">
        <v>18</v>
      </c>
      <c r="D319" s="1">
        <v>2743</v>
      </c>
      <c r="E319" s="2">
        <v>43201</v>
      </c>
      <c r="F319" s="26">
        <v>0.91875000000000007</v>
      </c>
      <c r="G319" s="17">
        <v>8.0000000000000002E-3</v>
      </c>
      <c r="H319" s="52">
        <v>1</v>
      </c>
      <c r="I319" s="17">
        <f t="shared" si="118"/>
        <v>8.0000000000000002E-3</v>
      </c>
      <c r="J319" s="1">
        <v>2744</v>
      </c>
      <c r="K319" s="2">
        <v>43202</v>
      </c>
      <c r="L319" s="26">
        <v>0.88750000000000007</v>
      </c>
      <c r="M319" s="16">
        <f t="shared" si="119"/>
        <v>180</v>
      </c>
      <c r="S319">
        <f>IF(B319="","",VLOOKUP(Cmt(B319),Sheet2!A:B,2,FALSE))</f>
        <v>10</v>
      </c>
      <c r="T319" s="39">
        <f t="shared" si="123"/>
        <v>9582498</v>
      </c>
      <c r="U319" s="13">
        <f t="shared" si="122"/>
        <v>18.63166460080204</v>
      </c>
      <c r="W319" s="11"/>
    </row>
    <row r="320" spans="1:23">
      <c r="B320" s="1" t="s">
        <v>364</v>
      </c>
      <c r="C320" s="1">
        <v>16</v>
      </c>
      <c r="D320" s="1">
        <v>102136.25</v>
      </c>
      <c r="E320" s="2">
        <v>43202</v>
      </c>
      <c r="F320" s="26">
        <v>0.38611111111111113</v>
      </c>
      <c r="G320" s="17">
        <v>2.5999999999999999E-2</v>
      </c>
      <c r="H320" s="52">
        <v>1</v>
      </c>
      <c r="I320" s="17">
        <f t="shared" si="118"/>
        <v>2.5999999999999999E-2</v>
      </c>
      <c r="J320" s="1">
        <v>101300</v>
      </c>
      <c r="K320" s="2">
        <v>43202</v>
      </c>
      <c r="L320" s="26">
        <v>0.56944444444444442</v>
      </c>
      <c r="M320" s="16">
        <f t="shared" si="119"/>
        <v>-13380</v>
      </c>
      <c r="S320">
        <f>IF(B320="","",VLOOKUP(Cmt(B320),Sheet2!A:B,2,FALSE))</f>
        <v>1</v>
      </c>
      <c r="T320" s="39">
        <f t="shared" si="123"/>
        <v>9582498</v>
      </c>
      <c r="U320" s="13">
        <f t="shared" si="122"/>
        <v>16.262260656720802</v>
      </c>
      <c r="W320" s="11"/>
    </row>
    <row r="321" spans="1:23">
      <c r="B321" s="1" t="s">
        <v>365</v>
      </c>
      <c r="C321" s="1">
        <v>20</v>
      </c>
      <c r="D321" s="1">
        <v>2838</v>
      </c>
      <c r="E321" s="2">
        <v>43202</v>
      </c>
      <c r="F321" s="26">
        <v>0.47847222222222219</v>
      </c>
      <c r="G321" s="17">
        <v>8.9999999999999993E-3</v>
      </c>
      <c r="H321" s="52">
        <v>1</v>
      </c>
      <c r="I321" s="17">
        <f t="shared" si="118"/>
        <v>8.9999999999999993E-3</v>
      </c>
      <c r="J321" s="1">
        <v>2840</v>
      </c>
      <c r="K321" s="2">
        <v>43202</v>
      </c>
      <c r="L321" s="26">
        <v>0.59652777777777777</v>
      </c>
      <c r="M321" s="16">
        <f t="shared" si="119"/>
        <v>400</v>
      </c>
      <c r="S321">
        <f>IF(B321="","",VLOOKUP(Cmt(B321),Sheet2!A:B,2,FALSE))</f>
        <v>10</v>
      </c>
      <c r="T321" s="39">
        <f t="shared" si="123"/>
        <v>9582498</v>
      </c>
      <c r="U321" s="13">
        <f t="shared" si="122"/>
        <v>20.258980972515854</v>
      </c>
      <c r="W321" s="11"/>
    </row>
    <row r="322" spans="1:23">
      <c r="B322" s="1" t="s">
        <v>366</v>
      </c>
      <c r="C322" s="1">
        <v>-45</v>
      </c>
      <c r="D322" s="1">
        <v>2125</v>
      </c>
      <c r="E322" s="2">
        <v>43202</v>
      </c>
      <c r="F322" s="26">
        <v>0.47847222222222219</v>
      </c>
      <c r="G322" s="17">
        <v>1.4999999999999999E-2</v>
      </c>
      <c r="H322" s="52">
        <v>1</v>
      </c>
      <c r="I322" s="17">
        <f t="shared" si="118"/>
        <v>1.4999999999999999E-2</v>
      </c>
      <c r="J322" s="1">
        <v>2125</v>
      </c>
      <c r="K322" s="2">
        <v>43202</v>
      </c>
      <c r="L322" s="26">
        <v>0.56944444444444442</v>
      </c>
      <c r="M322" s="16">
        <f t="shared" si="119"/>
        <v>0</v>
      </c>
      <c r="S322">
        <f>IF(B322="","",VLOOKUP(Cmt(B322),Sheet2!A:B,2,FALSE))</f>
        <v>10</v>
      </c>
      <c r="T322" s="39">
        <f t="shared" si="123"/>
        <v>9582498</v>
      </c>
      <c r="U322" s="13">
        <f t="shared" si="122"/>
        <v>45.094108235294115</v>
      </c>
      <c r="W322" s="11"/>
    </row>
    <row r="323" spans="1:23">
      <c r="A323" s="3"/>
      <c r="B323" s="3" t="s">
        <v>367</v>
      </c>
      <c r="C323" s="3">
        <v>-12</v>
      </c>
      <c r="D323" s="3">
        <v>23480</v>
      </c>
      <c r="E323" s="19">
        <v>43202</v>
      </c>
      <c r="F323" s="31">
        <v>0.56597222222222221</v>
      </c>
      <c r="G323" s="18">
        <v>2.3E-2</v>
      </c>
      <c r="H323" s="51">
        <v>1</v>
      </c>
      <c r="I323" s="18">
        <f t="shared" si="118"/>
        <v>2.3E-2</v>
      </c>
      <c r="J323" s="3">
        <v>23535</v>
      </c>
      <c r="K323" s="19">
        <v>43203</v>
      </c>
      <c r="L323" s="31">
        <v>0.56805555555555554</v>
      </c>
      <c r="M323" s="14">
        <f t="shared" si="119"/>
        <v>-3300</v>
      </c>
      <c r="N323" s="3"/>
      <c r="O323" s="3"/>
      <c r="P323" s="4"/>
      <c r="Q323" s="4"/>
      <c r="R323" s="4"/>
      <c r="S323">
        <f>IF(B323="","",VLOOKUP(Cmt(B323),Sheet2!A:B,2,FALSE))</f>
        <v>5</v>
      </c>
      <c r="T323" s="39">
        <f t="shared" si="123"/>
        <v>9582498</v>
      </c>
      <c r="U323" s="13">
        <f t="shared" si="122"/>
        <v>12.515471550255537</v>
      </c>
      <c r="W323" s="11"/>
    </row>
    <row r="324" spans="1:23">
      <c r="A324" s="2">
        <v>43203</v>
      </c>
      <c r="B324" s="1" t="s">
        <v>368</v>
      </c>
      <c r="C324" s="1">
        <v>16</v>
      </c>
      <c r="D324" s="1">
        <v>2840.13</v>
      </c>
      <c r="E324" s="2">
        <v>43202</v>
      </c>
      <c r="F324" s="26">
        <v>0.88958333333333339</v>
      </c>
      <c r="G324" s="17">
        <v>7.0000000000000001E-3</v>
      </c>
      <c r="H324" s="52">
        <v>1</v>
      </c>
      <c r="I324" s="17">
        <f t="shared" si="118"/>
        <v>7.0000000000000001E-3</v>
      </c>
      <c r="J324" s="1">
        <v>2828</v>
      </c>
      <c r="K324" s="2">
        <v>43203</v>
      </c>
      <c r="L324" s="26">
        <v>0.3833333333333333</v>
      </c>
      <c r="M324" s="16">
        <f t="shared" si="119"/>
        <v>-1940.8000000000175</v>
      </c>
      <c r="S324">
        <f>IF(B324="","",VLOOKUP(Cmt(B324),Sheet2!A:B,2,FALSE))</f>
        <v>10</v>
      </c>
      <c r="T324" s="39">
        <f t="shared" si="123"/>
        <v>9582498</v>
      </c>
      <c r="U324" s="13">
        <f t="shared" si="122"/>
        <v>15.745168002873106</v>
      </c>
      <c r="W324" s="11"/>
    </row>
    <row r="325" spans="1:23">
      <c r="B325" s="1" t="s">
        <v>369</v>
      </c>
      <c r="C325" s="1">
        <v>-12</v>
      </c>
      <c r="D325" s="1">
        <f>(1724.5*2+1725.5*9+1724*1)/12</f>
        <v>1725.2083333333333</v>
      </c>
      <c r="E325" s="2">
        <v>43202</v>
      </c>
      <c r="F325" s="26">
        <v>0.89027777777777783</v>
      </c>
      <c r="G325" s="17">
        <v>3.2000000000000001E-2</v>
      </c>
      <c r="H325" s="52">
        <v>1</v>
      </c>
      <c r="I325" s="17">
        <f t="shared" si="118"/>
        <v>3.2000000000000001E-2</v>
      </c>
      <c r="J325" s="1">
        <v>1726</v>
      </c>
      <c r="K325" s="2">
        <v>43202</v>
      </c>
      <c r="L325" s="26">
        <v>0.9291666666666667</v>
      </c>
      <c r="M325" s="16">
        <f t="shared" si="119"/>
        <v>-950.00000000009095</v>
      </c>
      <c r="S325">
        <f>IF(B325="","",VLOOKUP(Cmt(B325),Sheet2!A:B,2,FALSE))</f>
        <v>100</v>
      </c>
      <c r="T325" s="39">
        <f t="shared" si="123"/>
        <v>9582498</v>
      </c>
      <c r="U325" s="13">
        <f t="shared" si="122"/>
        <v>11.849387697138027</v>
      </c>
      <c r="W325" s="11"/>
    </row>
    <row r="326" spans="1:23">
      <c r="B326" s="1" t="s">
        <v>370</v>
      </c>
      <c r="C326" s="1">
        <v>15</v>
      </c>
      <c r="D326" s="1">
        <f>(101820*1+101810*6+101850*8)/15</f>
        <v>101832</v>
      </c>
      <c r="E326" s="2">
        <v>43202</v>
      </c>
      <c r="F326" s="26">
        <v>0.9291666666666667</v>
      </c>
      <c r="G326" s="17">
        <v>2.4E-2</v>
      </c>
      <c r="H326" s="52">
        <v>1</v>
      </c>
      <c r="I326" s="17">
        <f t="shared" si="118"/>
        <v>2.4E-2</v>
      </c>
      <c r="M326" s="16" t="str">
        <f t="shared" si="119"/>
        <v/>
      </c>
      <c r="S326">
        <f>IF(B326="","",VLOOKUP(Cmt(B326),Sheet2!A:B,2,FALSE))</f>
        <v>1</v>
      </c>
      <c r="T326" s="39">
        <f t="shared" si="123"/>
        <v>9582498</v>
      </c>
      <c r="U326" s="13">
        <f t="shared" si="122"/>
        <v>15.056167805797786</v>
      </c>
      <c r="W326" s="11"/>
    </row>
    <row r="327" spans="1:23">
      <c r="B327" s="1" t="s">
        <v>371</v>
      </c>
      <c r="C327" s="1">
        <v>26</v>
      </c>
      <c r="D327" s="1">
        <v>2681</v>
      </c>
      <c r="E327" s="2">
        <v>43203</v>
      </c>
      <c r="F327" s="26">
        <v>0.39583333333333331</v>
      </c>
      <c r="G327" s="17">
        <v>1.0999999999999999E-2</v>
      </c>
      <c r="H327" s="52">
        <v>1</v>
      </c>
      <c r="I327" s="17">
        <f t="shared" si="118"/>
        <v>1.0999999999999999E-2</v>
      </c>
      <c r="M327" s="16" t="str">
        <f t="shared" si="119"/>
        <v/>
      </c>
      <c r="S327">
        <f>IF(B327="","",VLOOKUP(Cmt(B327),Sheet2!A:B,2,FALSE))</f>
        <v>10</v>
      </c>
      <c r="T327" s="39">
        <f t="shared" si="123"/>
        <v>9582498</v>
      </c>
      <c r="U327" s="13">
        <f t="shared" si="122"/>
        <v>26.210985453189107</v>
      </c>
      <c r="W327" s="11"/>
    </row>
    <row r="328" spans="1:23">
      <c r="B328" s="1" t="s">
        <v>372</v>
      </c>
      <c r="C328" s="1">
        <v>-45</v>
      </c>
      <c r="D328" s="1">
        <v>2118</v>
      </c>
      <c r="E328" s="2">
        <v>43203</v>
      </c>
      <c r="F328" s="26">
        <v>0.39583333333333331</v>
      </c>
      <c r="G328" s="17">
        <v>1.4999999999999999E-2</v>
      </c>
      <c r="H328" s="52">
        <v>1</v>
      </c>
      <c r="I328" s="17">
        <f t="shared" si="118"/>
        <v>1.4999999999999999E-2</v>
      </c>
      <c r="J328" s="1">
        <v>2134</v>
      </c>
      <c r="K328" s="2">
        <v>43203</v>
      </c>
      <c r="L328" s="26">
        <v>0.56666666666666665</v>
      </c>
      <c r="M328" s="16">
        <f t="shared" si="119"/>
        <v>-7200</v>
      </c>
      <c r="S328">
        <f>IF(B328="","",VLOOKUP(Cmt(B328),Sheet2!A:B,2,FALSE))</f>
        <v>10</v>
      </c>
      <c r="T328" s="39">
        <f t="shared" si="123"/>
        <v>9582498</v>
      </c>
      <c r="U328" s="13">
        <f t="shared" si="122"/>
        <v>45.24314447592068</v>
      </c>
      <c r="W328" s="11"/>
    </row>
    <row r="329" spans="1:23">
      <c r="B329" s="1" t="s">
        <v>369</v>
      </c>
      <c r="C329" s="1">
        <v>-11</v>
      </c>
      <c r="D329" s="1">
        <v>1739</v>
      </c>
      <c r="E329" s="2">
        <v>43203</v>
      </c>
      <c r="F329" s="26">
        <v>0.39583333333333331</v>
      </c>
      <c r="G329" s="17">
        <v>3.2000000000000001E-2</v>
      </c>
      <c r="H329" s="52">
        <v>1</v>
      </c>
      <c r="I329" s="17">
        <f t="shared" si="118"/>
        <v>3.2000000000000001E-2</v>
      </c>
      <c r="J329" s="1">
        <v>1753.5</v>
      </c>
      <c r="K329" s="2">
        <v>43203</v>
      </c>
      <c r="L329" s="26">
        <v>0.56805555555555554</v>
      </c>
      <c r="M329" s="16">
        <f t="shared" si="119"/>
        <v>-15950</v>
      </c>
      <c r="S329">
        <f>IF(B329="","",VLOOKUP(Cmt(B329),Sheet2!A:B,2,FALSE))</f>
        <v>100</v>
      </c>
      <c r="T329" s="39">
        <f t="shared" si="123"/>
        <v>9582498</v>
      </c>
      <c r="U329" s="13">
        <f t="shared" si="122"/>
        <v>11.755412535940195</v>
      </c>
      <c r="W329" s="11"/>
    </row>
    <row r="330" spans="1:23">
      <c r="B330" s="1" t="s">
        <v>373</v>
      </c>
      <c r="C330" s="1">
        <v>18</v>
      </c>
      <c r="D330" s="1">
        <v>2778</v>
      </c>
      <c r="E330" s="2">
        <v>43202</v>
      </c>
      <c r="F330" s="26">
        <v>0.56805555555555554</v>
      </c>
      <c r="G330" s="17">
        <v>8.0000000000000002E-3</v>
      </c>
      <c r="H330" s="52">
        <v>1</v>
      </c>
      <c r="I330" s="17">
        <f t="shared" si="118"/>
        <v>8.0000000000000002E-3</v>
      </c>
      <c r="M330" s="16" t="str">
        <f t="shared" si="119"/>
        <v/>
      </c>
      <c r="S330">
        <f>IF(B330="","",VLOOKUP(Cmt(B330),Sheet2!A:B,2,FALSE))</f>
        <v>10</v>
      </c>
      <c r="T330" s="39">
        <f t="shared" si="123"/>
        <v>9582498</v>
      </c>
      <c r="U330" s="13">
        <f t="shared" si="122"/>
        <v>18.396924406047514</v>
      </c>
      <c r="W330" s="11"/>
    </row>
    <row r="331" spans="1:23">
      <c r="A331" s="3"/>
      <c r="B331" s="3" t="s">
        <v>374</v>
      </c>
      <c r="C331" s="3">
        <v>31</v>
      </c>
      <c r="D331" s="3">
        <v>2840.97</v>
      </c>
      <c r="E331" s="19">
        <v>43203</v>
      </c>
      <c r="F331" s="31">
        <v>0.59097222222222223</v>
      </c>
      <c r="G331" s="18">
        <v>1.4999999999999999E-2</v>
      </c>
      <c r="H331" s="51">
        <v>1</v>
      </c>
      <c r="I331" s="18">
        <f t="shared" si="118"/>
        <v>1.4999999999999999E-2</v>
      </c>
      <c r="J331" s="3"/>
      <c r="K331" s="3"/>
      <c r="L331" s="3"/>
      <c r="M331" s="14" t="str">
        <f t="shared" si="119"/>
        <v/>
      </c>
      <c r="N331" s="3"/>
      <c r="O331" s="3"/>
      <c r="P331" s="4"/>
      <c r="Q331" s="4"/>
      <c r="R331" s="4"/>
      <c r="S331">
        <f>IF(B331="","",VLOOKUP(Cmt(B331),Sheet2!A:B,2,FALSE))</f>
        <v>10</v>
      </c>
      <c r="T331" s="39">
        <f t="shared" si="123"/>
        <v>9582498</v>
      </c>
      <c r="U331" s="13">
        <f t="shared" si="122"/>
        <v>33.729669795879587</v>
      </c>
      <c r="W331" s="11"/>
    </row>
    <row r="332" spans="1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3"/>
        <v/>
      </c>
      <c r="U332" s="13" t="str">
        <f t="shared" si="122"/>
        <v/>
      </c>
      <c r="W332" s="11"/>
    </row>
    <row r="333" spans="1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3"/>
        <v/>
      </c>
      <c r="U333" s="13" t="str">
        <f t="shared" si="122"/>
        <v/>
      </c>
      <c r="W333" s="11"/>
    </row>
    <row r="334" spans="1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3"/>
        <v/>
      </c>
      <c r="U334" s="13" t="str">
        <f t="shared" si="122"/>
        <v/>
      </c>
      <c r="W334" s="11"/>
    </row>
    <row r="335" spans="1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3"/>
        <v/>
      </c>
      <c r="U335" s="13" t="str">
        <f t="shared" si="122"/>
        <v/>
      </c>
      <c r="W335" s="11"/>
    </row>
    <row r="336" spans="1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3"/>
        <v/>
      </c>
      <c r="U336" s="13" t="str">
        <f t="shared" si="122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3"/>
        <v/>
      </c>
      <c r="U337" s="13" t="str">
        <f t="shared" si="122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3"/>
        <v/>
      </c>
      <c r="U338" s="13" t="str">
        <f t="shared" si="122"/>
        <v/>
      </c>
      <c r="W338" s="11"/>
    </row>
    <row r="339" spans="9:23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9:23">
      <c r="I340" s="17" t="str">
        <f t="shared" si="118"/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9:23">
      <c r="I341" s="17" t="str">
        <f t="shared" si="118"/>
        <v/>
      </c>
      <c r="M341" s="16" t="str">
        <f t="shared" si="119"/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9:23">
      <c r="I342" s="17" t="str">
        <f t="shared" si="118"/>
        <v/>
      </c>
      <c r="M342" s="16" t="str">
        <f t="shared" si="119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9:23">
      <c r="I343" s="17" t="str">
        <f t="shared" ref="I343:I374" si="127">IF(G343="","",G343*H343)</f>
        <v/>
      </c>
      <c r="M343" s="16" t="str">
        <f t="shared" si="119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9:23">
      <c r="I344" s="17" t="str">
        <f t="shared" si="127"/>
        <v/>
      </c>
      <c r="M344" s="16" t="str">
        <f t="shared" ref="M344:M374" si="128">IF(J344="","",C344*(J344-D344)*S344)</f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9:23">
      <c r="I345" s="17" t="str">
        <f t="shared" si="127"/>
        <v/>
      </c>
      <c r="M345" s="16" t="str">
        <f t="shared" si="128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9:23">
      <c r="I346" s="17" t="str">
        <f t="shared" si="127"/>
        <v/>
      </c>
      <c r="M346" s="16" t="str">
        <f t="shared" si="128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9:23">
      <c r="I347" s="17" t="str">
        <f t="shared" si="127"/>
        <v/>
      </c>
      <c r="M347" s="16" t="str">
        <f t="shared" si="128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9:23">
      <c r="I348" s="17" t="str">
        <f t="shared" si="127"/>
        <v/>
      </c>
      <c r="M348" s="16" t="str">
        <f t="shared" si="128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9:23">
      <c r="I349" s="17" t="str">
        <f t="shared" si="127"/>
        <v/>
      </c>
      <c r="M349" s="16" t="str">
        <f t="shared" si="128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si="122"/>
        <v/>
      </c>
      <c r="W349" s="11"/>
    </row>
    <row r="350" spans="9:23">
      <c r="I350" s="17" t="str">
        <f t="shared" si="127"/>
        <v/>
      </c>
      <c r="M350" s="16" t="str">
        <f t="shared" si="128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2"/>
        <v/>
      </c>
      <c r="W350" s="11"/>
    </row>
    <row r="351" spans="9:23">
      <c r="I351" s="17" t="str">
        <f t="shared" si="127"/>
        <v/>
      </c>
      <c r="M351" s="16" t="str">
        <f t="shared" si="128"/>
        <v/>
      </c>
      <c r="S351" t="str">
        <f>IF(B351="","",VLOOKUP(Cmt(B351),Sheet2!A:B,2,FALSE))</f>
        <v/>
      </c>
      <c r="T351" s="39" t="str">
        <f t="shared" si="123"/>
        <v/>
      </c>
      <c r="U351" s="13" t="str">
        <f t="shared" si="122"/>
        <v/>
      </c>
      <c r="W351" s="11"/>
    </row>
    <row r="352" spans="9:23">
      <c r="I352" s="17" t="str">
        <f t="shared" si="127"/>
        <v/>
      </c>
      <c r="M352" s="16" t="str">
        <f t="shared" si="128"/>
        <v/>
      </c>
      <c r="S352" t="str">
        <f>IF(B352="","",VLOOKUP(Cmt(B352),Sheet2!A:B,2,FALSE))</f>
        <v/>
      </c>
      <c r="T352" s="39" t="str">
        <f t="shared" si="123"/>
        <v/>
      </c>
      <c r="U352" s="13" t="str">
        <f t="shared" ref="U352:U374" si="129">IF(S352="","",T352*I352/(D352*S352*0.15))</f>
        <v/>
      </c>
      <c r="W352" s="11"/>
    </row>
    <row r="353" spans="9:23">
      <c r="I353" s="17" t="str">
        <f t="shared" si="127"/>
        <v/>
      </c>
      <c r="M353" s="16" t="str">
        <f t="shared" si="128"/>
        <v/>
      </c>
      <c r="S353" t="str">
        <f>IF(B353="","",VLOOKUP(Cmt(B353),Sheet2!A:B,2,FALSE))</f>
        <v/>
      </c>
      <c r="T353" s="39" t="str">
        <f t="shared" si="123"/>
        <v/>
      </c>
      <c r="U353" s="13" t="str">
        <f t="shared" si="129"/>
        <v/>
      </c>
      <c r="W353" s="11"/>
    </row>
    <row r="354" spans="9:23">
      <c r="I354" s="17" t="str">
        <f t="shared" si="127"/>
        <v/>
      </c>
      <c r="M354" s="16" t="str">
        <f t="shared" si="128"/>
        <v/>
      </c>
      <c r="S354" t="str">
        <f>IF(B354="","",VLOOKUP(Cmt(B354),Sheet2!A:B,2,FALSE))</f>
        <v/>
      </c>
      <c r="T354" s="39" t="str">
        <f t="shared" ref="T354:T374" si="130">IF(S354="","",T353)</f>
        <v/>
      </c>
      <c r="U354" s="13" t="str">
        <f t="shared" si="129"/>
        <v/>
      </c>
      <c r="W354" s="11"/>
    </row>
    <row r="355" spans="9:23">
      <c r="I355" s="17" t="str">
        <f t="shared" si="127"/>
        <v/>
      </c>
      <c r="M355" s="16" t="str">
        <f t="shared" si="128"/>
        <v/>
      </c>
      <c r="S355" t="str">
        <f>IF(B355="","",VLOOKUP(Cmt(B355),Sheet2!A:B,2,FALSE))</f>
        <v/>
      </c>
      <c r="T355" s="39" t="str">
        <f t="shared" si="130"/>
        <v/>
      </c>
      <c r="U355" s="13" t="str">
        <f t="shared" si="129"/>
        <v/>
      </c>
      <c r="W355" s="11"/>
    </row>
    <row r="356" spans="9:23">
      <c r="I356" s="17" t="str">
        <f t="shared" si="127"/>
        <v/>
      </c>
      <c r="M356" s="16" t="str">
        <f t="shared" si="128"/>
        <v/>
      </c>
      <c r="S356" t="str">
        <f>IF(B356="","",VLOOKUP(Cmt(B356),Sheet2!A:B,2,FALSE))</f>
        <v/>
      </c>
      <c r="T356" s="39" t="str">
        <f t="shared" si="130"/>
        <v/>
      </c>
      <c r="U356" s="13" t="str">
        <f t="shared" si="129"/>
        <v/>
      </c>
      <c r="W356" s="11"/>
    </row>
    <row r="357" spans="9:23">
      <c r="I357" s="17" t="str">
        <f t="shared" si="127"/>
        <v/>
      </c>
      <c r="M357" s="16" t="str">
        <f t="shared" si="128"/>
        <v/>
      </c>
      <c r="S357" t="str">
        <f>IF(B357="","",VLOOKUP(Cmt(B357),Sheet2!A:B,2,FALSE))</f>
        <v/>
      </c>
      <c r="T357" s="39" t="str">
        <f t="shared" si="130"/>
        <v/>
      </c>
      <c r="U357" s="13" t="str">
        <f t="shared" si="129"/>
        <v/>
      </c>
      <c r="W357" s="11"/>
    </row>
    <row r="358" spans="9:23">
      <c r="I358" s="17" t="str">
        <f t="shared" si="127"/>
        <v/>
      </c>
      <c r="M358" s="16" t="str">
        <f t="shared" si="128"/>
        <v/>
      </c>
      <c r="S358" t="str">
        <f>IF(B358="","",VLOOKUP(Cmt(B358),Sheet2!A:B,2,FALSE))</f>
        <v/>
      </c>
      <c r="T358" s="39" t="str">
        <f t="shared" si="130"/>
        <v/>
      </c>
      <c r="U358" s="13" t="str">
        <f t="shared" si="129"/>
        <v/>
      </c>
      <c r="W358" s="11"/>
    </row>
    <row r="359" spans="9:23">
      <c r="I359" s="17" t="str">
        <f t="shared" si="127"/>
        <v/>
      </c>
      <c r="M359" s="16" t="str">
        <f t="shared" si="128"/>
        <v/>
      </c>
      <c r="S359" t="str">
        <f>IF(B359="","",VLOOKUP(Cmt(B359),Sheet2!A:B,2,FALSE))</f>
        <v/>
      </c>
      <c r="T359" s="39" t="str">
        <f t="shared" si="130"/>
        <v/>
      </c>
      <c r="U359" s="13" t="str">
        <f t="shared" si="129"/>
        <v/>
      </c>
      <c r="W359" s="11"/>
    </row>
    <row r="360" spans="9:23">
      <c r="I360" s="17" t="str">
        <f t="shared" si="127"/>
        <v/>
      </c>
      <c r="M360" s="16" t="str">
        <f t="shared" si="128"/>
        <v/>
      </c>
      <c r="S360" t="str">
        <f>IF(B360="","",VLOOKUP(Cmt(B360),Sheet2!A:B,2,FALSE))</f>
        <v/>
      </c>
      <c r="T360" s="39" t="str">
        <f t="shared" si="130"/>
        <v/>
      </c>
      <c r="U360" s="13" t="str">
        <f t="shared" si="129"/>
        <v/>
      </c>
      <c r="W360" s="11"/>
    </row>
    <row r="361" spans="9:23">
      <c r="I361" s="17" t="str">
        <f t="shared" si="127"/>
        <v/>
      </c>
      <c r="M361" s="16" t="str">
        <f t="shared" si="128"/>
        <v/>
      </c>
      <c r="S361" t="str">
        <f>IF(B361="","",VLOOKUP(Cmt(B361),Sheet2!A:B,2,FALSE))</f>
        <v/>
      </c>
      <c r="T361" s="39" t="str">
        <f t="shared" si="130"/>
        <v/>
      </c>
      <c r="U361" s="13" t="str">
        <f t="shared" si="129"/>
        <v/>
      </c>
      <c r="W361" s="11"/>
    </row>
    <row r="362" spans="9:23">
      <c r="I362" s="17" t="str">
        <f t="shared" si="127"/>
        <v/>
      </c>
      <c r="M362" s="16" t="str">
        <f t="shared" si="128"/>
        <v/>
      </c>
      <c r="S362" t="str">
        <f>IF(B362="","",VLOOKUP(Cmt(B362),Sheet2!A:B,2,FALSE))</f>
        <v/>
      </c>
      <c r="T362" s="39" t="str">
        <f t="shared" si="130"/>
        <v/>
      </c>
      <c r="U362" s="13" t="str">
        <f t="shared" si="129"/>
        <v/>
      </c>
      <c r="W362" s="11"/>
    </row>
    <row r="363" spans="9:23">
      <c r="I363" s="17" t="str">
        <f t="shared" si="127"/>
        <v/>
      </c>
      <c r="M363" s="16" t="str">
        <f t="shared" si="128"/>
        <v/>
      </c>
      <c r="S363" t="str">
        <f>IF(B363="","",VLOOKUP(Cmt(B363),Sheet2!A:B,2,FALSE))</f>
        <v/>
      </c>
      <c r="T363" s="39" t="str">
        <f t="shared" si="130"/>
        <v/>
      </c>
      <c r="U363" s="13" t="str">
        <f t="shared" si="129"/>
        <v/>
      </c>
      <c r="W363" s="11"/>
    </row>
    <row r="364" spans="9:23">
      <c r="I364" s="17" t="str">
        <f t="shared" si="127"/>
        <v/>
      </c>
      <c r="M364" s="16" t="str">
        <f t="shared" si="128"/>
        <v/>
      </c>
      <c r="S364" t="str">
        <f>IF(B364="","",VLOOKUP(Cmt(B364),Sheet2!A:B,2,FALSE))</f>
        <v/>
      </c>
      <c r="T364" s="39" t="str">
        <f t="shared" si="130"/>
        <v/>
      </c>
      <c r="U364" s="13" t="str">
        <f t="shared" si="129"/>
        <v/>
      </c>
      <c r="W364" s="11"/>
    </row>
    <row r="365" spans="9:23">
      <c r="I365" s="17" t="str">
        <f t="shared" si="127"/>
        <v/>
      </c>
      <c r="M365" s="16" t="str">
        <f t="shared" si="128"/>
        <v/>
      </c>
      <c r="S365" t="str">
        <f>IF(B365="","",VLOOKUP(Cmt(B365),Sheet2!A:B,2,FALSE))</f>
        <v/>
      </c>
      <c r="T365" s="39" t="str">
        <f t="shared" si="130"/>
        <v/>
      </c>
      <c r="U365" s="13" t="str">
        <f t="shared" si="129"/>
        <v/>
      </c>
      <c r="W365" s="11"/>
    </row>
    <row r="366" spans="9:23">
      <c r="I366" s="17" t="str">
        <f t="shared" si="127"/>
        <v/>
      </c>
      <c r="M366" s="16" t="str">
        <f t="shared" si="128"/>
        <v/>
      </c>
      <c r="S366" t="str">
        <f>IF(B366="","",VLOOKUP(Cmt(B366),Sheet2!A:B,2,FALSE))</f>
        <v/>
      </c>
      <c r="T366" s="39" t="str">
        <f t="shared" si="130"/>
        <v/>
      </c>
      <c r="U366" s="13" t="str">
        <f t="shared" si="129"/>
        <v/>
      </c>
      <c r="W366" s="11"/>
    </row>
    <row r="367" spans="9:23">
      <c r="I367" s="17" t="str">
        <f t="shared" si="127"/>
        <v/>
      </c>
      <c r="M367" s="16" t="str">
        <f t="shared" si="128"/>
        <v/>
      </c>
      <c r="S367" t="str">
        <f>IF(B367="","",VLOOKUP(Cmt(B367),Sheet2!A:B,2,FALSE))</f>
        <v/>
      </c>
      <c r="T367" s="39" t="str">
        <f t="shared" si="130"/>
        <v/>
      </c>
      <c r="U367" s="13" t="str">
        <f t="shared" si="129"/>
        <v/>
      </c>
      <c r="W367" s="11"/>
    </row>
    <row r="368" spans="9:23">
      <c r="I368" s="17" t="str">
        <f t="shared" si="127"/>
        <v/>
      </c>
      <c r="M368" s="16" t="str">
        <f t="shared" si="128"/>
        <v/>
      </c>
      <c r="S368" t="str">
        <f>IF(B368="","",VLOOKUP(Cmt(B368),Sheet2!A:B,2,FALSE))</f>
        <v/>
      </c>
      <c r="T368" s="39" t="str">
        <f t="shared" si="130"/>
        <v/>
      </c>
      <c r="U368" s="13" t="str">
        <f t="shared" si="129"/>
        <v/>
      </c>
      <c r="W368" s="11"/>
    </row>
    <row r="369" spans="9:23">
      <c r="I369" s="17" t="str">
        <f t="shared" si="127"/>
        <v/>
      </c>
      <c r="M369" s="16" t="str">
        <f t="shared" si="128"/>
        <v/>
      </c>
      <c r="S369" t="str">
        <f>IF(B369="","",VLOOKUP(Cmt(B369),Sheet2!A:B,2,FALSE))</f>
        <v/>
      </c>
      <c r="T369" s="39" t="str">
        <f t="shared" si="130"/>
        <v/>
      </c>
      <c r="U369" s="13" t="str">
        <f t="shared" si="129"/>
        <v/>
      </c>
      <c r="W369" s="11"/>
    </row>
    <row r="370" spans="9:23">
      <c r="I370" s="17" t="str">
        <f t="shared" si="127"/>
        <v/>
      </c>
      <c r="M370" s="16" t="str">
        <f t="shared" si="128"/>
        <v/>
      </c>
      <c r="S370" t="str">
        <f>IF(B370="","",VLOOKUP(Cmt(B370),Sheet2!A:B,2,FALSE))</f>
        <v/>
      </c>
      <c r="T370" s="39" t="str">
        <f t="shared" si="130"/>
        <v/>
      </c>
      <c r="U370" s="13" t="str">
        <f t="shared" si="129"/>
        <v/>
      </c>
      <c r="W370" s="11"/>
    </row>
    <row r="371" spans="9:23">
      <c r="I371" s="17" t="str">
        <f t="shared" si="127"/>
        <v/>
      </c>
      <c r="M371" s="16" t="str">
        <f t="shared" si="128"/>
        <v/>
      </c>
      <c r="S371" t="str">
        <f>IF(B371="","",VLOOKUP(Cmt(B371),Sheet2!A:B,2,FALSE))</f>
        <v/>
      </c>
      <c r="T371" s="39" t="str">
        <f t="shared" si="130"/>
        <v/>
      </c>
      <c r="U371" s="13" t="str">
        <f t="shared" si="129"/>
        <v/>
      </c>
      <c r="W371" s="11"/>
    </row>
    <row r="372" spans="9:23">
      <c r="I372" s="17" t="str">
        <f t="shared" si="127"/>
        <v/>
      </c>
      <c r="M372" s="16" t="str">
        <f t="shared" si="128"/>
        <v/>
      </c>
      <c r="S372" t="str">
        <f>IF(B372="","",VLOOKUP(Cmt(B372),Sheet2!A:B,2,FALSE))</f>
        <v/>
      </c>
      <c r="T372" s="39" t="str">
        <f t="shared" si="130"/>
        <v/>
      </c>
      <c r="U372" s="13" t="str">
        <f t="shared" si="129"/>
        <v/>
      </c>
      <c r="W372" s="11"/>
    </row>
    <row r="373" spans="9:23">
      <c r="I373" s="17" t="str">
        <f t="shared" si="127"/>
        <v/>
      </c>
      <c r="M373" s="16" t="str">
        <f t="shared" si="128"/>
        <v/>
      </c>
      <c r="S373" t="str">
        <f>IF(B373="","",VLOOKUP(Cmt(B373),Sheet2!A:B,2,FALSE))</f>
        <v/>
      </c>
      <c r="T373" s="39" t="str">
        <f t="shared" si="130"/>
        <v/>
      </c>
      <c r="U373" s="13" t="str">
        <f t="shared" si="129"/>
        <v/>
      </c>
      <c r="W373" s="11"/>
    </row>
    <row r="374" spans="9:23">
      <c r="I374" s="17" t="str">
        <f t="shared" si="127"/>
        <v/>
      </c>
      <c r="M374" s="16" t="str">
        <f t="shared" si="128"/>
        <v/>
      </c>
      <c r="S374" t="str">
        <f>IF(B374="","",VLOOKUP(Cmt(B374),Sheet2!A:B,2,FALSE))</f>
        <v/>
      </c>
      <c r="T374" s="39" t="str">
        <f t="shared" si="130"/>
        <v/>
      </c>
      <c r="U374" s="13" t="str">
        <f t="shared" si="129"/>
        <v/>
      </c>
      <c r="W374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2018-04-13T07:23:15Z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