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/>
  <bookViews>
    <workbookView xWindow="0" yWindow="0" windowWidth="22260" windowHeight="12645"/>
  </bookViews>
  <sheets>
    <sheet name="权益" sheetId="2" r:id="rId1"/>
    <sheet name="成交记录" sheetId="1" r:id="rId2"/>
    <sheet name="Sheet1" sheetId="5" r:id="rId3"/>
    <sheet name="Sheet2" sheetId="6" r:id="rId4"/>
  </sheets>
  <functionGroups builtInGroupCount="18"/>
  <definedNames>
    <definedName name="nv">权益!#REF!:OFFSET(权益!#REF!,权益!$E$1,0)</definedName>
    <definedName name="tt">权益!#REF!:OFFSET(权益!#REF!,权益!$E$1,0)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4" i="2" l="1"/>
  <c r="C43" i="2"/>
  <c r="G61" i="5"/>
  <c r="G26" i="5"/>
  <c r="G81" i="5"/>
  <c r="G77" i="5"/>
  <c r="G86" i="5"/>
  <c r="G20" i="5"/>
  <c r="G8" i="5"/>
  <c r="G18" i="5"/>
  <c r="G2" i="5"/>
  <c r="G23" i="5"/>
  <c r="G46" i="5"/>
  <c r="G58" i="5"/>
  <c r="G34" i="5"/>
  <c r="G37" i="5"/>
  <c r="G85" i="5"/>
  <c r="G67" i="5"/>
  <c r="G80" i="5"/>
  <c r="G30" i="5"/>
  <c r="G91" i="5"/>
  <c r="G89" i="5"/>
  <c r="G88" i="5"/>
  <c r="G41" i="5"/>
  <c r="G7" i="5"/>
  <c r="G50" i="5"/>
  <c r="G82" i="5"/>
  <c r="G73" i="5"/>
  <c r="G79" i="5"/>
  <c r="G69" i="5"/>
  <c r="G40" i="5"/>
  <c r="G68" i="5"/>
  <c r="G66" i="5"/>
  <c r="G42" i="5"/>
  <c r="G29" i="5"/>
  <c r="G31" i="5"/>
  <c r="G70" i="5"/>
  <c r="G53" i="5"/>
  <c r="G32" i="5"/>
  <c r="G72" i="5"/>
  <c r="G57" i="5"/>
  <c r="G56" i="5"/>
  <c r="G45" i="5"/>
  <c r="C36" i="2" l="1"/>
  <c r="C37" i="2"/>
  <c r="C38" i="2"/>
  <c r="C39" i="2"/>
  <c r="C40" i="2"/>
  <c r="C41" i="2"/>
  <c r="C42" i="2"/>
  <c r="Q66" i="5"/>
  <c r="K66" i="5" l="1"/>
  <c r="C32" i="2"/>
  <c r="C33" i="2"/>
  <c r="C34" i="2"/>
  <c r="C35" i="2"/>
  <c r="Q41" i="5"/>
  <c r="Q40" i="5"/>
  <c r="Q80" i="5"/>
  <c r="Q31" i="5"/>
  <c r="Q70" i="5"/>
  <c r="Q30" i="5"/>
  <c r="Q46" i="5"/>
  <c r="Q79" i="5"/>
  <c r="Q57" i="5"/>
  <c r="Q89" i="5"/>
  <c r="Q73" i="5"/>
  <c r="Q56" i="5"/>
  <c r="Q81" i="5"/>
  <c r="Q42" i="5"/>
  <c r="Q45" i="5"/>
  <c r="Q85" i="5"/>
  <c r="Q86" i="5"/>
  <c r="Q37" i="5"/>
  <c r="Q18" i="5"/>
  <c r="Q61" i="5"/>
  <c r="Q50" i="5"/>
  <c r="Q26" i="5"/>
  <c r="Q8" i="5"/>
  <c r="Q69" i="5"/>
  <c r="Q58" i="5"/>
  <c r="Q23" i="5"/>
  <c r="Q34" i="5"/>
  <c r="Q32" i="5"/>
  <c r="Q77" i="5"/>
  <c r="Q82" i="5"/>
  <c r="Q2" i="5"/>
  <c r="Q72" i="5"/>
  <c r="Q91" i="5"/>
  <c r="Q29" i="5"/>
  <c r="Q20" i="5"/>
  <c r="Q67" i="5"/>
  <c r="Q53" i="5"/>
  <c r="Q88" i="5"/>
  <c r="Q68" i="5"/>
  <c r="Q7" i="5"/>
  <c r="S164" i="1"/>
  <c r="K7" i="5" l="1"/>
  <c r="K68" i="5"/>
  <c r="K88" i="5"/>
  <c r="K53" i="5"/>
  <c r="K67" i="5"/>
  <c r="K20" i="5"/>
  <c r="K29" i="5"/>
  <c r="K72" i="5"/>
  <c r="K2" i="5"/>
  <c r="K82" i="5"/>
  <c r="K77" i="5"/>
  <c r="K32" i="5"/>
  <c r="K34" i="5"/>
  <c r="K23" i="5"/>
  <c r="K58" i="5"/>
  <c r="K69" i="5"/>
  <c r="K8" i="5"/>
  <c r="K26" i="5"/>
  <c r="K50" i="5"/>
  <c r="K61" i="5"/>
  <c r="K18" i="5"/>
  <c r="K37" i="5"/>
  <c r="K86" i="5"/>
  <c r="K85" i="5"/>
  <c r="K45" i="5"/>
  <c r="K42" i="5"/>
  <c r="K81" i="5"/>
  <c r="K56" i="5"/>
  <c r="K73" i="5"/>
  <c r="K89" i="5"/>
  <c r="K57" i="5"/>
  <c r="K79" i="5"/>
  <c r="K46" i="5"/>
  <c r="K30" i="5"/>
  <c r="K70" i="5"/>
  <c r="K31" i="5"/>
  <c r="K80" i="5"/>
  <c r="K40" i="5"/>
  <c r="K41" i="5"/>
  <c r="J225" i="1"/>
  <c r="I223" i="1" l="1"/>
  <c r="I222" i="1"/>
  <c r="S270" i="1" l="1"/>
  <c r="T270" i="1" s="1"/>
  <c r="S271" i="1"/>
  <c r="S272" i="1"/>
  <c r="U272" i="1" s="1"/>
  <c r="S273" i="1"/>
  <c r="T273" i="1" s="1"/>
  <c r="S274" i="1"/>
  <c r="T274" i="1" s="1"/>
  <c r="S275" i="1"/>
  <c r="S276" i="1"/>
  <c r="U276" i="1" s="1"/>
  <c r="S277" i="1"/>
  <c r="T277" i="1" s="1"/>
  <c r="S278" i="1"/>
  <c r="T278" i="1" s="1"/>
  <c r="S279" i="1"/>
  <c r="S280" i="1"/>
  <c r="U280" i="1" s="1"/>
  <c r="S281" i="1"/>
  <c r="T281" i="1" s="1"/>
  <c r="S282" i="1"/>
  <c r="T282" i="1" s="1"/>
  <c r="S283" i="1"/>
  <c r="S284" i="1"/>
  <c r="U284" i="1" s="1"/>
  <c r="S285" i="1"/>
  <c r="T285" i="1" s="1"/>
  <c r="S286" i="1"/>
  <c r="T286" i="1" s="1"/>
  <c r="S287" i="1"/>
  <c r="S288" i="1"/>
  <c r="U288" i="1" s="1"/>
  <c r="S289" i="1"/>
  <c r="T289" i="1" s="1"/>
  <c r="S290" i="1"/>
  <c r="T290" i="1" s="1"/>
  <c r="S291" i="1"/>
  <c r="S292" i="1"/>
  <c r="U292" i="1" s="1"/>
  <c r="S293" i="1"/>
  <c r="T293" i="1" s="1"/>
  <c r="S294" i="1"/>
  <c r="T294" i="1" s="1"/>
  <c r="S295" i="1"/>
  <c r="S296" i="1"/>
  <c r="U296" i="1" s="1"/>
  <c r="S297" i="1"/>
  <c r="T297" i="1" s="1"/>
  <c r="S298" i="1"/>
  <c r="T298" i="1" s="1"/>
  <c r="S299" i="1"/>
  <c r="S300" i="1"/>
  <c r="U300" i="1" s="1"/>
  <c r="S301" i="1"/>
  <c r="T301" i="1" s="1"/>
  <c r="S302" i="1"/>
  <c r="T302" i="1" s="1"/>
  <c r="S303" i="1"/>
  <c r="S304" i="1"/>
  <c r="U304" i="1" s="1"/>
  <c r="S305" i="1"/>
  <c r="T305" i="1" s="1"/>
  <c r="S306" i="1"/>
  <c r="T306" i="1" s="1"/>
  <c r="S307" i="1"/>
  <c r="S308" i="1"/>
  <c r="U308" i="1" s="1"/>
  <c r="S309" i="1"/>
  <c r="T309" i="1" s="1"/>
  <c r="S310" i="1"/>
  <c r="T310" i="1" s="1"/>
  <c r="S311" i="1"/>
  <c r="S312" i="1"/>
  <c r="U312" i="1" s="1"/>
  <c r="S313" i="1"/>
  <c r="T313" i="1" s="1"/>
  <c r="S314" i="1"/>
  <c r="T314" i="1" s="1"/>
  <c r="S315" i="1"/>
  <c r="S316" i="1"/>
  <c r="U316" i="1" s="1"/>
  <c r="S317" i="1"/>
  <c r="T317" i="1" s="1"/>
  <c r="S318" i="1"/>
  <c r="T318" i="1" s="1"/>
  <c r="S319" i="1"/>
  <c r="S320" i="1"/>
  <c r="U320" i="1" s="1"/>
  <c r="S321" i="1"/>
  <c r="T321" i="1" s="1"/>
  <c r="S322" i="1"/>
  <c r="T322" i="1" s="1"/>
  <c r="S323" i="1"/>
  <c r="S324" i="1"/>
  <c r="U324" i="1" s="1"/>
  <c r="S325" i="1"/>
  <c r="T325" i="1" s="1"/>
  <c r="S326" i="1"/>
  <c r="T326" i="1" s="1"/>
  <c r="S327" i="1"/>
  <c r="S328" i="1"/>
  <c r="U328" i="1" s="1"/>
  <c r="S329" i="1"/>
  <c r="T329" i="1" s="1"/>
  <c r="S330" i="1"/>
  <c r="T330" i="1" s="1"/>
  <c r="S331" i="1"/>
  <c r="S332" i="1"/>
  <c r="U332" i="1" s="1"/>
  <c r="S333" i="1"/>
  <c r="T333" i="1" s="1"/>
  <c r="S334" i="1"/>
  <c r="T334" i="1" s="1"/>
  <c r="S335" i="1"/>
  <c r="S336" i="1"/>
  <c r="U336" i="1" s="1"/>
  <c r="S337" i="1"/>
  <c r="T337" i="1" s="1"/>
  <c r="S338" i="1"/>
  <c r="T338" i="1" s="1"/>
  <c r="S339" i="1"/>
  <c r="S340" i="1"/>
  <c r="U340" i="1" s="1"/>
  <c r="S341" i="1"/>
  <c r="T341" i="1" s="1"/>
  <c r="S342" i="1"/>
  <c r="T342" i="1" s="1"/>
  <c r="S343" i="1"/>
  <c r="S344" i="1"/>
  <c r="U344" i="1" s="1"/>
  <c r="S345" i="1"/>
  <c r="T345" i="1" s="1"/>
  <c r="S346" i="1"/>
  <c r="T346" i="1" s="1"/>
  <c r="S347" i="1"/>
  <c r="S348" i="1"/>
  <c r="U348" i="1" s="1"/>
  <c r="S349" i="1"/>
  <c r="T349" i="1" s="1"/>
  <c r="S350" i="1"/>
  <c r="T350" i="1" s="1"/>
  <c r="S351" i="1"/>
  <c r="S352" i="1"/>
  <c r="U352" i="1" s="1"/>
  <c r="S353" i="1"/>
  <c r="T353" i="1" s="1"/>
  <c r="S354" i="1"/>
  <c r="T354" i="1" s="1"/>
  <c r="S355" i="1"/>
  <c r="S356" i="1"/>
  <c r="U356" i="1" s="1"/>
  <c r="S357" i="1"/>
  <c r="T357" i="1" s="1"/>
  <c r="S358" i="1"/>
  <c r="T358" i="1" s="1"/>
  <c r="S359" i="1"/>
  <c r="S360" i="1"/>
  <c r="U360" i="1" s="1"/>
  <c r="S361" i="1"/>
  <c r="T361" i="1" s="1"/>
  <c r="S362" i="1"/>
  <c r="T362" i="1" s="1"/>
  <c r="S363" i="1"/>
  <c r="S364" i="1"/>
  <c r="U364" i="1" s="1"/>
  <c r="S365" i="1"/>
  <c r="T365" i="1" s="1"/>
  <c r="S366" i="1"/>
  <c r="T366" i="1" s="1"/>
  <c r="S367" i="1"/>
  <c r="S368" i="1"/>
  <c r="U368" i="1" s="1"/>
  <c r="S369" i="1"/>
  <c r="T369" i="1" s="1"/>
  <c r="S370" i="1"/>
  <c r="T370" i="1" s="1"/>
  <c r="S25" i="1"/>
  <c r="S28" i="1"/>
  <c r="S29" i="1"/>
  <c r="S30" i="1"/>
  <c r="S31" i="1"/>
  <c r="S32" i="1"/>
  <c r="S34" i="1"/>
  <c r="M263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I215" i="1"/>
  <c r="S269" i="1"/>
  <c r="S268" i="1"/>
  <c r="S56" i="1"/>
  <c r="S198" i="1"/>
  <c r="S19" i="1"/>
  <c r="S174" i="1"/>
  <c r="S150" i="1"/>
  <c r="S143" i="1"/>
  <c r="S35" i="1"/>
  <c r="S192" i="1"/>
  <c r="S49" i="1"/>
  <c r="S145" i="1"/>
  <c r="S4" i="1"/>
  <c r="S187" i="1"/>
  <c r="S216" i="1"/>
  <c r="S189" i="1"/>
  <c r="S54" i="1"/>
  <c r="S7" i="1"/>
  <c r="S96" i="1"/>
  <c r="S159" i="1"/>
  <c r="S197" i="1"/>
  <c r="S251" i="1"/>
  <c r="S243" i="1"/>
  <c r="S219" i="1"/>
  <c r="S170" i="1"/>
  <c r="S191" i="1"/>
  <c r="S136" i="1"/>
  <c r="S23" i="1"/>
  <c r="S186" i="1"/>
  <c r="S249" i="1"/>
  <c r="S108" i="1"/>
  <c r="S132" i="1"/>
  <c r="S33" i="1"/>
  <c r="S92" i="1"/>
  <c r="S245" i="1"/>
  <c r="S155" i="1"/>
  <c r="S167" i="1"/>
  <c r="S48" i="1"/>
  <c r="S242" i="1"/>
  <c r="S239" i="1"/>
  <c r="S236" i="1"/>
  <c r="S240" i="1"/>
  <c r="S113" i="1"/>
  <c r="S20" i="1"/>
  <c r="S8" i="1"/>
  <c r="S185" i="1"/>
  <c r="S121" i="1"/>
  <c r="S232" i="1"/>
  <c r="S138" i="1"/>
  <c r="S133" i="1"/>
  <c r="S206" i="1"/>
  <c r="S128" i="1"/>
  <c r="S215" i="1"/>
  <c r="S233" i="1"/>
  <c r="S90" i="1"/>
  <c r="S115" i="1"/>
  <c r="S58" i="1"/>
  <c r="S127" i="1"/>
  <c r="S244" i="1"/>
  <c r="S53" i="1"/>
  <c r="S208" i="1"/>
  <c r="S103" i="1"/>
  <c r="S231" i="1"/>
  <c r="S258" i="1"/>
  <c r="S140" i="1"/>
  <c r="S148" i="1"/>
  <c r="S114" i="1"/>
  <c r="S100" i="1"/>
  <c r="S122" i="1"/>
  <c r="S253" i="1"/>
  <c r="S99" i="1"/>
  <c r="S200" i="1"/>
  <c r="S106" i="1"/>
  <c r="S129" i="1"/>
  <c r="S228" i="1"/>
  <c r="S137" i="1"/>
  <c r="S89" i="1"/>
  <c r="S134" i="1"/>
  <c r="S227" i="1"/>
  <c r="S261" i="1"/>
  <c r="S173" i="1"/>
  <c r="S135" i="1"/>
  <c r="S171" i="1"/>
  <c r="S117" i="1"/>
  <c r="S210" i="1"/>
  <c r="S214" i="1"/>
  <c r="S199" i="1"/>
  <c r="S73" i="1"/>
  <c r="S15" i="1"/>
  <c r="S241" i="1"/>
  <c r="S184" i="1"/>
  <c r="S22" i="1"/>
  <c r="S93" i="1"/>
  <c r="S222" i="1"/>
  <c r="S130" i="1"/>
  <c r="S51" i="1"/>
  <c r="S79" i="1"/>
  <c r="S13" i="1"/>
  <c r="S161" i="1"/>
  <c r="S12" i="1"/>
  <c r="S237" i="1"/>
  <c r="S131" i="1"/>
  <c r="S260" i="1"/>
  <c r="S17" i="1"/>
  <c r="S211" i="1"/>
  <c r="S195" i="1"/>
  <c r="S112" i="1"/>
  <c r="S26" i="1"/>
  <c r="S85" i="1"/>
  <c r="S66" i="1"/>
  <c r="S39" i="1"/>
  <c r="S165" i="1"/>
  <c r="S207" i="1"/>
  <c r="S82" i="1"/>
  <c r="S9" i="1"/>
  <c r="S149" i="1"/>
  <c r="S160" i="1"/>
  <c r="S94" i="1"/>
  <c r="S81" i="1"/>
  <c r="S247" i="1"/>
  <c r="S87" i="1"/>
  <c r="S16" i="1"/>
  <c r="S169" i="1"/>
  <c r="S65" i="1"/>
  <c r="S14" i="1"/>
  <c r="S50" i="1"/>
  <c r="S37" i="1"/>
  <c r="S38" i="1"/>
  <c r="S188" i="1"/>
  <c r="S193" i="1"/>
  <c r="S204" i="1"/>
  <c r="S263" i="1"/>
  <c r="S234" i="1"/>
  <c r="S110" i="1"/>
  <c r="S162" i="1"/>
  <c r="S36" i="1"/>
  <c r="S109" i="1"/>
  <c r="S255" i="1"/>
  <c r="S205" i="1"/>
  <c r="S218" i="1"/>
  <c r="S124" i="1"/>
  <c r="S63" i="1"/>
  <c r="S101" i="1"/>
  <c r="S62" i="1"/>
  <c r="S257" i="1"/>
  <c r="S47" i="1"/>
  <c r="S2" i="1"/>
  <c r="S177" i="1"/>
  <c r="S221" i="1"/>
  <c r="S44" i="1"/>
  <c r="S111" i="1"/>
  <c r="S105" i="1"/>
  <c r="S238" i="1"/>
  <c r="S151" i="1"/>
  <c r="S139" i="1"/>
  <c r="S10" i="1"/>
  <c r="S76" i="1"/>
  <c r="S266" i="1"/>
  <c r="S52" i="1"/>
  <c r="S107" i="1"/>
  <c r="S102" i="1"/>
  <c r="S154" i="1"/>
  <c r="S98" i="1"/>
  <c r="S72" i="1"/>
  <c r="S57" i="1"/>
  <c r="S147" i="1"/>
  <c r="S183" i="1"/>
  <c r="S6" i="1"/>
  <c r="S235" i="1"/>
  <c r="S70" i="1"/>
  <c r="S40" i="1"/>
  <c r="S250" i="1"/>
  <c r="S59" i="1"/>
  <c r="S220" i="1"/>
  <c r="S74" i="1"/>
  <c r="S202" i="1"/>
  <c r="S141" i="1"/>
  <c r="S68" i="1"/>
  <c r="S126" i="1"/>
  <c r="S180" i="1"/>
  <c r="S71" i="1"/>
  <c r="S91" i="1"/>
  <c r="S119" i="1"/>
  <c r="S212" i="1"/>
  <c r="S80" i="1"/>
  <c r="S209" i="1"/>
  <c r="S104" i="1"/>
  <c r="S55" i="1"/>
  <c r="S163" i="1"/>
  <c r="S182" i="1"/>
  <c r="S27" i="1"/>
  <c r="S226" i="1"/>
  <c r="S125" i="1"/>
  <c r="S265" i="1"/>
  <c r="S158" i="1"/>
  <c r="S84" i="1"/>
  <c r="S229" i="1"/>
  <c r="S152" i="1"/>
  <c r="S264" i="1"/>
  <c r="S246" i="1"/>
  <c r="S194" i="1"/>
  <c r="S176" i="1"/>
  <c r="S69" i="1"/>
  <c r="S75" i="1"/>
  <c r="S256" i="1"/>
  <c r="S146" i="1"/>
  <c r="S83" i="1"/>
  <c r="S46" i="1"/>
  <c r="S178" i="1"/>
  <c r="S153" i="1"/>
  <c r="S21" i="1"/>
  <c r="S267" i="1"/>
  <c r="S11" i="1"/>
  <c r="S213" i="1"/>
  <c r="S196" i="1"/>
  <c r="S201" i="1"/>
  <c r="S223" i="1"/>
  <c r="S120" i="1"/>
  <c r="S43" i="1"/>
  <c r="S262" i="1"/>
  <c r="S248" i="1"/>
  <c r="S64" i="1"/>
  <c r="S166" i="1"/>
  <c r="S60" i="1"/>
  <c r="S168" i="1"/>
  <c r="S230" i="1"/>
  <c r="S252" i="1"/>
  <c r="S42" i="1"/>
  <c r="S224" i="1"/>
  <c r="S142" i="1"/>
  <c r="S116" i="1"/>
  <c r="S190" i="1"/>
  <c r="S86" i="1"/>
  <c r="S259" i="1"/>
  <c r="S157" i="1"/>
  <c r="S67" i="1"/>
  <c r="S118" i="1"/>
  <c r="S61" i="1"/>
  <c r="S179" i="1"/>
  <c r="S18" i="1"/>
  <c r="S24" i="1"/>
  <c r="S156" i="1"/>
  <c r="S3" i="1"/>
  <c r="S172" i="1"/>
  <c r="S123" i="1"/>
  <c r="S175" i="1"/>
  <c r="S95" i="1"/>
  <c r="S203" i="1"/>
  <c r="S41" i="1"/>
  <c r="S225" i="1"/>
  <c r="S217" i="1"/>
  <c r="S77" i="1"/>
  <c r="S181" i="1"/>
  <c r="S88" i="1"/>
  <c r="S254" i="1"/>
  <c r="S144" i="1"/>
  <c r="S78" i="1"/>
  <c r="S97" i="1"/>
  <c r="S45" i="1"/>
  <c r="S5" i="1"/>
  <c r="T269" i="1" l="1"/>
  <c r="M230" i="1"/>
  <c r="M267" i="1"/>
  <c r="M229" i="1"/>
  <c r="M238" i="1"/>
  <c r="M237" i="1"/>
  <c r="M241" i="1"/>
  <c r="M231" i="1"/>
  <c r="M233" i="1"/>
  <c r="M240" i="1"/>
  <c r="M236" i="1"/>
  <c r="M243" i="1"/>
  <c r="M266" i="1"/>
  <c r="M265" i="1"/>
  <c r="M258" i="1"/>
  <c r="M254" i="1"/>
  <c r="M260" i="1"/>
  <c r="M264" i="1"/>
  <c r="M246" i="1"/>
  <c r="M262" i="1"/>
  <c r="M259" i="1"/>
  <c r="M255" i="1"/>
  <c r="M256" i="1"/>
  <c r="M257" i="1"/>
  <c r="M261" i="1"/>
  <c r="M252" i="1"/>
  <c r="M253" i="1"/>
  <c r="M249" i="1"/>
  <c r="M248" i="1"/>
  <c r="M250" i="1"/>
  <c r="M251" i="1"/>
  <c r="M244" i="1"/>
  <c r="M247" i="1"/>
  <c r="M245" i="1"/>
  <c r="T246" i="1"/>
  <c r="T247" i="1" s="1"/>
  <c r="T248" i="1" s="1"/>
  <c r="T249" i="1" s="1"/>
  <c r="T250" i="1" s="1"/>
  <c r="T251" i="1" s="1"/>
  <c r="T252" i="1" s="1"/>
  <c r="T253" i="1" s="1"/>
  <c r="T254" i="1" s="1"/>
  <c r="T255" i="1" s="1"/>
  <c r="T256" i="1" s="1"/>
  <c r="T257" i="1" s="1"/>
  <c r="T258" i="1" s="1"/>
  <c r="T259" i="1" s="1"/>
  <c r="T260" i="1" s="1"/>
  <c r="T261" i="1" s="1"/>
  <c r="T262" i="1" s="1"/>
  <c r="T263" i="1" s="1"/>
  <c r="T264" i="1" s="1"/>
  <c r="T265" i="1" s="1"/>
  <c r="T266" i="1" s="1"/>
  <c r="M242" i="1"/>
  <c r="M232" i="1"/>
  <c r="M234" i="1"/>
  <c r="M235" i="1"/>
  <c r="M239" i="1"/>
  <c r="M225" i="1"/>
  <c r="M222" i="1"/>
  <c r="M228" i="1"/>
  <c r="M224" i="1"/>
  <c r="M204" i="1"/>
  <c r="M221" i="1"/>
  <c r="M226" i="1"/>
  <c r="M220" i="1"/>
  <c r="M227" i="1"/>
  <c r="M223" i="1"/>
  <c r="M217" i="1"/>
  <c r="M219" i="1"/>
  <c r="M214" i="1"/>
  <c r="M218" i="1"/>
  <c r="T356" i="1"/>
  <c r="T292" i="1"/>
  <c r="T308" i="1"/>
  <c r="T340" i="1"/>
  <c r="T276" i="1"/>
  <c r="T324" i="1"/>
  <c r="U353" i="1"/>
  <c r="U321" i="1"/>
  <c r="U289" i="1"/>
  <c r="U361" i="1"/>
  <c r="U345" i="1"/>
  <c r="U329" i="1"/>
  <c r="U313" i="1"/>
  <c r="U297" i="1"/>
  <c r="U281" i="1"/>
  <c r="T364" i="1"/>
  <c r="T348" i="1"/>
  <c r="T332" i="1"/>
  <c r="T316" i="1"/>
  <c r="T300" i="1"/>
  <c r="T284" i="1"/>
  <c r="U357" i="1"/>
  <c r="U341" i="1"/>
  <c r="U325" i="1"/>
  <c r="U309" i="1"/>
  <c r="U293" i="1"/>
  <c r="U277" i="1"/>
  <c r="T360" i="1"/>
  <c r="T344" i="1"/>
  <c r="T328" i="1"/>
  <c r="T312" i="1"/>
  <c r="T296" i="1"/>
  <c r="T280" i="1"/>
  <c r="U369" i="1"/>
  <c r="U337" i="1"/>
  <c r="U305" i="1"/>
  <c r="U273" i="1"/>
  <c r="U365" i="1"/>
  <c r="U349" i="1"/>
  <c r="U333" i="1"/>
  <c r="U317" i="1"/>
  <c r="U301" i="1"/>
  <c r="U285" i="1"/>
  <c r="T368" i="1"/>
  <c r="T352" i="1"/>
  <c r="T336" i="1"/>
  <c r="T320" i="1"/>
  <c r="T304" i="1"/>
  <c r="T288" i="1"/>
  <c r="T272" i="1"/>
  <c r="T220" i="1"/>
  <c r="T221" i="1" s="1"/>
  <c r="T222" i="1" s="1"/>
  <c r="U367" i="1"/>
  <c r="T367" i="1"/>
  <c r="U363" i="1"/>
  <c r="T363" i="1"/>
  <c r="U359" i="1"/>
  <c r="T359" i="1"/>
  <c r="U355" i="1"/>
  <c r="T355" i="1"/>
  <c r="U351" i="1"/>
  <c r="T351" i="1"/>
  <c r="U347" i="1"/>
  <c r="T347" i="1"/>
  <c r="U343" i="1"/>
  <c r="T343" i="1"/>
  <c r="U339" i="1"/>
  <c r="T339" i="1"/>
  <c r="U335" i="1"/>
  <c r="T335" i="1"/>
  <c r="U331" i="1"/>
  <c r="T331" i="1"/>
  <c r="U327" i="1"/>
  <c r="T327" i="1"/>
  <c r="U323" i="1"/>
  <c r="T323" i="1"/>
  <c r="U319" i="1"/>
  <c r="T319" i="1"/>
  <c r="U315" i="1"/>
  <c r="T315" i="1"/>
  <c r="U311" i="1"/>
  <c r="T311" i="1"/>
  <c r="U307" i="1"/>
  <c r="T307" i="1"/>
  <c r="U303" i="1"/>
  <c r="T303" i="1"/>
  <c r="U299" i="1"/>
  <c r="T299" i="1"/>
  <c r="U295" i="1"/>
  <c r="T295" i="1"/>
  <c r="U291" i="1"/>
  <c r="T291" i="1"/>
  <c r="U287" i="1"/>
  <c r="T287" i="1"/>
  <c r="U283" i="1"/>
  <c r="T283" i="1"/>
  <c r="U279" i="1"/>
  <c r="T279" i="1"/>
  <c r="U275" i="1"/>
  <c r="T275" i="1"/>
  <c r="U271" i="1"/>
  <c r="T271" i="1"/>
  <c r="T267" i="1"/>
  <c r="T268" i="1" s="1"/>
  <c r="U370" i="1"/>
  <c r="U366" i="1"/>
  <c r="U362" i="1"/>
  <c r="U358" i="1"/>
  <c r="U354" i="1"/>
  <c r="U350" i="1"/>
  <c r="U346" i="1"/>
  <c r="U342" i="1"/>
  <c r="U338" i="1"/>
  <c r="U334" i="1"/>
  <c r="U330" i="1"/>
  <c r="U326" i="1"/>
  <c r="U322" i="1"/>
  <c r="U318" i="1"/>
  <c r="U314" i="1"/>
  <c r="U310" i="1"/>
  <c r="U306" i="1"/>
  <c r="U302" i="1"/>
  <c r="U298" i="1"/>
  <c r="U294" i="1"/>
  <c r="U290" i="1"/>
  <c r="U286" i="1"/>
  <c r="U282" i="1"/>
  <c r="U278" i="1"/>
  <c r="U274" i="1"/>
  <c r="U270" i="1"/>
  <c r="M210" i="1"/>
  <c r="M206" i="1"/>
  <c r="M207" i="1"/>
  <c r="M209" i="1"/>
  <c r="M215" i="1"/>
  <c r="M216" i="1"/>
  <c r="M208" i="1"/>
  <c r="U215" i="1"/>
  <c r="M203" i="1"/>
  <c r="I211" i="1"/>
  <c r="I212" i="1"/>
  <c r="I213" i="1"/>
  <c r="I214" i="1"/>
  <c r="I217" i="1"/>
  <c r="I216" i="1"/>
  <c r="U216" i="1" s="1"/>
  <c r="I218" i="1"/>
  <c r="I219" i="1"/>
  <c r="U219" i="1" s="1"/>
  <c r="I220" i="1"/>
  <c r="I221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U245" i="1" s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U269" i="1" s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210" i="1"/>
  <c r="U268" i="1" l="1"/>
  <c r="U267" i="1"/>
  <c r="U260" i="1"/>
  <c r="U266" i="1"/>
  <c r="U258" i="1"/>
  <c r="U263" i="1"/>
  <c r="U265" i="1"/>
  <c r="U261" i="1"/>
  <c r="U257" i="1"/>
  <c r="U264" i="1"/>
  <c r="U262" i="1"/>
  <c r="U259" i="1"/>
  <c r="U254" i="1"/>
  <c r="U256" i="1"/>
  <c r="U255" i="1"/>
  <c r="U253" i="1"/>
  <c r="U246" i="1"/>
  <c r="U252" i="1"/>
  <c r="U247" i="1"/>
  <c r="U251" i="1"/>
  <c r="U250" i="1"/>
  <c r="U249" i="1"/>
  <c r="U248" i="1"/>
  <c r="U222" i="1"/>
  <c r="T223" i="1"/>
  <c r="U220" i="1"/>
  <c r="U221" i="1"/>
  <c r="U218" i="1"/>
  <c r="U217" i="1"/>
  <c r="U214" i="1"/>
  <c r="U213" i="1"/>
  <c r="U212" i="1"/>
  <c r="U210" i="1"/>
  <c r="U211" i="1"/>
  <c r="U223" i="1" l="1"/>
  <c r="T224" i="1"/>
  <c r="I209" i="1"/>
  <c r="U209" i="1" s="1"/>
  <c r="I208" i="1"/>
  <c r="U208" i="1" s="1"/>
  <c r="I206" i="1"/>
  <c r="I207" i="1"/>
  <c r="U207" i="1" s="1"/>
  <c r="T225" i="1" l="1"/>
  <c r="U224" i="1"/>
  <c r="H205" i="1"/>
  <c r="I205" i="1" s="1"/>
  <c r="I204" i="1"/>
  <c r="T226" i="1" l="1"/>
  <c r="U225" i="1"/>
  <c r="U206" i="1"/>
  <c r="U205" i="1"/>
  <c r="U204" i="1"/>
  <c r="N199" i="1"/>
  <c r="M199" i="1" s="1"/>
  <c r="N201" i="1"/>
  <c r="M201" i="1" s="1"/>
  <c r="N200" i="1"/>
  <c r="M200" i="1" s="1"/>
  <c r="I203" i="1"/>
  <c r="I202" i="1"/>
  <c r="I201" i="1"/>
  <c r="I200" i="1"/>
  <c r="T227" i="1" l="1"/>
  <c r="U226" i="1"/>
  <c r="M202" i="1"/>
  <c r="U203" i="1"/>
  <c r="U201" i="1"/>
  <c r="U200" i="1"/>
  <c r="U202" i="1"/>
  <c r="T228" i="1" l="1"/>
  <c r="U227" i="1"/>
  <c r="I199" i="1"/>
  <c r="U228" i="1" l="1"/>
  <c r="T229" i="1"/>
  <c r="U199" i="1"/>
  <c r="N195" i="1"/>
  <c r="M195" i="1" s="1"/>
  <c r="M196" i="1"/>
  <c r="N197" i="1"/>
  <c r="M197" i="1" s="1"/>
  <c r="N198" i="1"/>
  <c r="M198" i="1" s="1"/>
  <c r="N194" i="1"/>
  <c r="M194" i="1" s="1"/>
  <c r="I192" i="1"/>
  <c r="I193" i="1"/>
  <c r="I194" i="1"/>
  <c r="I195" i="1"/>
  <c r="I196" i="1"/>
  <c r="I197" i="1"/>
  <c r="I198" i="1"/>
  <c r="I191" i="1"/>
  <c r="N183" i="1"/>
  <c r="N171" i="1"/>
  <c r="I186" i="1"/>
  <c r="I183" i="1"/>
  <c r="I176" i="1"/>
  <c r="G171" i="1"/>
  <c r="I171" i="1" s="1"/>
  <c r="I165" i="1"/>
  <c r="T230" i="1" l="1"/>
  <c r="U229" i="1"/>
  <c r="U196" i="1"/>
  <c r="U197" i="1"/>
  <c r="U198" i="1"/>
  <c r="U194" i="1"/>
  <c r="U195" i="1"/>
  <c r="T231" i="1" l="1"/>
  <c r="U230" i="1"/>
  <c r="U193" i="1"/>
  <c r="U191" i="1"/>
  <c r="U192" i="1"/>
  <c r="G190" i="1"/>
  <c r="G189" i="1"/>
  <c r="T232" i="1" l="1"/>
  <c r="U231" i="1"/>
  <c r="U190" i="1"/>
  <c r="U189" i="1"/>
  <c r="U188" i="1"/>
  <c r="C31" i="2"/>
  <c r="C30" i="2"/>
  <c r="C29" i="2"/>
  <c r="C28" i="2"/>
  <c r="U232" i="1" l="1"/>
  <c r="T233" i="1"/>
  <c r="G187" i="1"/>
  <c r="G185" i="1"/>
  <c r="G184" i="1"/>
  <c r="G182" i="1"/>
  <c r="G181" i="1"/>
  <c r="G180" i="1"/>
  <c r="G179" i="1"/>
  <c r="G178" i="1"/>
  <c r="G177" i="1"/>
  <c r="G175" i="1"/>
  <c r="G174" i="1"/>
  <c r="G173" i="1"/>
  <c r="G172" i="1"/>
  <c r="G170" i="1"/>
  <c r="G169" i="1"/>
  <c r="T234" i="1" l="1"/>
  <c r="U233" i="1"/>
  <c r="U187" i="1"/>
  <c r="U186" i="1"/>
  <c r="U184" i="1"/>
  <c r="U185" i="1"/>
  <c r="U183" i="1"/>
  <c r="U182" i="1"/>
  <c r="U181" i="1"/>
  <c r="U175" i="1"/>
  <c r="U180" i="1"/>
  <c r="U178" i="1"/>
  <c r="U174" i="1"/>
  <c r="U179" i="1"/>
  <c r="U177" i="1"/>
  <c r="U176" i="1"/>
  <c r="U173" i="1"/>
  <c r="G168" i="1"/>
  <c r="G164" i="1"/>
  <c r="U234" i="1" l="1"/>
  <c r="T235" i="1"/>
  <c r="U172" i="1"/>
  <c r="U170" i="1"/>
  <c r="U169" i="1"/>
  <c r="U171" i="1"/>
  <c r="U165" i="1"/>
  <c r="U166" i="1"/>
  <c r="U168" i="1"/>
  <c r="U167" i="1"/>
  <c r="U164" i="1"/>
  <c r="G163" i="1"/>
  <c r="G162" i="1"/>
  <c r="G161" i="1"/>
  <c r="G160" i="1"/>
  <c r="U235" i="1" l="1"/>
  <c r="T236" i="1"/>
  <c r="U163" i="1"/>
  <c r="U162" i="1"/>
  <c r="U161" i="1"/>
  <c r="U160" i="1"/>
  <c r="G159" i="1"/>
  <c r="G158" i="1"/>
  <c r="T237" i="1" l="1"/>
  <c r="U236" i="1"/>
  <c r="G157" i="1"/>
  <c r="G156" i="1"/>
  <c r="G155" i="1"/>
  <c r="G153" i="1"/>
  <c r="G151" i="1"/>
  <c r="M142" i="1"/>
  <c r="M144" i="1"/>
  <c r="M148" i="1"/>
  <c r="M149" i="1"/>
  <c r="G144" i="1"/>
  <c r="G147" i="1"/>
  <c r="G146" i="1"/>
  <c r="G145" i="1"/>
  <c r="G143" i="1"/>
  <c r="G142" i="1"/>
  <c r="T238" i="1" l="1"/>
  <c r="U237" i="1"/>
  <c r="U159" i="1"/>
  <c r="U158" i="1"/>
  <c r="M146" i="1"/>
  <c r="M150" i="1"/>
  <c r="M143" i="1"/>
  <c r="M147" i="1"/>
  <c r="M145" i="1"/>
  <c r="U157" i="1"/>
  <c r="U156" i="1"/>
  <c r="U155" i="1"/>
  <c r="U154" i="1"/>
  <c r="U153" i="1"/>
  <c r="U152" i="1"/>
  <c r="U150" i="1"/>
  <c r="U151" i="1"/>
  <c r="U145" i="1"/>
  <c r="U146" i="1"/>
  <c r="U142" i="1"/>
  <c r="U147" i="1"/>
  <c r="U143" i="1"/>
  <c r="U144" i="1"/>
  <c r="T239" i="1" l="1"/>
  <c r="U238" i="1"/>
  <c r="G149" i="1"/>
  <c r="G148" i="1"/>
  <c r="T240" i="1" l="1"/>
  <c r="U239" i="1"/>
  <c r="G140" i="1"/>
  <c r="U240" i="1" l="1"/>
  <c r="T241" i="1"/>
  <c r="M141" i="1"/>
  <c r="M138" i="1"/>
  <c r="U149" i="1"/>
  <c r="U148" i="1"/>
  <c r="U140" i="1"/>
  <c r="U141" i="1"/>
  <c r="T242" i="1" l="1"/>
  <c r="U241" i="1"/>
  <c r="G139" i="1"/>
  <c r="T243" i="1" l="1"/>
  <c r="U242" i="1"/>
  <c r="U139" i="1"/>
  <c r="G138" i="1"/>
  <c r="T244" i="1" l="1"/>
  <c r="U244" i="1" s="1"/>
  <c r="U243" i="1"/>
  <c r="U138" i="1"/>
  <c r="G137" i="1" l="1"/>
  <c r="G136" i="1"/>
  <c r="U137" i="1" l="1"/>
  <c r="U136" i="1"/>
  <c r="G135" i="1"/>
  <c r="G134" i="1"/>
  <c r="M133" i="1" l="1"/>
  <c r="U135" i="1"/>
  <c r="G133" i="1"/>
  <c r="U134" i="1" l="1"/>
  <c r="U133" i="1"/>
  <c r="C27" i="2"/>
  <c r="C26" i="2"/>
  <c r="G132" i="1"/>
  <c r="G131" i="1"/>
  <c r="G129" i="1"/>
  <c r="G128" i="1"/>
  <c r="G127" i="1"/>
  <c r="G126" i="1"/>
  <c r="G125" i="1"/>
  <c r="U128" i="1" l="1"/>
  <c r="U130" i="1"/>
  <c r="U129" i="1"/>
  <c r="U131" i="1"/>
  <c r="U132" i="1"/>
  <c r="U127" i="1"/>
  <c r="U126" i="1"/>
  <c r="G124" i="1"/>
  <c r="G123" i="1"/>
  <c r="G122" i="1"/>
  <c r="G121" i="1"/>
  <c r="M120" i="1"/>
  <c r="G120" i="1"/>
  <c r="M115" i="1" l="1"/>
  <c r="M116" i="1"/>
  <c r="M83" i="1"/>
  <c r="U125" i="1"/>
  <c r="U124" i="1"/>
  <c r="U121" i="1"/>
  <c r="U123" i="1"/>
  <c r="U122" i="1"/>
  <c r="U120" i="1"/>
  <c r="G119" i="1"/>
  <c r="G118" i="1"/>
  <c r="U119" i="1" l="1"/>
  <c r="U118" i="1"/>
  <c r="G117" i="1"/>
  <c r="G114" i="1"/>
  <c r="G113" i="1"/>
  <c r="G112" i="1"/>
  <c r="G111" i="1"/>
  <c r="U117" i="1" l="1"/>
  <c r="U114" i="1"/>
  <c r="M27" i="1"/>
  <c r="U113" i="1"/>
  <c r="U112" i="1"/>
  <c r="G110" i="1"/>
  <c r="U111" i="1" l="1"/>
  <c r="U110" i="1"/>
  <c r="C25" i="2"/>
  <c r="C24" i="2"/>
  <c r="C23" i="2"/>
  <c r="G107" i="1"/>
  <c r="G106" i="1"/>
  <c r="G104" i="1"/>
  <c r="G103" i="1"/>
  <c r="G102" i="1"/>
  <c r="G101" i="1"/>
  <c r="G100" i="1"/>
  <c r="G99" i="1"/>
  <c r="G98" i="1"/>
  <c r="M88" i="1" l="1"/>
  <c r="M26" i="1"/>
  <c r="U109" i="1"/>
  <c r="U108" i="1"/>
  <c r="U107" i="1"/>
  <c r="M81" i="1"/>
  <c r="U106" i="1"/>
  <c r="U105" i="1"/>
  <c r="U104" i="1"/>
  <c r="U103" i="1"/>
  <c r="U102" i="1"/>
  <c r="U101" i="1"/>
  <c r="U88" i="1"/>
  <c r="M34" i="1"/>
  <c r="U100" i="1" l="1"/>
  <c r="U99" i="1"/>
  <c r="U98" i="1"/>
  <c r="U96" i="1"/>
  <c r="U97" i="1"/>
  <c r="M77" i="1"/>
  <c r="U95" i="1"/>
  <c r="U94" i="1"/>
  <c r="G91" i="1"/>
  <c r="G90" i="1"/>
  <c r="M33" i="1" l="1"/>
  <c r="U93" i="1"/>
  <c r="U90" i="1"/>
  <c r="M91" i="1"/>
  <c r="U91" i="1"/>
  <c r="U92" i="1"/>
  <c r="M85" i="1"/>
  <c r="M90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7" i="1"/>
  <c r="M118" i="1"/>
  <c r="M119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4" i="1"/>
  <c r="M135" i="1"/>
  <c r="M136" i="1"/>
  <c r="M137" i="1"/>
  <c r="M139" i="1"/>
  <c r="M14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205" i="1"/>
  <c r="M211" i="1"/>
  <c r="M212" i="1"/>
  <c r="M213" i="1"/>
  <c r="M87" i="1" l="1"/>
  <c r="M89" i="1"/>
  <c r="U89" i="1"/>
  <c r="M82" i="1" l="1"/>
  <c r="M86" i="1"/>
  <c r="M84" i="1"/>
  <c r="U87" i="1"/>
  <c r="U86" i="1"/>
  <c r="U85" i="1"/>
  <c r="U84" i="1"/>
  <c r="C22" i="2"/>
  <c r="U83" i="1" l="1"/>
  <c r="U82" i="1"/>
  <c r="C21" i="2"/>
  <c r="M78" i="1" l="1"/>
  <c r="M80" i="1"/>
  <c r="M79" i="1"/>
  <c r="U79" i="1"/>
  <c r="U80" i="1"/>
  <c r="U81" i="1"/>
  <c r="C18" i="2"/>
  <c r="C19" i="2"/>
  <c r="C20" i="2"/>
  <c r="U78" i="1" l="1"/>
  <c r="U77" i="1"/>
  <c r="M76" i="1"/>
  <c r="M75" i="1"/>
  <c r="M73" i="1"/>
  <c r="M72" i="1"/>
  <c r="M70" i="1"/>
  <c r="J69" i="1" l="1"/>
  <c r="D35" i="1"/>
  <c r="D67" i="1"/>
  <c r="J66" i="1"/>
  <c r="D66" i="1"/>
  <c r="M64" i="1"/>
  <c r="C63" i="1"/>
  <c r="D62" i="1"/>
  <c r="M62" i="1" s="1"/>
  <c r="D60" i="1"/>
  <c r="D59" i="1"/>
  <c r="D58" i="1"/>
  <c r="D56" i="1"/>
  <c r="M49" i="1"/>
  <c r="M51" i="1"/>
  <c r="C38" i="1"/>
  <c r="J37" i="1"/>
  <c r="M47" i="1" l="1"/>
  <c r="M71" i="1"/>
  <c r="M74" i="1"/>
  <c r="U75" i="1"/>
  <c r="U76" i="1"/>
  <c r="U73" i="1"/>
  <c r="U74" i="1"/>
  <c r="M61" i="1"/>
  <c r="M55" i="1"/>
  <c r="M60" i="1"/>
  <c r="U72" i="1"/>
  <c r="M59" i="1"/>
  <c r="M63" i="1"/>
  <c r="M65" i="1"/>
  <c r="M36" i="1"/>
  <c r="M35" i="1"/>
  <c r="M66" i="1"/>
  <c r="M69" i="1"/>
  <c r="M68" i="1"/>
  <c r="M67" i="1"/>
  <c r="M48" i="1"/>
  <c r="M40" i="1"/>
  <c r="M43" i="1"/>
  <c r="M50" i="1"/>
  <c r="M38" i="1"/>
  <c r="M58" i="1"/>
  <c r="M57" i="1"/>
  <c r="M56" i="1"/>
  <c r="M54" i="1"/>
  <c r="M53" i="1"/>
  <c r="M52" i="1"/>
  <c r="M46" i="1"/>
  <c r="M39" i="1"/>
  <c r="M37" i="1"/>
  <c r="C17" i="2"/>
  <c r="C4" i="2"/>
  <c r="M42" i="1" l="1"/>
  <c r="M44" i="1"/>
  <c r="M45" i="1"/>
  <c r="N42" i="1"/>
  <c r="D24" i="1" l="1"/>
  <c r="D23" i="1"/>
  <c r="C23" i="1"/>
  <c r="C3" i="1"/>
  <c r="C4" i="1"/>
  <c r="G4" i="1"/>
  <c r="G17" i="1"/>
  <c r="M18" i="1"/>
  <c r="N20" i="1"/>
  <c r="N19" i="1"/>
  <c r="M14" i="1"/>
  <c r="M15" i="1"/>
  <c r="M16" i="1"/>
  <c r="U44" i="1" l="1"/>
  <c r="M41" i="1"/>
  <c r="U41" i="1"/>
  <c r="U45" i="1"/>
  <c r="U20" i="1"/>
  <c r="M22" i="1"/>
  <c r="U40" i="1"/>
  <c r="U43" i="1"/>
  <c r="U42" i="1"/>
  <c r="M20" i="1"/>
  <c r="U19" i="1"/>
  <c r="M19" i="1"/>
  <c r="N3" i="1"/>
  <c r="G3" i="1"/>
  <c r="N5" i="1"/>
  <c r="G6" i="1"/>
  <c r="G5" i="1"/>
  <c r="U17" i="1" l="1"/>
  <c r="U12" i="1"/>
  <c r="M17" i="1"/>
  <c r="U16" i="1"/>
  <c r="M6" i="1"/>
  <c r="N13" i="1"/>
  <c r="N12" i="1"/>
  <c r="N10" i="1"/>
  <c r="N11" i="1"/>
  <c r="N8" i="1"/>
  <c r="N7" i="1"/>
  <c r="N2" i="1"/>
  <c r="U13" i="1" l="1"/>
  <c r="U14" i="1"/>
  <c r="M12" i="1"/>
  <c r="U15" i="1"/>
  <c r="C3" i="2"/>
  <c r="M11" i="1" l="1"/>
  <c r="U11" i="1"/>
  <c r="M10" i="1"/>
  <c r="M7" i="1"/>
  <c r="C2" i="2"/>
  <c r="M2" i="1" l="1"/>
  <c r="M3" i="1"/>
  <c r="M5" i="1"/>
  <c r="M8" i="1"/>
  <c r="M9" i="1"/>
  <c r="M13" i="1"/>
  <c r="Y1" i="1" l="1"/>
  <c r="X1" i="1"/>
  <c r="U1" i="1"/>
  <c r="V1" i="1"/>
  <c r="E1" i="2"/>
  <c r="G2" i="2" l="1"/>
  <c r="W1" i="1" l="1"/>
  <c r="G3" i="2" l="1"/>
</calcChain>
</file>

<file path=xl/sharedStrings.xml><?xml version="1.0" encoding="utf-8"?>
<sst xmlns="http://schemas.openxmlformats.org/spreadsheetml/2006/main" count="501" uniqueCount="327">
  <si>
    <t>日期</t>
    <phoneticPr fontId="1" type="noConversion"/>
  </si>
  <si>
    <t>合约</t>
    <phoneticPr fontId="1" type="noConversion"/>
  </si>
  <si>
    <t>开仓</t>
    <phoneticPr fontId="1" type="noConversion"/>
  </si>
  <si>
    <t>开仓价</t>
    <phoneticPr fontId="1" type="noConversion"/>
  </si>
  <si>
    <t>平仓盈亏</t>
    <phoneticPr fontId="1" type="noConversion"/>
  </si>
  <si>
    <t>平仓价</t>
    <phoneticPr fontId="1" type="noConversion"/>
  </si>
  <si>
    <t>交易单位</t>
    <phoneticPr fontId="1" type="noConversion"/>
  </si>
  <si>
    <t>Date</t>
    <phoneticPr fontId="1" type="noConversion"/>
  </si>
  <si>
    <t>Capital</t>
    <phoneticPr fontId="1" type="noConversion"/>
  </si>
  <si>
    <t>NV</t>
    <phoneticPr fontId="1" type="noConversion"/>
  </si>
  <si>
    <t>胜率</t>
  </si>
  <si>
    <t>盈亏比</t>
    <phoneticPr fontId="1" type="noConversion"/>
  </si>
  <si>
    <t>HC1805</t>
    <phoneticPr fontId="1" type="noConversion"/>
  </si>
  <si>
    <t>RB1805</t>
    <phoneticPr fontId="1" type="noConversion"/>
  </si>
  <si>
    <t>J1805</t>
    <phoneticPr fontId="1" type="noConversion"/>
  </si>
  <si>
    <t>V1805</t>
    <phoneticPr fontId="1" type="noConversion"/>
  </si>
  <si>
    <t>L1805</t>
    <phoneticPr fontId="1" type="noConversion"/>
  </si>
  <si>
    <t>RU1805</t>
    <phoneticPr fontId="1" type="noConversion"/>
  </si>
  <si>
    <t>MA805</t>
    <phoneticPr fontId="1" type="noConversion"/>
  </si>
  <si>
    <t>平仓日期</t>
    <phoneticPr fontId="1" type="noConversion"/>
  </si>
  <si>
    <t>CS1805</t>
    <phoneticPr fontId="1" type="noConversion"/>
  </si>
  <si>
    <t>V1805</t>
    <phoneticPr fontId="1" type="noConversion"/>
  </si>
  <si>
    <t>·</t>
    <phoneticPr fontId="1" type="noConversion"/>
  </si>
  <si>
    <t>NI1805</t>
    <phoneticPr fontId="1" type="noConversion"/>
  </si>
  <si>
    <t>BU1806</t>
    <phoneticPr fontId="1" type="noConversion"/>
  </si>
  <si>
    <t>RU1805</t>
    <phoneticPr fontId="1" type="noConversion"/>
  </si>
  <si>
    <t>CS1805</t>
    <phoneticPr fontId="1" type="noConversion"/>
  </si>
  <si>
    <t>TA805</t>
    <phoneticPr fontId="1" type="noConversion"/>
  </si>
  <si>
    <t>RM805</t>
    <phoneticPr fontId="1" type="noConversion"/>
  </si>
  <si>
    <t>IC1803</t>
    <phoneticPr fontId="1" type="noConversion"/>
  </si>
  <si>
    <t>SF805</t>
    <phoneticPr fontId="1" type="noConversion"/>
  </si>
  <si>
    <t>CU1803</t>
    <phoneticPr fontId="1" type="noConversion"/>
  </si>
  <si>
    <t>AG1806</t>
    <phoneticPr fontId="1" type="noConversion"/>
  </si>
  <si>
    <t>FG805</t>
    <phoneticPr fontId="1" type="noConversion"/>
  </si>
  <si>
    <t>ZC805</t>
    <phoneticPr fontId="1" type="noConversion"/>
  </si>
  <si>
    <t>AU1806</t>
    <phoneticPr fontId="1" type="noConversion"/>
  </si>
  <si>
    <t>BU1805</t>
    <phoneticPr fontId="1" type="noConversion"/>
  </si>
  <si>
    <t>BU1806</t>
    <phoneticPr fontId="1" type="noConversion"/>
  </si>
  <si>
    <t>RB1805</t>
    <phoneticPr fontId="1" type="noConversion"/>
  </si>
  <si>
    <t>RU1805</t>
    <phoneticPr fontId="1" type="noConversion"/>
  </si>
  <si>
    <t>MA805</t>
    <phoneticPr fontId="1" type="noConversion"/>
  </si>
  <si>
    <t>开仓时间</t>
    <phoneticPr fontId="1" type="noConversion"/>
  </si>
  <si>
    <t>平仓时间</t>
    <phoneticPr fontId="1" type="noConversion"/>
  </si>
  <si>
    <t>CS1805</t>
    <phoneticPr fontId="1" type="noConversion"/>
  </si>
  <si>
    <t>M1805</t>
    <phoneticPr fontId="1" type="noConversion"/>
  </si>
  <si>
    <t>PP1805</t>
    <phoneticPr fontId="1" type="noConversion"/>
  </si>
  <si>
    <t>V1805</t>
    <phoneticPr fontId="1" type="noConversion"/>
  </si>
  <si>
    <t>V1805</t>
    <phoneticPr fontId="1" type="noConversion"/>
  </si>
  <si>
    <t>NI1805</t>
    <phoneticPr fontId="1" type="noConversion"/>
  </si>
  <si>
    <t>RM805</t>
    <phoneticPr fontId="1" type="noConversion"/>
  </si>
  <si>
    <t>HC1805</t>
    <phoneticPr fontId="1" type="noConversion"/>
  </si>
  <si>
    <t>JM1805</t>
    <phoneticPr fontId="1" type="noConversion"/>
  </si>
  <si>
    <t>RB1805</t>
  </si>
  <si>
    <t>CU1803</t>
  </si>
  <si>
    <t>TA805</t>
  </si>
  <si>
    <t>RM805</t>
  </si>
  <si>
    <t>CS1805</t>
  </si>
  <si>
    <t>NI1805</t>
  </si>
  <si>
    <t>IC1803</t>
  </si>
  <si>
    <t>SF805</t>
  </si>
  <si>
    <t>AU1806</t>
  </si>
  <si>
    <t>BU1806</t>
  </si>
  <si>
    <t>MA805</t>
  </si>
  <si>
    <t>M1805</t>
  </si>
  <si>
    <t>HC1805</t>
  </si>
  <si>
    <t>I1805</t>
    <phoneticPr fontId="1" type="noConversion"/>
  </si>
  <si>
    <t>ZN1805</t>
    <phoneticPr fontId="1" type="noConversion"/>
  </si>
  <si>
    <t>TA805</t>
    <phoneticPr fontId="1" type="noConversion"/>
  </si>
  <si>
    <t>BU1806</t>
    <phoneticPr fontId="1" type="noConversion"/>
  </si>
  <si>
    <t>IC1803</t>
    <phoneticPr fontId="1" type="noConversion"/>
  </si>
  <si>
    <t>PP1805</t>
    <phoneticPr fontId="1" type="noConversion"/>
  </si>
  <si>
    <t>NI1805</t>
    <phoneticPr fontId="1" type="noConversion"/>
  </si>
  <si>
    <t>SF805</t>
    <phoneticPr fontId="1" type="noConversion"/>
  </si>
  <si>
    <t>M1805</t>
    <phoneticPr fontId="1" type="noConversion"/>
  </si>
  <si>
    <t>P1805</t>
    <phoneticPr fontId="1" type="noConversion"/>
  </si>
  <si>
    <t>M1805</t>
    <phoneticPr fontId="1" type="noConversion"/>
  </si>
  <si>
    <t>NI1805</t>
    <phoneticPr fontId="1" type="noConversion"/>
  </si>
  <si>
    <t>PP1805</t>
    <phoneticPr fontId="1" type="noConversion"/>
  </si>
  <si>
    <t>JM1805</t>
    <phoneticPr fontId="1" type="noConversion"/>
  </si>
  <si>
    <t>MA805</t>
    <phoneticPr fontId="1" type="noConversion"/>
  </si>
  <si>
    <t>P1805</t>
    <phoneticPr fontId="1" type="noConversion"/>
  </si>
  <si>
    <t>SF805</t>
    <phoneticPr fontId="1" type="noConversion"/>
  </si>
  <si>
    <t>TA805</t>
    <phoneticPr fontId="1" type="noConversion"/>
  </si>
  <si>
    <t>ZN1805</t>
    <phoneticPr fontId="1" type="noConversion"/>
  </si>
  <si>
    <t>L1805</t>
    <phoneticPr fontId="1" type="noConversion"/>
  </si>
  <si>
    <t>FG805</t>
    <phoneticPr fontId="1" type="noConversion"/>
  </si>
  <si>
    <t>PP1805</t>
    <phoneticPr fontId="1" type="noConversion"/>
  </si>
  <si>
    <t>P1805</t>
  </si>
  <si>
    <t>P1805</t>
    <phoneticPr fontId="1" type="noConversion"/>
  </si>
  <si>
    <t>开仓日</t>
    <phoneticPr fontId="1" type="noConversion"/>
  </si>
  <si>
    <t>CS1805</t>
    <phoneticPr fontId="1" type="noConversion"/>
  </si>
  <si>
    <t>T1803</t>
    <phoneticPr fontId="1" type="noConversion"/>
  </si>
  <si>
    <t>TF1803</t>
    <phoneticPr fontId="1" type="noConversion"/>
  </si>
  <si>
    <t>IH1803</t>
  </si>
  <si>
    <t>IH1803</t>
    <phoneticPr fontId="1" type="noConversion"/>
  </si>
  <si>
    <t>Ban List</t>
    <phoneticPr fontId="1" type="noConversion"/>
  </si>
  <si>
    <t>PP1805</t>
    <phoneticPr fontId="1" type="noConversion"/>
  </si>
  <si>
    <t>FG805</t>
    <phoneticPr fontId="1" type="noConversion"/>
  </si>
  <si>
    <t>V1805</t>
    <phoneticPr fontId="1" type="noConversion"/>
  </si>
  <si>
    <t>RU1805</t>
    <phoneticPr fontId="1" type="noConversion"/>
  </si>
  <si>
    <t>AG1806</t>
    <phoneticPr fontId="1" type="noConversion"/>
  </si>
  <si>
    <t>JD1805</t>
    <phoneticPr fontId="1" type="noConversion"/>
  </si>
  <si>
    <t>MA805</t>
    <phoneticPr fontId="1" type="noConversion"/>
  </si>
  <si>
    <t>M1805</t>
    <phoneticPr fontId="1" type="noConversion"/>
  </si>
  <si>
    <t>IF1803</t>
    <phoneticPr fontId="1" type="noConversion"/>
  </si>
  <si>
    <t>ZC805</t>
    <phoneticPr fontId="1" type="noConversion"/>
  </si>
  <si>
    <t>AL1805</t>
    <phoneticPr fontId="1" type="noConversion"/>
  </si>
  <si>
    <t>J1805</t>
    <phoneticPr fontId="1" type="noConversion"/>
  </si>
  <si>
    <t>L1805</t>
    <phoneticPr fontId="1" type="noConversion"/>
  </si>
  <si>
    <t>IF1803</t>
    <phoneticPr fontId="1" type="noConversion"/>
  </si>
  <si>
    <t>IH1803</t>
    <phoneticPr fontId="1" type="noConversion"/>
  </si>
  <si>
    <t>ZN1805</t>
    <phoneticPr fontId="1" type="noConversion"/>
  </si>
  <si>
    <t>BU1806</t>
    <phoneticPr fontId="1" type="noConversion"/>
  </si>
  <si>
    <t>RM805</t>
    <phoneticPr fontId="1" type="noConversion"/>
  </si>
  <si>
    <t>J1805</t>
    <phoneticPr fontId="1" type="noConversion"/>
  </si>
  <si>
    <t>RB1805</t>
    <phoneticPr fontId="1" type="noConversion"/>
  </si>
  <si>
    <t>HC1805</t>
    <phoneticPr fontId="1" type="noConversion"/>
  </si>
  <si>
    <t>M1805</t>
    <phoneticPr fontId="1" type="noConversion"/>
  </si>
  <si>
    <t>T1803</t>
    <phoneticPr fontId="1" type="noConversion"/>
  </si>
  <si>
    <t>SF805</t>
    <phoneticPr fontId="1" type="noConversion"/>
  </si>
  <si>
    <t>MA805</t>
    <phoneticPr fontId="1" type="noConversion"/>
  </si>
  <si>
    <t>JM1805</t>
    <phoneticPr fontId="1" type="noConversion"/>
  </si>
  <si>
    <t>CU1803</t>
    <phoneticPr fontId="1" type="noConversion"/>
  </si>
  <si>
    <t>P1805</t>
    <phoneticPr fontId="1" type="noConversion"/>
  </si>
  <si>
    <t>CS1805</t>
    <phoneticPr fontId="1" type="noConversion"/>
  </si>
  <si>
    <t>T1803</t>
    <phoneticPr fontId="1" type="noConversion"/>
  </si>
  <si>
    <t>J1805</t>
    <phoneticPr fontId="1" type="noConversion"/>
  </si>
  <si>
    <t>JD1805</t>
    <phoneticPr fontId="1" type="noConversion"/>
  </si>
  <si>
    <t>RM805</t>
    <phoneticPr fontId="1" type="noConversion"/>
  </si>
  <si>
    <t>RB1805</t>
    <phoneticPr fontId="1" type="noConversion"/>
  </si>
  <si>
    <t>M1805</t>
    <phoneticPr fontId="1" type="noConversion"/>
  </si>
  <si>
    <t>HC1805</t>
    <phoneticPr fontId="1" type="noConversion"/>
  </si>
  <si>
    <t>ZC805</t>
    <phoneticPr fontId="1" type="noConversion"/>
  </si>
  <si>
    <t>JM1805</t>
    <phoneticPr fontId="1" type="noConversion"/>
  </si>
  <si>
    <t>IF1803</t>
    <phoneticPr fontId="1" type="noConversion"/>
  </si>
  <si>
    <t>AL1805</t>
    <phoneticPr fontId="1" type="noConversion"/>
  </si>
  <si>
    <t>IC1803</t>
    <phoneticPr fontId="1" type="noConversion"/>
  </si>
  <si>
    <t>CU1803</t>
    <phoneticPr fontId="1" type="noConversion"/>
  </si>
  <si>
    <t>BU1806</t>
    <phoneticPr fontId="1" type="noConversion"/>
  </si>
  <si>
    <t>ZN1805</t>
    <phoneticPr fontId="1" type="noConversion"/>
  </si>
  <si>
    <t>P1805</t>
    <phoneticPr fontId="1" type="noConversion"/>
  </si>
  <si>
    <t>SF805</t>
    <phoneticPr fontId="1" type="noConversion"/>
  </si>
  <si>
    <t>J1805</t>
    <phoneticPr fontId="1" type="noConversion"/>
  </si>
  <si>
    <t>JM1805</t>
    <phoneticPr fontId="1" type="noConversion"/>
  </si>
  <si>
    <t>CU1803</t>
    <phoneticPr fontId="1" type="noConversion"/>
  </si>
  <si>
    <t>MA805</t>
    <phoneticPr fontId="1" type="noConversion"/>
  </si>
  <si>
    <t>IC1803</t>
    <phoneticPr fontId="1" type="noConversion"/>
  </si>
  <si>
    <t>IH1803</t>
    <phoneticPr fontId="1" type="noConversion"/>
  </si>
  <si>
    <t>J1805</t>
    <phoneticPr fontId="1" type="noConversion"/>
  </si>
  <si>
    <t>NI1805</t>
    <phoneticPr fontId="1" type="noConversion"/>
  </si>
  <si>
    <t>RM805</t>
    <phoneticPr fontId="1" type="noConversion"/>
  </si>
  <si>
    <t>JM1805</t>
  </si>
  <si>
    <t>JM1805</t>
    <phoneticPr fontId="1" type="noConversion"/>
  </si>
  <si>
    <t>AU1806</t>
    <phoneticPr fontId="1" type="noConversion"/>
  </si>
  <si>
    <t>BU1806</t>
    <phoneticPr fontId="1" type="noConversion"/>
  </si>
  <si>
    <t>HC1805</t>
    <phoneticPr fontId="1" type="noConversion"/>
  </si>
  <si>
    <t>ZN1805</t>
  </si>
  <si>
    <t>ZN1805</t>
    <phoneticPr fontId="1" type="noConversion"/>
  </si>
  <si>
    <t>TA805</t>
    <phoneticPr fontId="1" type="noConversion"/>
  </si>
  <si>
    <t>SF805</t>
    <phoneticPr fontId="1" type="noConversion"/>
  </si>
  <si>
    <t>ZC805</t>
    <phoneticPr fontId="1" type="noConversion"/>
  </si>
  <si>
    <t>JD1805</t>
  </si>
  <si>
    <t>JD1805</t>
    <phoneticPr fontId="1" type="noConversion"/>
  </si>
  <si>
    <t>J1805</t>
  </si>
  <si>
    <t>IF1803</t>
  </si>
  <si>
    <t>AL1805</t>
  </si>
  <si>
    <t>L1805</t>
  </si>
  <si>
    <t>J1805</t>
    <phoneticPr fontId="1" type="noConversion"/>
  </si>
  <si>
    <t>RB1805</t>
    <phoneticPr fontId="1" type="noConversion"/>
  </si>
  <si>
    <t>P1805</t>
    <phoneticPr fontId="1" type="noConversion"/>
  </si>
  <si>
    <t>IF1803</t>
    <phoneticPr fontId="1" type="noConversion"/>
  </si>
  <si>
    <t>I1805</t>
    <phoneticPr fontId="1" type="noConversion"/>
  </si>
  <si>
    <t>MA805</t>
    <phoneticPr fontId="1" type="noConversion"/>
  </si>
  <si>
    <t>AU1806</t>
    <phoneticPr fontId="1" type="noConversion"/>
  </si>
  <si>
    <t>CS1805</t>
    <phoneticPr fontId="1" type="noConversion"/>
  </si>
  <si>
    <t>AL1805</t>
    <phoneticPr fontId="1" type="noConversion"/>
  </si>
  <si>
    <t>SF805</t>
    <phoneticPr fontId="1" type="noConversion"/>
  </si>
  <si>
    <t>I1805</t>
    <phoneticPr fontId="1" type="noConversion"/>
  </si>
  <si>
    <t>IH1803</t>
    <phoneticPr fontId="1" type="noConversion"/>
  </si>
  <si>
    <t>HC1805</t>
    <phoneticPr fontId="1" type="noConversion"/>
  </si>
  <si>
    <t>RB1805</t>
    <phoneticPr fontId="1" type="noConversion"/>
  </si>
  <si>
    <t>实际仓位</t>
    <phoneticPr fontId="1" type="noConversion"/>
  </si>
  <si>
    <t>初始仓位</t>
    <phoneticPr fontId="1" type="noConversion"/>
  </si>
  <si>
    <t>补仓数</t>
    <phoneticPr fontId="1" type="noConversion"/>
  </si>
  <si>
    <t>补仓日</t>
    <phoneticPr fontId="1" type="noConversion"/>
  </si>
  <si>
    <t>补仓时间</t>
    <phoneticPr fontId="1" type="noConversion"/>
  </si>
  <si>
    <t>补仓价格</t>
    <phoneticPr fontId="1" type="noConversion"/>
  </si>
  <si>
    <t>15:00:00（平错)</t>
    <phoneticPr fontId="1" type="noConversion"/>
  </si>
  <si>
    <t>平错了，记最终时间</t>
    <phoneticPr fontId="1" type="noConversion"/>
  </si>
  <si>
    <t>平错，记最终时间</t>
    <phoneticPr fontId="1" type="noConversion"/>
  </si>
  <si>
    <t>缩减系数</t>
    <phoneticPr fontId="1" type="noConversion"/>
  </si>
  <si>
    <t>全平</t>
    <phoneticPr fontId="1" type="noConversion"/>
  </si>
  <si>
    <t>补仓未平</t>
    <phoneticPr fontId="1" type="noConversion"/>
  </si>
  <si>
    <t>M1805</t>
    <phoneticPr fontId="1" type="noConversion"/>
  </si>
  <si>
    <t>CU1803</t>
    <phoneticPr fontId="1" type="noConversion"/>
  </si>
  <si>
    <t>AL1805</t>
    <phoneticPr fontId="1" type="noConversion"/>
  </si>
  <si>
    <t>SF805</t>
    <phoneticPr fontId="1" type="noConversion"/>
  </si>
  <si>
    <t>2018/2/2（补仓2.6，价格同）</t>
    <phoneticPr fontId="1" type="noConversion"/>
  </si>
  <si>
    <t>15:00:00（补仓14:08)</t>
    <phoneticPr fontId="1" type="noConversion"/>
  </si>
  <si>
    <t>CS1805</t>
    <phoneticPr fontId="1" type="noConversion"/>
  </si>
  <si>
    <t>AU1806</t>
    <phoneticPr fontId="1" type="noConversion"/>
  </si>
  <si>
    <t>SF805</t>
    <phoneticPr fontId="1" type="noConversion"/>
  </si>
  <si>
    <t>HC1805</t>
    <phoneticPr fontId="1" type="noConversion"/>
  </si>
  <si>
    <t>J1805</t>
    <phoneticPr fontId="1" type="noConversion"/>
  </si>
  <si>
    <t>JM1805</t>
    <phoneticPr fontId="1" type="noConversion"/>
  </si>
  <si>
    <t>I1805</t>
    <phoneticPr fontId="1" type="noConversion"/>
  </si>
  <si>
    <t>IF1803</t>
    <phoneticPr fontId="1" type="noConversion"/>
  </si>
  <si>
    <t>IH1803</t>
    <phoneticPr fontId="1" type="noConversion"/>
  </si>
  <si>
    <t>AL1805</t>
    <phoneticPr fontId="1" type="noConversion"/>
  </si>
  <si>
    <t>CU1803</t>
    <phoneticPr fontId="1" type="noConversion"/>
  </si>
  <si>
    <t>L1805</t>
    <phoneticPr fontId="1" type="noConversion"/>
  </si>
  <si>
    <t>RM805</t>
    <phoneticPr fontId="1" type="noConversion"/>
  </si>
  <si>
    <t>M</t>
    <phoneticPr fontId="1" type="noConversion"/>
  </si>
  <si>
    <t>M1805</t>
    <phoneticPr fontId="1" type="noConversion"/>
  </si>
  <si>
    <t>MA805</t>
    <phoneticPr fontId="1" type="noConversion"/>
  </si>
  <si>
    <t>P1805</t>
    <phoneticPr fontId="1" type="noConversion"/>
  </si>
  <si>
    <t>交易代码</t>
    <phoneticPr fontId="1" type="noConversion"/>
  </si>
  <si>
    <t>CU</t>
    <phoneticPr fontId="1" type="noConversion"/>
  </si>
  <si>
    <t>AL</t>
    <phoneticPr fontId="1" type="noConversion"/>
  </si>
  <si>
    <t>ZN</t>
    <phoneticPr fontId="1" type="noConversion"/>
  </si>
  <si>
    <t>PB</t>
    <phoneticPr fontId="1" type="noConversion"/>
  </si>
  <si>
    <t>NI</t>
    <phoneticPr fontId="1" type="noConversion"/>
  </si>
  <si>
    <t>SN</t>
    <phoneticPr fontId="1" type="noConversion"/>
  </si>
  <si>
    <t>AU</t>
    <phoneticPr fontId="1" type="noConversion"/>
  </si>
  <si>
    <t>AG</t>
    <phoneticPr fontId="1" type="noConversion"/>
  </si>
  <si>
    <t>RB</t>
    <phoneticPr fontId="1" type="noConversion"/>
  </si>
  <si>
    <t>WR</t>
    <phoneticPr fontId="1" type="noConversion"/>
  </si>
  <si>
    <t>HC</t>
    <phoneticPr fontId="1" type="noConversion"/>
  </si>
  <si>
    <t>FU</t>
    <phoneticPr fontId="1" type="noConversion"/>
  </si>
  <si>
    <t>BU</t>
    <phoneticPr fontId="1" type="noConversion"/>
  </si>
  <si>
    <t>RU</t>
    <phoneticPr fontId="1" type="noConversion"/>
  </si>
  <si>
    <t>WH</t>
    <phoneticPr fontId="1" type="noConversion"/>
  </si>
  <si>
    <t>PM</t>
    <phoneticPr fontId="1" type="noConversion"/>
  </si>
  <si>
    <t>CF</t>
    <phoneticPr fontId="1" type="noConversion"/>
  </si>
  <si>
    <t>SR</t>
    <phoneticPr fontId="1" type="noConversion"/>
  </si>
  <si>
    <t>OI</t>
    <phoneticPr fontId="1" type="noConversion"/>
  </si>
  <si>
    <t>RI</t>
    <phoneticPr fontId="1" type="noConversion"/>
  </si>
  <si>
    <t>RS</t>
    <phoneticPr fontId="1" type="noConversion"/>
  </si>
  <si>
    <t>RM</t>
    <phoneticPr fontId="1" type="noConversion"/>
  </si>
  <si>
    <t>JR</t>
    <phoneticPr fontId="1" type="noConversion"/>
  </si>
  <si>
    <t>LR</t>
    <phoneticPr fontId="1" type="noConversion"/>
  </si>
  <si>
    <t>CY</t>
    <phoneticPr fontId="1" type="noConversion"/>
  </si>
  <si>
    <t>TA</t>
    <phoneticPr fontId="1" type="noConversion"/>
  </si>
  <si>
    <t>MA</t>
    <phoneticPr fontId="1" type="noConversion"/>
  </si>
  <si>
    <t>FG</t>
    <phoneticPr fontId="1" type="noConversion"/>
  </si>
  <si>
    <t>ZC</t>
    <phoneticPr fontId="1" type="noConversion"/>
  </si>
  <si>
    <t>SF</t>
    <phoneticPr fontId="1" type="noConversion"/>
  </si>
  <si>
    <t>SM</t>
    <phoneticPr fontId="1" type="noConversion"/>
  </si>
  <si>
    <t>C</t>
    <phoneticPr fontId="1" type="noConversion"/>
  </si>
  <si>
    <t>CS</t>
    <phoneticPr fontId="1" type="noConversion"/>
  </si>
  <si>
    <t>A</t>
    <phoneticPr fontId="1" type="noConversion"/>
  </si>
  <si>
    <t>B</t>
    <phoneticPr fontId="1" type="noConversion"/>
  </si>
  <si>
    <t>Y</t>
    <phoneticPr fontId="1" type="noConversion"/>
  </si>
  <si>
    <t>P</t>
    <phoneticPr fontId="1" type="noConversion"/>
  </si>
  <si>
    <t>FB</t>
    <phoneticPr fontId="1" type="noConversion"/>
  </si>
  <si>
    <t>BB</t>
    <phoneticPr fontId="1" type="noConversion"/>
  </si>
  <si>
    <t>JD</t>
    <phoneticPr fontId="1" type="noConversion"/>
  </si>
  <si>
    <t>L</t>
    <phoneticPr fontId="1" type="noConversion"/>
  </si>
  <si>
    <t>V</t>
    <phoneticPr fontId="1" type="noConversion"/>
  </si>
  <si>
    <t>PP</t>
    <phoneticPr fontId="1" type="noConversion"/>
  </si>
  <si>
    <t>J</t>
    <phoneticPr fontId="1" type="noConversion"/>
  </si>
  <si>
    <t>JM</t>
    <phoneticPr fontId="1" type="noConversion"/>
  </si>
  <si>
    <t>I</t>
    <phoneticPr fontId="1" type="noConversion"/>
  </si>
  <si>
    <t>IF</t>
    <phoneticPr fontId="1" type="noConversion"/>
  </si>
  <si>
    <t>IC</t>
    <phoneticPr fontId="1" type="noConversion"/>
  </si>
  <si>
    <t>IH</t>
    <phoneticPr fontId="1" type="noConversion"/>
  </si>
  <si>
    <t>TF</t>
    <phoneticPr fontId="1" type="noConversion"/>
  </si>
  <si>
    <t>T</t>
    <phoneticPr fontId="1" type="noConversion"/>
  </si>
  <si>
    <t>乘数</t>
    <phoneticPr fontId="1" type="noConversion"/>
  </si>
  <si>
    <t>HC1805</t>
    <phoneticPr fontId="1" type="noConversion"/>
  </si>
  <si>
    <t>J1805</t>
    <phoneticPr fontId="1" type="noConversion"/>
  </si>
  <si>
    <t>I1805</t>
    <phoneticPr fontId="1" type="noConversion"/>
  </si>
  <si>
    <t/>
  </si>
  <si>
    <t>I1805</t>
  </si>
  <si>
    <t>CU1803</t>
    <phoneticPr fontId="1" type="noConversion"/>
  </si>
  <si>
    <t>NI1805</t>
    <phoneticPr fontId="1" type="noConversion"/>
  </si>
  <si>
    <t>TA805</t>
    <phoneticPr fontId="1" type="noConversion"/>
  </si>
  <si>
    <t>板块</t>
    <phoneticPr fontId="1" type="noConversion"/>
  </si>
  <si>
    <t>IH1803</t>
    <phoneticPr fontId="1" type="noConversion"/>
  </si>
  <si>
    <t>AL1805</t>
    <phoneticPr fontId="1" type="noConversion"/>
  </si>
  <si>
    <t>理论仓位</t>
    <phoneticPr fontId="1" type="noConversion"/>
  </si>
  <si>
    <t>实际平仓盈亏</t>
    <phoneticPr fontId="1" type="noConversion"/>
  </si>
  <si>
    <t>理论平仓盈亏</t>
    <phoneticPr fontId="1" type="noConversion"/>
  </si>
  <si>
    <t>乘数</t>
    <phoneticPr fontId="1" type="noConversion"/>
  </si>
  <si>
    <t>MA805</t>
    <phoneticPr fontId="1" type="noConversion"/>
  </si>
  <si>
    <t>RM805</t>
    <phoneticPr fontId="1" type="noConversion"/>
  </si>
  <si>
    <t>L1805</t>
    <phoneticPr fontId="1" type="noConversion"/>
  </si>
  <si>
    <t>M1805</t>
    <phoneticPr fontId="1" type="noConversion"/>
  </si>
  <si>
    <t>CS1805</t>
    <phoneticPr fontId="1" type="noConversion"/>
  </si>
  <si>
    <t>JM1805</t>
    <phoneticPr fontId="1" type="noConversion"/>
  </si>
  <si>
    <t>BU1806</t>
    <phoneticPr fontId="1" type="noConversion"/>
  </si>
  <si>
    <t>CU1803</t>
    <phoneticPr fontId="1" type="noConversion"/>
  </si>
  <si>
    <t>I1805</t>
    <phoneticPr fontId="1" type="noConversion"/>
  </si>
  <si>
    <t>IH1803</t>
    <phoneticPr fontId="1" type="noConversion"/>
  </si>
  <si>
    <t>MA805</t>
    <phoneticPr fontId="1" type="noConversion"/>
  </si>
  <si>
    <t>J1805</t>
    <phoneticPr fontId="1" type="noConversion"/>
  </si>
  <si>
    <t>JM1805</t>
    <phoneticPr fontId="1" type="noConversion"/>
  </si>
  <si>
    <t>SF805</t>
    <phoneticPr fontId="1" type="noConversion"/>
  </si>
  <si>
    <t>M1805</t>
    <phoneticPr fontId="1" type="noConversion"/>
  </si>
  <si>
    <t>RM805</t>
    <phoneticPr fontId="1" type="noConversion"/>
  </si>
  <si>
    <t>AL1805</t>
    <phoneticPr fontId="1" type="noConversion"/>
  </si>
  <si>
    <t>I1805</t>
    <phoneticPr fontId="1" type="noConversion"/>
  </si>
  <si>
    <t>SF805</t>
    <phoneticPr fontId="1" type="noConversion"/>
  </si>
  <si>
    <t>JD1805</t>
    <phoneticPr fontId="1" type="noConversion"/>
  </si>
  <si>
    <t>NI1805</t>
    <phoneticPr fontId="1" type="noConversion"/>
  </si>
  <si>
    <t>M1805</t>
    <phoneticPr fontId="1" type="noConversion"/>
  </si>
  <si>
    <t>RM805</t>
    <phoneticPr fontId="1" type="noConversion"/>
  </si>
  <si>
    <t>JM1805</t>
    <phoneticPr fontId="1" type="noConversion"/>
  </si>
  <si>
    <t>CU1804</t>
    <phoneticPr fontId="1" type="noConversion"/>
  </si>
  <si>
    <t>CS1805</t>
    <phoneticPr fontId="1" type="noConversion"/>
  </si>
  <si>
    <t>RB1805</t>
    <phoneticPr fontId="1" type="noConversion"/>
  </si>
  <si>
    <t>TA805</t>
    <phoneticPr fontId="1" type="noConversion"/>
  </si>
  <si>
    <t>HC1805</t>
    <phoneticPr fontId="1" type="noConversion"/>
  </si>
  <si>
    <t>NI1805</t>
    <phoneticPr fontId="1" type="noConversion"/>
  </si>
  <si>
    <t>MA805</t>
    <phoneticPr fontId="1" type="noConversion"/>
  </si>
  <si>
    <t>AU1806</t>
    <phoneticPr fontId="1" type="noConversion"/>
  </si>
  <si>
    <t>CU1804</t>
  </si>
  <si>
    <t>有色</t>
    <phoneticPr fontId="1" type="noConversion"/>
  </si>
  <si>
    <t>化工</t>
    <phoneticPr fontId="1" type="noConversion"/>
  </si>
  <si>
    <t>农产品</t>
    <phoneticPr fontId="1" type="noConversion"/>
  </si>
  <si>
    <t>黑色</t>
    <phoneticPr fontId="1" type="noConversion"/>
  </si>
  <si>
    <t>金融</t>
    <phoneticPr fontId="1" type="noConversion"/>
  </si>
  <si>
    <t>贵金属</t>
    <phoneticPr fontId="1" type="noConversion"/>
  </si>
  <si>
    <t>实际仓位</t>
    <phoneticPr fontId="1" type="noConversion"/>
  </si>
  <si>
    <t>理论手数</t>
    <phoneticPr fontId="1" type="noConversion"/>
  </si>
  <si>
    <t>MA805</t>
    <phoneticPr fontId="1" type="noConversion"/>
  </si>
  <si>
    <t>AU1806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</si>
</sst>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3" formatCode="_ * #,##0.00_ ;_ * \-#,##0.00_ ;_ * &quot;-&quot;??_ ;_ @_ "/>
    <numFmt numFmtId="176" formatCode="0.0%"/>
    <numFmt numFmtId="177" formatCode="0.000"/>
    <numFmt numFmtId="178" formatCode="0.0000"/>
    <numFmt numFmtId="179" formatCode="0.00_);[Red]\(0.00\)"/>
    <numFmt numFmtId="180" formatCode="_ * #,##0_ ;_ * \-#,##0_ ;_ * &quot;-&quot;??_ ;_ @_ "/>
    <numFmt numFmtId="181" formatCode="h:mm;@"/>
    <numFmt numFmtId="182" formatCode="0_ "/>
  </numFmts>
  <fonts count="10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2"/>
      <scheme val="minor"/>
    </font>
    <font>
      <sz val="11"/>
      <color theme="0"/>
      <name val="等线"/>
      <family val="2"/>
      <scheme val="minor"/>
    </font>
    <font>
      <sz val="11"/>
      <color rgb="FFFF0000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1"/>
      <color rgb="FFFF0000"/>
      <name val="等线"/>
      <family val="3"/>
      <charset val="134"/>
      <scheme val="minor"/>
    </font>
    <font>
      <sz val="11"/>
      <color theme="1"/>
      <name val="等线"/>
      <charset val="134"/>
      <scheme val="minor"/>
    </font>
    <font>
      <sz val="11"/>
      <color rgb="FF000000"/>
      <name val="等线"/>
      <charset val="134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</cellStyleXfs>
  <cellXfs count="89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/>
    <xf numFmtId="177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3" fillId="0" borderId="0" xfId="0" applyFont="1" applyAlignment="1">
      <alignment horizontal="center"/>
    </xf>
    <xf numFmtId="9" fontId="0" fillId="0" borderId="0" xfId="1" applyFont="1" applyAlignment="1"/>
    <xf numFmtId="9" fontId="0" fillId="0" borderId="0" xfId="1" applyNumberFormat="1" applyFont="1" applyAlignment="1"/>
    <xf numFmtId="0" fontId="4" fillId="0" borderId="0" xfId="0" applyFont="1" applyAlignment="1">
      <alignment horizontal="center"/>
    </xf>
    <xf numFmtId="0" fontId="4" fillId="0" borderId="0" xfId="0" applyFont="1"/>
    <xf numFmtId="178" fontId="0" fillId="0" borderId="0" xfId="0" applyNumberFormat="1" applyAlignment="1">
      <alignment horizontal="center"/>
    </xf>
    <xf numFmtId="0" fontId="0" fillId="0" borderId="0" xfId="0" applyBorder="1" applyAlignment="1">
      <alignment horizontal="center"/>
    </xf>
    <xf numFmtId="0" fontId="0" fillId="0" borderId="1" xfId="0" applyFill="1" applyBorder="1" applyAlignment="1">
      <alignment horizontal="center"/>
    </xf>
    <xf numFmtId="179" fontId="0" fillId="0" borderId="0" xfId="1" applyNumberFormat="1" applyFont="1" applyAlignment="1"/>
    <xf numFmtId="0" fontId="0" fillId="0" borderId="0" xfId="0" applyFill="1" applyBorder="1" applyAlignment="1">
      <alignment horizontal="center"/>
    </xf>
    <xf numFmtId="176" fontId="0" fillId="0" borderId="0" xfId="1" applyNumberFormat="1" applyFont="1" applyAlignment="1">
      <alignment horizontal="center"/>
    </xf>
    <xf numFmtId="176" fontId="0" fillId="0" borderId="1" xfId="1" applyNumberFormat="1" applyFont="1" applyBorder="1" applyAlignment="1">
      <alignment horizontal="center"/>
    </xf>
    <xf numFmtId="14" fontId="0" fillId="0" borderId="1" xfId="0" applyNumberFormat="1" applyBorder="1" applyAlignment="1">
      <alignment horizontal="center"/>
    </xf>
    <xf numFmtId="176" fontId="0" fillId="0" borderId="0" xfId="1" applyNumberFormat="1" applyFont="1" applyBorder="1" applyAlignment="1">
      <alignment horizontal="center"/>
    </xf>
    <xf numFmtId="14" fontId="0" fillId="0" borderId="0" xfId="0" applyNumberFormat="1" applyBorder="1" applyAlignment="1">
      <alignment horizontal="center"/>
    </xf>
    <xf numFmtId="0" fontId="0" fillId="0" borderId="0" xfId="0" applyBorder="1"/>
    <xf numFmtId="0" fontId="0" fillId="0" borderId="0" xfId="0" applyFill="1" applyAlignment="1">
      <alignment horizontal="center"/>
    </xf>
    <xf numFmtId="180" fontId="0" fillId="0" borderId="0" xfId="2" applyNumberFormat="1" applyFont="1" applyAlignment="1">
      <alignment horizontal="center"/>
    </xf>
    <xf numFmtId="180" fontId="0" fillId="0" borderId="0" xfId="2" applyNumberFormat="1" applyFont="1" applyAlignment="1"/>
    <xf numFmtId="20" fontId="0" fillId="0" borderId="0" xfId="0" applyNumberFormat="1" applyAlignment="1">
      <alignment horizontal="center"/>
    </xf>
    <xf numFmtId="0" fontId="0" fillId="0" borderId="2" xfId="0" applyBorder="1" applyAlignment="1">
      <alignment horizontal="center"/>
    </xf>
    <xf numFmtId="20" fontId="0" fillId="0" borderId="2" xfId="0" applyNumberFormat="1" applyBorder="1" applyAlignment="1">
      <alignment horizontal="center"/>
    </xf>
    <xf numFmtId="176" fontId="0" fillId="0" borderId="2" xfId="1" applyNumberFormat="1" applyFont="1" applyBorder="1" applyAlignment="1">
      <alignment horizontal="center"/>
    </xf>
    <xf numFmtId="0" fontId="0" fillId="0" borderId="2" xfId="0" applyBorder="1"/>
    <xf numFmtId="20" fontId="0" fillId="0" borderId="1" xfId="0" applyNumberFormat="1" applyBorder="1" applyAlignment="1">
      <alignment horizontal="center"/>
    </xf>
    <xf numFmtId="0" fontId="0" fillId="0" borderId="2" xfId="0" applyFill="1" applyBorder="1" applyAlignment="1">
      <alignment horizontal="center"/>
    </xf>
    <xf numFmtId="20" fontId="0" fillId="0" borderId="0" xfId="0" applyNumberFormat="1" applyBorder="1" applyAlignment="1">
      <alignment horizontal="center"/>
    </xf>
    <xf numFmtId="0" fontId="0" fillId="0" borderId="3" xfId="0" applyBorder="1" applyAlignment="1">
      <alignment horizontal="center"/>
    </xf>
    <xf numFmtId="20" fontId="0" fillId="0" borderId="3" xfId="0" applyNumberFormat="1" applyBorder="1" applyAlignment="1">
      <alignment horizontal="center"/>
    </xf>
    <xf numFmtId="176" fontId="0" fillId="0" borderId="3" xfId="1" applyNumberFormat="1" applyFont="1" applyBorder="1" applyAlignment="1">
      <alignment horizontal="center"/>
    </xf>
    <xf numFmtId="0" fontId="0" fillId="0" borderId="3" xfId="0" applyBorder="1"/>
    <xf numFmtId="14" fontId="0" fillId="0" borderId="3" xfId="0" applyNumberFormat="1" applyBorder="1" applyAlignment="1">
      <alignment horizontal="center"/>
    </xf>
    <xf numFmtId="0" fontId="0" fillId="0" borderId="0" xfId="0" applyFill="1" applyBorder="1"/>
    <xf numFmtId="0" fontId="0" fillId="0" borderId="3" xfId="0" applyFill="1" applyBorder="1" applyAlignment="1">
      <alignment horizontal="center"/>
    </xf>
    <xf numFmtId="180" fontId="0" fillId="0" borderId="1" xfId="2" applyNumberFormat="1" applyFont="1" applyBorder="1" applyAlignment="1"/>
    <xf numFmtId="178" fontId="0" fillId="0" borderId="1" xfId="0" applyNumberFormat="1" applyBorder="1" applyAlignment="1">
      <alignment horizontal="center"/>
    </xf>
    <xf numFmtId="14" fontId="0" fillId="0" borderId="2" xfId="0" applyNumberFormat="1" applyBorder="1" applyAlignment="1">
      <alignment horizontal="center"/>
    </xf>
    <xf numFmtId="0" fontId="0" fillId="0" borderId="0" xfId="0" applyNumberFormat="1" applyAlignment="1">
      <alignment horizontal="center"/>
    </xf>
    <xf numFmtId="181" fontId="0" fillId="0" borderId="0" xfId="0" applyNumberFormat="1" applyAlignment="1">
      <alignment horizontal="center"/>
    </xf>
    <xf numFmtId="181" fontId="0" fillId="0" borderId="1" xfId="0" applyNumberFormat="1" applyBorder="1" applyAlignment="1">
      <alignment horizontal="center"/>
    </xf>
    <xf numFmtId="14" fontId="0" fillId="0" borderId="0" xfId="0" applyNumberFormat="1"/>
    <xf numFmtId="20" fontId="0" fillId="0" borderId="0" xfId="0" applyNumberFormat="1"/>
    <xf numFmtId="14" fontId="0" fillId="0" borderId="1" xfId="0" applyNumberFormat="1" applyBorder="1"/>
    <xf numFmtId="20" fontId="0" fillId="0" borderId="1" xfId="0" applyNumberFormat="1" applyBorder="1"/>
    <xf numFmtId="179" fontId="0" fillId="0" borderId="1" xfId="1" applyNumberFormat="1" applyFont="1" applyBorder="1" applyAlignment="1">
      <alignment horizontal="center"/>
    </xf>
    <xf numFmtId="179" fontId="0" fillId="0" borderId="0" xfId="1" applyNumberFormat="1" applyFont="1" applyAlignment="1">
      <alignment horizontal="center"/>
    </xf>
    <xf numFmtId="179" fontId="0" fillId="0" borderId="3" xfId="1" applyNumberFormat="1" applyFont="1" applyBorder="1" applyAlignment="1">
      <alignment horizontal="center"/>
    </xf>
    <xf numFmtId="179" fontId="0" fillId="0" borderId="0" xfId="1" applyNumberFormat="1" applyFont="1" applyBorder="1" applyAlignment="1">
      <alignment horizontal="center"/>
    </xf>
    <xf numFmtId="179" fontId="0" fillId="0" borderId="2" xfId="1" applyNumberFormat="1" applyFont="1" applyBorder="1" applyAlignment="1">
      <alignment horizontal="center"/>
    </xf>
    <xf numFmtId="182" fontId="0" fillId="0" borderId="0" xfId="0" applyNumberFormat="1"/>
    <xf numFmtId="49" fontId="0" fillId="0" borderId="0" xfId="0" applyNumberFormat="1"/>
    <xf numFmtId="0" fontId="0" fillId="0" borderId="1" xfId="0" applyFont="1" applyBorder="1" applyAlignment="1">
      <alignment horizontal="center"/>
    </xf>
    <xf numFmtId="176" fontId="5" fillId="0" borderId="1" xfId="1" applyNumberFormat="1" applyFont="1" applyBorder="1" applyAlignment="1">
      <alignment horizontal="center"/>
    </xf>
    <xf numFmtId="179" fontId="5" fillId="0" borderId="1" xfId="1" applyNumberFormat="1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5" fillId="0" borderId="1" xfId="0" applyFont="1" applyBorder="1"/>
    <xf numFmtId="0" fontId="6" fillId="0" borderId="1" xfId="0" applyFont="1" applyBorder="1" applyAlignment="1">
      <alignment horizontal="center"/>
    </xf>
    <xf numFmtId="0" fontId="7" fillId="0" borderId="1" xfId="0" applyFont="1" applyBorder="1"/>
    <xf numFmtId="0" fontId="7" fillId="0" borderId="1" xfId="0" applyFont="1" applyBorder="1" applyAlignment="1">
      <alignment horizontal="center"/>
    </xf>
    <xf numFmtId="0" fontId="0" fillId="0" borderId="0" xfId="0" applyFont="1" applyBorder="1" applyAlignment="1">
      <alignment horizontal="center"/>
    </xf>
    <xf numFmtId="0" fontId="0" fillId="0" borderId="0" xfId="0" applyNumberFormat="1"/>
    <xf numFmtId="178" fontId="0" fillId="0" borderId="0" xfId="0" applyNumberFormat="1" applyBorder="1" applyAlignment="1">
      <alignment horizontal="center"/>
    </xf>
    <xf numFmtId="0" fontId="0" fillId="0" borderId="4" xfId="0" applyBorder="1" applyAlignment="1">
      <alignment horizontal="center"/>
    </xf>
    <xf numFmtId="14" fontId="0" fillId="0" borderId="4" xfId="0" applyNumberFormat="1" applyBorder="1" applyAlignment="1">
      <alignment horizontal="center"/>
    </xf>
    <xf numFmtId="20" fontId="0" fillId="0" borderId="4" xfId="0" applyNumberFormat="1" applyBorder="1" applyAlignment="1">
      <alignment horizontal="center"/>
    </xf>
    <xf numFmtId="176" fontId="0" fillId="0" borderId="4" xfId="1" applyNumberFormat="1" applyFont="1" applyBorder="1" applyAlignment="1">
      <alignment horizontal="center"/>
    </xf>
    <xf numFmtId="179" fontId="0" fillId="0" borderId="4" xfId="1" applyNumberFormat="1" applyFont="1" applyBorder="1" applyAlignment="1">
      <alignment horizontal="center"/>
    </xf>
    <xf numFmtId="0" fontId="0" fillId="0" borderId="4" xfId="0" applyFill="1" applyBorder="1" applyAlignment="1">
      <alignment horizontal="center"/>
    </xf>
    <xf numFmtId="0" fontId="0" fillId="0" borderId="4" xfId="0" applyBorder="1"/>
    <xf numFmtId="176" fontId="8" fillId="0" borderId="0" xfId="1" applyNumberFormat="1" applyFont="1" applyBorder="1" applyAlignment="1">
      <alignment horizontal="center"/>
    </xf>
    <xf numFmtId="0" fontId="8" fillId="0" borderId="0" xfId="1" applyNumberFormat="1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Border="1"/>
    <xf numFmtId="0" fontId="8" fillId="0" borderId="0" xfId="0" applyFont="1" applyFill="1" applyBorder="1" applyAlignment="1">
      <alignment horizontal="center"/>
    </xf>
    <xf numFmtId="14" fontId="8" fillId="0" borderId="0" xfId="0" applyNumberFormat="1" applyFont="1" applyBorder="1" applyAlignment="1">
      <alignment horizontal="center"/>
    </xf>
    <xf numFmtId="14" fontId="8" fillId="0" borderId="0" xfId="0" applyNumberFormat="1" applyFont="1" applyBorder="1"/>
    <xf numFmtId="20" fontId="8" fillId="0" borderId="0" xfId="0" applyNumberFormat="1" applyFont="1" applyBorder="1"/>
    <xf numFmtId="0" fontId="8" fillId="0" borderId="0" xfId="0" applyFont="1" applyFill="1" applyBorder="1"/>
    <xf numFmtId="0" fontId="9" fillId="0" borderId="0" xfId="0" applyFont="1" applyBorder="1" applyAlignment="1">
      <alignment horizontal="center" wrapText="1" readingOrder="1"/>
    </xf>
    <xf numFmtId="14" fontId="9" fillId="0" borderId="0" xfId="0" applyNumberFormat="1" applyFont="1" applyBorder="1" applyAlignment="1">
      <alignment horizontal="center" wrapText="1" readingOrder="1"/>
    </xf>
    <xf numFmtId="10" fontId="9" fillId="0" borderId="0" xfId="0" applyNumberFormat="1" applyFont="1" applyBorder="1" applyAlignment="1">
      <alignment horizontal="center" wrapText="1" readingOrder="1"/>
    </xf>
    <xf numFmtId="178" fontId="0" fillId="0" borderId="0" xfId="0" applyNumberFormat="1" applyFill="1" applyBorder="1" applyAlignment="1">
      <alignment horizontal="center"/>
    </xf>
  </cellXfs>
  <cellStyles count="3">
    <cellStyle name="百分比" xfId="1" builtinId="5"/>
    <cellStyle name="常规" xfId="0" builtinId="0"/>
    <cellStyle name="千位分隔" xfId="2" builtinId="3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权益!$C$1</c:f>
              <c:strCache>
                <c:ptCount val="1"/>
                <c:pt idx="0">
                  <c:v>NV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权益!$A$2:$A$31</c:f>
              <c:numCache>
                <c:formatCode>m/d/yyyy</c:formatCode>
                <c:ptCount val="30"/>
                <c:pt idx="0">
                  <c:v>43094</c:v>
                </c:pt>
                <c:pt idx="1">
                  <c:v>43095</c:v>
                </c:pt>
                <c:pt idx="2">
                  <c:v>43096</c:v>
                </c:pt>
                <c:pt idx="3">
                  <c:v>43097</c:v>
                </c:pt>
                <c:pt idx="4">
                  <c:v>43098</c:v>
                </c:pt>
                <c:pt idx="5">
                  <c:v>43101</c:v>
                </c:pt>
                <c:pt idx="6">
                  <c:v>43102</c:v>
                </c:pt>
                <c:pt idx="7">
                  <c:v>43103</c:v>
                </c:pt>
                <c:pt idx="8">
                  <c:v>43104</c:v>
                </c:pt>
                <c:pt idx="9">
                  <c:v>43105</c:v>
                </c:pt>
                <c:pt idx="10">
                  <c:v>43108</c:v>
                </c:pt>
                <c:pt idx="11">
                  <c:v>43109</c:v>
                </c:pt>
                <c:pt idx="12">
                  <c:v>43110</c:v>
                </c:pt>
                <c:pt idx="13">
                  <c:v>43111</c:v>
                </c:pt>
                <c:pt idx="14">
                  <c:v>43112</c:v>
                </c:pt>
                <c:pt idx="15">
                  <c:v>43115</c:v>
                </c:pt>
                <c:pt idx="16">
                  <c:v>43116</c:v>
                </c:pt>
                <c:pt idx="17">
                  <c:v>43117</c:v>
                </c:pt>
                <c:pt idx="18">
                  <c:v>43118</c:v>
                </c:pt>
                <c:pt idx="19">
                  <c:v>43119</c:v>
                </c:pt>
                <c:pt idx="20">
                  <c:v>43122</c:v>
                </c:pt>
                <c:pt idx="21">
                  <c:v>43123</c:v>
                </c:pt>
                <c:pt idx="22">
                  <c:v>43124</c:v>
                </c:pt>
                <c:pt idx="23">
                  <c:v>43125</c:v>
                </c:pt>
                <c:pt idx="24">
                  <c:v>43126</c:v>
                </c:pt>
                <c:pt idx="25">
                  <c:v>43129</c:v>
                </c:pt>
                <c:pt idx="26">
                  <c:v>43130</c:v>
                </c:pt>
                <c:pt idx="27">
                  <c:v>43131</c:v>
                </c:pt>
                <c:pt idx="28">
                  <c:v>43132</c:v>
                </c:pt>
                <c:pt idx="29">
                  <c:v>43133</c:v>
                </c:pt>
              </c:numCache>
            </c:numRef>
          </c:cat>
          <c:val>
            <c:numRef>
              <c:f>权益!$C$2:$C$31</c:f>
              <c:numCache>
                <c:formatCode>0.0000</c:formatCode>
                <c:ptCount val="30"/>
                <c:pt idx="0">
                  <c:v>1</c:v>
                </c:pt>
                <c:pt idx="1">
                  <c:v>0.99183259999999995</c:v>
                </c:pt>
                <c:pt idx="2">
                  <c:v>0.992039</c:v>
                </c:pt>
                <c:pt idx="15">
                  <c:v>0.98367360000000004</c:v>
                </c:pt>
                <c:pt idx="16">
                  <c:v>0.9743676</c:v>
                </c:pt>
                <c:pt idx="17">
                  <c:v>0.96859209999999996</c:v>
                </c:pt>
                <c:pt idx="18">
                  <c:v>0.97040610000000005</c:v>
                </c:pt>
                <c:pt idx="19">
                  <c:v>0.97298989999999996</c:v>
                </c:pt>
                <c:pt idx="20">
                  <c:v>0.97157280000000001</c:v>
                </c:pt>
                <c:pt idx="21">
                  <c:v>0.97568270000000001</c:v>
                </c:pt>
                <c:pt idx="22">
                  <c:v>0.97392330000000005</c:v>
                </c:pt>
                <c:pt idx="23">
                  <c:v>0.97964110000000004</c:v>
                </c:pt>
                <c:pt idx="24">
                  <c:v>0.97484548400000004</c:v>
                </c:pt>
                <c:pt idx="25">
                  <c:v>0.97710112799999993</c:v>
                </c:pt>
                <c:pt idx="26">
                  <c:v>0.97533999199999999</c:v>
                </c:pt>
                <c:pt idx="27">
                  <c:v>0.97128279100000003</c:v>
                </c:pt>
                <c:pt idx="28">
                  <c:v>0.97321309099999997</c:v>
                </c:pt>
                <c:pt idx="29">
                  <c:v>0.97120030000000002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74C-4662-BEE7-8D967E8C46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6696032"/>
        <c:axId val="296697152"/>
      </c:lineChart>
      <c:dateAx>
        <c:axId val="29669603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6697152"/>
        <c:crosses val="autoZero"/>
        <c:auto val="1"/>
        <c:lblOffset val="100"/>
        <c:baseTimeUnit val="days"/>
      </c:dateAx>
      <c:valAx>
        <c:axId val="296697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6696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三均线策略权益曲线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权益!$A$19:$A$44</c:f>
              <c:numCache>
                <c:formatCode>m/d/yyyy</c:formatCode>
                <c:ptCount val="26"/>
                <c:pt idx="0">
                  <c:v>43117</c:v>
                </c:pt>
                <c:pt idx="1">
                  <c:v>43118</c:v>
                </c:pt>
                <c:pt idx="2">
                  <c:v>43119</c:v>
                </c:pt>
                <c:pt idx="3">
                  <c:v>43122</c:v>
                </c:pt>
                <c:pt idx="4">
                  <c:v>43123</c:v>
                </c:pt>
                <c:pt idx="5">
                  <c:v>43124</c:v>
                </c:pt>
                <c:pt idx="6">
                  <c:v>43125</c:v>
                </c:pt>
                <c:pt idx="7">
                  <c:v>43126</c:v>
                </c:pt>
                <c:pt idx="8">
                  <c:v>43129</c:v>
                </c:pt>
                <c:pt idx="9">
                  <c:v>43130</c:v>
                </c:pt>
                <c:pt idx="10">
                  <c:v>43131</c:v>
                </c:pt>
                <c:pt idx="11">
                  <c:v>43132</c:v>
                </c:pt>
                <c:pt idx="12">
                  <c:v>43133</c:v>
                </c:pt>
                <c:pt idx="13">
                  <c:v>43136</c:v>
                </c:pt>
                <c:pt idx="14">
                  <c:v>43137</c:v>
                </c:pt>
                <c:pt idx="15">
                  <c:v>43138</c:v>
                </c:pt>
                <c:pt idx="16">
                  <c:v>43139</c:v>
                </c:pt>
                <c:pt idx="17">
                  <c:v>43140</c:v>
                </c:pt>
                <c:pt idx="18">
                  <c:v>43143</c:v>
                </c:pt>
                <c:pt idx="19">
                  <c:v>43144</c:v>
                </c:pt>
                <c:pt idx="20">
                  <c:v>43145</c:v>
                </c:pt>
                <c:pt idx="21">
                  <c:v>43153</c:v>
                </c:pt>
                <c:pt idx="22">
                  <c:v>43154</c:v>
                </c:pt>
                <c:pt idx="23">
                  <c:v>43157</c:v>
                </c:pt>
                <c:pt idx="24">
                  <c:v>43158</c:v>
                </c:pt>
                <c:pt idx="25">
                  <c:v>43159</c:v>
                </c:pt>
              </c:numCache>
            </c:numRef>
          </c:cat>
          <c:val>
            <c:numRef>
              <c:f>权益!$B$19:$B$44</c:f>
              <c:numCache>
                <c:formatCode>_ * #,##0_ ;_ * \-#,##0_ ;_ * "-"??_ ;_ @_ </c:formatCode>
                <c:ptCount val="26"/>
                <c:pt idx="0">
                  <c:v>9685921</c:v>
                </c:pt>
                <c:pt idx="1">
                  <c:v>9704061</c:v>
                </c:pt>
                <c:pt idx="2">
                  <c:v>9729899</c:v>
                </c:pt>
                <c:pt idx="3">
                  <c:v>9715728</c:v>
                </c:pt>
                <c:pt idx="4">
                  <c:v>9756827</c:v>
                </c:pt>
                <c:pt idx="5">
                  <c:v>9739233</c:v>
                </c:pt>
                <c:pt idx="6">
                  <c:v>9796411</c:v>
                </c:pt>
                <c:pt idx="7">
                  <c:v>9748454.8399999999</c:v>
                </c:pt>
                <c:pt idx="8">
                  <c:v>9771011.2799999993</c:v>
                </c:pt>
                <c:pt idx="9">
                  <c:v>9753399.9199999999</c:v>
                </c:pt>
                <c:pt idx="10">
                  <c:v>9712827.9100000001</c:v>
                </c:pt>
                <c:pt idx="11">
                  <c:v>9732130.9100000001</c:v>
                </c:pt>
                <c:pt idx="12">
                  <c:v>9712003</c:v>
                </c:pt>
                <c:pt idx="13">
                  <c:v>9694076.5299999993</c:v>
                </c:pt>
                <c:pt idx="14">
                  <c:v>9708630.9000000004</c:v>
                </c:pt>
                <c:pt idx="15">
                  <c:v>9702242.3900000006</c:v>
                </c:pt>
                <c:pt idx="16">
                  <c:v>9706020.5299999993</c:v>
                </c:pt>
                <c:pt idx="17">
                  <c:v>9795265</c:v>
                </c:pt>
                <c:pt idx="18">
                  <c:v>9699243</c:v>
                </c:pt>
                <c:pt idx="19">
                  <c:v>9678174.1799999997</c:v>
                </c:pt>
                <c:pt idx="20">
                  <c:v>9689418.1799999997</c:v>
                </c:pt>
                <c:pt idx="21">
                  <c:v>9627659</c:v>
                </c:pt>
                <c:pt idx="22">
                  <c:v>9619395.6300000008</c:v>
                </c:pt>
                <c:pt idx="23">
                  <c:v>9634210.25</c:v>
                </c:pt>
                <c:pt idx="24">
                  <c:v>9646383</c:v>
                </c:pt>
                <c:pt idx="25">
                  <c:v>9645561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B35-416B-9AFA-953125FAB7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6695472"/>
        <c:axId val="493474224"/>
      </c:lineChart>
      <c:dateAx>
        <c:axId val="29669547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93474224"/>
        <c:crosses val="autoZero"/>
        <c:auto val="1"/>
        <c:lblOffset val="100"/>
        <c:baseTimeUnit val="days"/>
      </c:dateAx>
      <c:valAx>
        <c:axId val="493474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 * #,##0_ ;_ * \-#,##0_ ;_ * &quot;-&quot;??_ ;_ @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6695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133350</xdr:colOff>
      <xdr:row>5</xdr:row>
      <xdr:rowOff>57150</xdr:rowOff>
    </xdr:from>
    <xdr:to>
      <xdr:col>16</xdr:col>
      <xdr:colOff>238125</xdr:colOff>
      <xdr:row>21</xdr:row>
      <xdr:rowOff>0</xdr:rowOff>
    </xdr:to>
    <xdr:graphicFrame macro="">
      <xdr:nvGraphicFramePr>
        <xdr:cNvPr id="3" name="图表 2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409574</xdr:colOff>
      <xdr:row>28</xdr:row>
      <xdr:rowOff>161924</xdr:rowOff>
    </xdr:from>
    <xdr:to>
      <xdr:col>16</xdr:col>
      <xdr:colOff>333375</xdr:colOff>
      <xdr:row>49</xdr:row>
      <xdr:rowOff>57149</xdr:rowOff>
    </xdr:to>
    <xdr:graphicFrame macro="">
      <xdr:nvGraphicFramePr>
        <xdr:cNvPr id="4" name="图表 3">
          <a:extLst>
            <a:ext uri="{FF2B5EF4-FFF2-40B4-BE49-F238E27FC236}">
              <a16:creationId xmlns=""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61"/>
  <sheetViews>
    <sheetView tabSelected="1" workbookViewId="0">
      <pane ySplit="1" topLeftCell="A14" activePane="bottomLeft" state="frozen"/>
      <selection pane="bottomLeft" activeCell="A32" sqref="A32:B44"/>
    </sheetView>
  </sheetViews>
  <sheetFormatPr defaultRowHeight="13.5"/>
  <cols>
    <col min="1" max="1" width="12.75" style="1" customWidth="1"/>
    <col min="2" max="2" width="18.375" style="25" bestFit="1" customWidth="1"/>
    <col min="3" max="3" width="11.125" customWidth="1"/>
    <col min="5" max="5" width="5.5" customWidth="1"/>
    <col min="7" max="7" width="8" customWidth="1"/>
    <col min="8" max="9" width="5.75" customWidth="1"/>
  </cols>
  <sheetData>
    <row r="1" spans="1:9">
      <c r="A1" s="1" t="s">
        <v>7</v>
      </c>
      <c r="B1" s="24" t="s">
        <v>8</v>
      </c>
      <c r="C1" s="1" t="s">
        <v>9</v>
      </c>
      <c r="E1" s="7">
        <f>COUNTA(C2:C9984)</f>
        <v>31</v>
      </c>
      <c r="I1" s="8"/>
    </row>
    <row r="2" spans="1:9">
      <c r="A2" s="2">
        <v>43094</v>
      </c>
      <c r="B2" s="24">
        <v>10000000</v>
      </c>
      <c r="C2" s="12">
        <f>B2/$B$2</f>
        <v>1</v>
      </c>
      <c r="F2" t="s">
        <v>10</v>
      </c>
      <c r="G2" s="9">
        <f>成交记录!V1/成交记录!U1</f>
        <v>0.25702811244979917</v>
      </c>
    </row>
    <row r="3" spans="1:9">
      <c r="A3" s="2">
        <v>43095</v>
      </c>
      <c r="B3" s="24">
        <v>9918326</v>
      </c>
      <c r="C3" s="12">
        <f>B3/$B$2</f>
        <v>0.99183259999999995</v>
      </c>
      <c r="F3" t="s">
        <v>11</v>
      </c>
      <c r="G3" s="15">
        <f>成交记录!X1/成交记录!Y1</f>
        <v>0.86345540015627842</v>
      </c>
    </row>
    <row r="4" spans="1:9">
      <c r="A4" s="2">
        <v>43096</v>
      </c>
      <c r="B4" s="24">
        <v>9920390</v>
      </c>
      <c r="C4" s="12">
        <f>B4/$B$2</f>
        <v>0.992039</v>
      </c>
    </row>
    <row r="5" spans="1:9">
      <c r="A5" s="2">
        <v>43097</v>
      </c>
      <c r="B5" s="24"/>
      <c r="C5" s="5"/>
    </row>
    <row r="6" spans="1:9">
      <c r="A6" s="2">
        <v>43098</v>
      </c>
      <c r="B6" s="24"/>
      <c r="C6" s="5"/>
    </row>
    <row r="7" spans="1:9">
      <c r="A7" s="2">
        <v>43101</v>
      </c>
      <c r="B7" s="24"/>
      <c r="C7" s="5"/>
    </row>
    <row r="8" spans="1:9">
      <c r="A8" s="2">
        <v>43102</v>
      </c>
      <c r="B8" s="24"/>
      <c r="C8" s="5"/>
    </row>
    <row r="9" spans="1:9">
      <c r="A9" s="2">
        <v>43103</v>
      </c>
      <c r="B9" s="24"/>
      <c r="C9" s="5"/>
    </row>
    <row r="10" spans="1:9">
      <c r="A10" s="2">
        <v>43104</v>
      </c>
      <c r="B10" s="24"/>
      <c r="C10" s="5"/>
    </row>
    <row r="11" spans="1:9">
      <c r="A11" s="2">
        <v>43105</v>
      </c>
      <c r="B11" s="24"/>
      <c r="C11" s="5"/>
    </row>
    <row r="12" spans="1:9">
      <c r="A12" s="2">
        <v>43108</v>
      </c>
      <c r="B12" s="24"/>
      <c r="C12" s="5"/>
    </row>
    <row r="13" spans="1:9">
      <c r="A13" s="2">
        <v>43109</v>
      </c>
    </row>
    <row r="14" spans="1:9">
      <c r="A14" s="2">
        <v>43110</v>
      </c>
    </row>
    <row r="15" spans="1:9">
      <c r="A15" s="2">
        <v>43111</v>
      </c>
    </row>
    <row r="16" spans="1:9">
      <c r="A16" s="19">
        <v>43112</v>
      </c>
      <c r="B16" s="41"/>
      <c r="C16" s="4"/>
    </row>
    <row r="17" spans="1:3">
      <c r="A17" s="2">
        <v>43115</v>
      </c>
      <c r="B17" s="25">
        <v>9836736</v>
      </c>
      <c r="C17" s="12">
        <f>B17/$B$2</f>
        <v>0.98367360000000004</v>
      </c>
    </row>
    <row r="18" spans="1:3">
      <c r="A18" s="2">
        <v>43116</v>
      </c>
      <c r="B18" s="25">
        <v>9743676</v>
      </c>
      <c r="C18" s="12">
        <f t="shared" ref="C18:C25" si="0">B18/$B$2</f>
        <v>0.9743676</v>
      </c>
    </row>
    <row r="19" spans="1:3">
      <c r="A19" s="2">
        <v>43117</v>
      </c>
      <c r="B19" s="25">
        <v>9685921</v>
      </c>
      <c r="C19" s="12">
        <f t="shared" si="0"/>
        <v>0.96859209999999996</v>
      </c>
    </row>
    <row r="20" spans="1:3">
      <c r="A20" s="2">
        <v>43118</v>
      </c>
      <c r="B20" s="25">
        <v>9704061</v>
      </c>
      <c r="C20" s="12">
        <f t="shared" si="0"/>
        <v>0.97040610000000005</v>
      </c>
    </row>
    <row r="21" spans="1:3">
      <c r="A21" s="19">
        <v>43119</v>
      </c>
      <c r="B21" s="41">
        <v>9729899</v>
      </c>
      <c r="C21" s="42">
        <f t="shared" si="0"/>
        <v>0.97298989999999996</v>
      </c>
    </row>
    <row r="22" spans="1:3">
      <c r="A22" s="2">
        <v>43122</v>
      </c>
      <c r="B22" s="25">
        <v>9715728</v>
      </c>
      <c r="C22" s="12">
        <f t="shared" si="0"/>
        <v>0.97157280000000001</v>
      </c>
    </row>
    <row r="23" spans="1:3">
      <c r="A23" s="2">
        <v>43123</v>
      </c>
      <c r="B23" s="25">
        <v>9756827</v>
      </c>
      <c r="C23" s="12">
        <f t="shared" si="0"/>
        <v>0.97568270000000001</v>
      </c>
    </row>
    <row r="24" spans="1:3">
      <c r="A24" s="2">
        <v>43124</v>
      </c>
      <c r="B24" s="25">
        <v>9739233</v>
      </c>
      <c r="C24" s="12">
        <f t="shared" si="0"/>
        <v>0.97392330000000005</v>
      </c>
    </row>
    <row r="25" spans="1:3">
      <c r="A25" s="2">
        <v>43125</v>
      </c>
      <c r="B25" s="25">
        <v>9796411</v>
      </c>
      <c r="C25" s="12">
        <f t="shared" si="0"/>
        <v>0.97964110000000004</v>
      </c>
    </row>
    <row r="26" spans="1:3">
      <c r="A26" s="19">
        <v>43126</v>
      </c>
      <c r="B26" s="41">
        <v>9748454.8399999999</v>
      </c>
      <c r="C26" s="42">
        <f t="shared" ref="C26:C44" si="1">B26/$B$2</f>
        <v>0.97484548400000004</v>
      </c>
    </row>
    <row r="27" spans="1:3">
      <c r="A27" s="2">
        <v>43129</v>
      </c>
      <c r="B27" s="25">
        <v>9771011.2799999993</v>
      </c>
      <c r="C27" s="12">
        <f t="shared" si="1"/>
        <v>0.97710112799999993</v>
      </c>
    </row>
    <row r="28" spans="1:3">
      <c r="A28" s="2">
        <v>43130</v>
      </c>
      <c r="B28" s="25">
        <v>9753399.9199999999</v>
      </c>
      <c r="C28" s="12">
        <f t="shared" si="1"/>
        <v>0.97533999199999999</v>
      </c>
    </row>
    <row r="29" spans="1:3">
      <c r="A29" s="2">
        <v>43131</v>
      </c>
      <c r="B29" s="25">
        <v>9712827.9100000001</v>
      </c>
      <c r="C29" s="12">
        <f t="shared" si="1"/>
        <v>0.97128279100000003</v>
      </c>
    </row>
    <row r="30" spans="1:3">
      <c r="A30" s="2">
        <v>43132</v>
      </c>
      <c r="B30" s="25">
        <v>9732130.9100000001</v>
      </c>
      <c r="C30" s="12">
        <f t="shared" si="1"/>
        <v>0.97321309099999997</v>
      </c>
    </row>
    <row r="31" spans="1:3">
      <c r="A31" s="19">
        <v>43133</v>
      </c>
      <c r="B31" s="41">
        <v>9712003</v>
      </c>
      <c r="C31" s="42">
        <f t="shared" si="1"/>
        <v>0.97120030000000002</v>
      </c>
    </row>
    <row r="32" spans="1:3">
      <c r="A32" s="2">
        <v>43136</v>
      </c>
      <c r="B32" s="25">
        <v>9694076.5299999993</v>
      </c>
      <c r="C32" s="68">
        <f t="shared" si="1"/>
        <v>0.96940765299999998</v>
      </c>
    </row>
    <row r="33" spans="1:3">
      <c r="A33" s="2">
        <v>43137</v>
      </c>
      <c r="B33" s="25">
        <v>9708630.9000000004</v>
      </c>
      <c r="C33" s="68">
        <f t="shared" si="1"/>
        <v>0.97086309000000004</v>
      </c>
    </row>
    <row r="34" spans="1:3">
      <c r="A34" s="2">
        <v>43138</v>
      </c>
      <c r="B34" s="25">
        <v>9702242.3900000006</v>
      </c>
      <c r="C34" s="68">
        <f t="shared" si="1"/>
        <v>0.9702242390000001</v>
      </c>
    </row>
    <row r="35" spans="1:3">
      <c r="A35" s="2">
        <v>43139</v>
      </c>
      <c r="B35" s="25">
        <v>9706020.5299999993</v>
      </c>
      <c r="C35" s="68">
        <f t="shared" si="1"/>
        <v>0.97060205299999991</v>
      </c>
    </row>
    <row r="36" spans="1:3">
      <c r="A36" s="19">
        <v>43140</v>
      </c>
      <c r="B36" s="41">
        <v>9795265</v>
      </c>
      <c r="C36" s="42">
        <f t="shared" si="1"/>
        <v>0.97952649999999997</v>
      </c>
    </row>
    <row r="37" spans="1:3">
      <c r="A37" s="2">
        <v>43143</v>
      </c>
      <c r="B37" s="25">
        <v>9699243</v>
      </c>
      <c r="C37" s="68">
        <f t="shared" si="1"/>
        <v>0.96992429999999996</v>
      </c>
    </row>
    <row r="38" spans="1:3">
      <c r="A38" s="2">
        <v>43144</v>
      </c>
      <c r="B38" s="25">
        <v>9678174.1799999997</v>
      </c>
      <c r="C38" s="68">
        <f t="shared" si="1"/>
        <v>0.96781741799999998</v>
      </c>
    </row>
    <row r="39" spans="1:3">
      <c r="A39" s="19">
        <v>43145</v>
      </c>
      <c r="B39" s="41">
        <v>9689418.1799999997</v>
      </c>
      <c r="C39" s="42">
        <f t="shared" si="1"/>
        <v>0.96894181800000001</v>
      </c>
    </row>
    <row r="40" spans="1:3">
      <c r="A40" s="2">
        <v>43153</v>
      </c>
      <c r="B40" s="25">
        <v>9627659</v>
      </c>
      <c r="C40" s="68">
        <f t="shared" si="1"/>
        <v>0.96276589999999995</v>
      </c>
    </row>
    <row r="41" spans="1:3">
      <c r="A41" s="19">
        <v>43154</v>
      </c>
      <c r="B41" s="41">
        <v>9619395.6300000008</v>
      </c>
      <c r="C41" s="42">
        <f t="shared" si="1"/>
        <v>0.96193956300000005</v>
      </c>
    </row>
    <row r="42" spans="1:3">
      <c r="A42" s="2">
        <v>43157</v>
      </c>
      <c r="B42" s="25">
        <v>9634210.25</v>
      </c>
      <c r="C42" s="68">
        <f t="shared" si="1"/>
        <v>0.96342102500000004</v>
      </c>
    </row>
    <row r="43" spans="1:3">
      <c r="A43" s="2">
        <v>43158</v>
      </c>
      <c r="B43" s="25">
        <v>9646383</v>
      </c>
      <c r="C43" s="88">
        <f t="shared" si="1"/>
        <v>0.96463829999999995</v>
      </c>
    </row>
    <row r="44" spans="1:3">
      <c r="A44" s="2">
        <v>43159</v>
      </c>
      <c r="B44" s="25">
        <v>9645561</v>
      </c>
      <c r="C44" s="88">
        <f t="shared" si="1"/>
        <v>0.96455610000000003</v>
      </c>
    </row>
    <row r="45" spans="1:3">
      <c r="A45" s="2">
        <v>43160</v>
      </c>
    </row>
    <row r="46" spans="1:3">
      <c r="A46" s="19">
        <v>43161</v>
      </c>
      <c r="B46" s="41"/>
      <c r="C46" s="4"/>
    </row>
    <row r="47" spans="1:3">
      <c r="A47" s="2">
        <v>43164</v>
      </c>
    </row>
    <row r="48" spans="1:3">
      <c r="A48" s="2">
        <v>43165</v>
      </c>
    </row>
    <row r="49" spans="1:3">
      <c r="A49" s="2">
        <v>43166</v>
      </c>
    </row>
    <row r="50" spans="1:3">
      <c r="A50" s="2">
        <v>43167</v>
      </c>
    </row>
    <row r="51" spans="1:3">
      <c r="A51" s="19">
        <v>43168</v>
      </c>
      <c r="B51" s="41"/>
      <c r="C51" s="4"/>
    </row>
    <row r="52" spans="1:3">
      <c r="A52" s="2">
        <v>43171</v>
      </c>
    </row>
    <row r="53" spans="1:3">
      <c r="A53" s="2">
        <v>43172</v>
      </c>
    </row>
    <row r="54" spans="1:3">
      <c r="A54" s="2">
        <v>43173</v>
      </c>
    </row>
    <row r="55" spans="1:3">
      <c r="A55" s="2">
        <v>43174</v>
      </c>
    </row>
    <row r="56" spans="1:3">
      <c r="A56" s="19">
        <v>43175</v>
      </c>
      <c r="B56" s="41"/>
      <c r="C56" s="4"/>
    </row>
    <row r="57" spans="1:3">
      <c r="A57" s="2">
        <v>43178</v>
      </c>
    </row>
    <row r="58" spans="1:3">
      <c r="A58" s="2">
        <v>43179</v>
      </c>
    </row>
    <row r="59" spans="1:3">
      <c r="A59" s="2">
        <v>43180</v>
      </c>
    </row>
    <row r="60" spans="1:3">
      <c r="A60" s="2">
        <v>43181</v>
      </c>
    </row>
    <row r="61" spans="1:3">
      <c r="A61" s="2">
        <v>43182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Z370"/>
  <sheetViews>
    <sheetView workbookViewId="0">
      <pane ySplit="1" topLeftCell="A259" activePane="bottomLeft" state="frozen"/>
      <selection pane="bottomLeft" activeCell="B268" sqref="B268:I268"/>
    </sheetView>
  </sheetViews>
  <sheetFormatPr defaultRowHeight="13.5"/>
  <cols>
    <col min="1" max="1" width="10.375" style="1" customWidth="1"/>
    <col min="2" max="2" width="9.375" style="1" customWidth="1"/>
    <col min="3" max="3" width="7" style="1" customWidth="1"/>
    <col min="4" max="4" width="7.375" style="1" customWidth="1"/>
    <col min="5" max="5" width="11.375" style="1" customWidth="1"/>
    <col min="6" max="6" width="8.875" style="1" customWidth="1"/>
    <col min="7" max="7" width="9.875" style="17" customWidth="1"/>
    <col min="8" max="8" width="7.375" style="52" customWidth="1"/>
    <col min="9" max="9" width="6.875" style="17" customWidth="1"/>
    <col min="10" max="10" width="7.25" style="1" customWidth="1"/>
    <col min="11" max="11" width="11.375" style="1" customWidth="1"/>
    <col min="12" max="12" width="7.5" style="1" customWidth="1"/>
    <col min="13" max="13" width="10.5" style="1" bestFit="1" customWidth="1"/>
    <col min="14" max="14" width="4.75" style="1" customWidth="1"/>
    <col min="15" max="15" width="9" style="1"/>
    <col min="16" max="16" width="8.75" customWidth="1"/>
    <col min="17" max="17" width="6.5" customWidth="1"/>
    <col min="18" max="18" width="2.75" customWidth="1"/>
    <col min="19" max="19" width="6.125" style="10" customWidth="1"/>
    <col min="20" max="20" width="8.625" customWidth="1"/>
    <col min="21" max="21" width="9" style="1"/>
  </cols>
  <sheetData>
    <row r="1" spans="1:26" s="62" customFormat="1">
      <c r="A1" s="58" t="s">
        <v>0</v>
      </c>
      <c r="B1" s="58" t="s">
        <v>1</v>
      </c>
      <c r="C1" s="58" t="s">
        <v>2</v>
      </c>
      <c r="D1" s="58" t="s">
        <v>3</v>
      </c>
      <c r="E1" s="58" t="s">
        <v>89</v>
      </c>
      <c r="F1" s="58" t="s">
        <v>41</v>
      </c>
      <c r="G1" s="59" t="s">
        <v>182</v>
      </c>
      <c r="H1" s="60" t="s">
        <v>190</v>
      </c>
      <c r="I1" s="59" t="s">
        <v>181</v>
      </c>
      <c r="J1" s="58" t="s">
        <v>5</v>
      </c>
      <c r="K1" s="58" t="s">
        <v>19</v>
      </c>
      <c r="L1" s="61" t="s">
        <v>42</v>
      </c>
      <c r="M1" s="61" t="s">
        <v>4</v>
      </c>
      <c r="N1" s="58" t="s">
        <v>183</v>
      </c>
      <c r="O1" s="58" t="s">
        <v>186</v>
      </c>
      <c r="P1" s="62" t="s">
        <v>184</v>
      </c>
      <c r="Q1" s="62" t="s">
        <v>185</v>
      </c>
      <c r="S1" s="63" t="s">
        <v>6</v>
      </c>
      <c r="T1" s="64"/>
      <c r="U1" s="65">
        <f>COUNT(M2:M9987)</f>
        <v>249</v>
      </c>
      <c r="V1" s="64">
        <f>COUNTIF(M2:M9987,"&gt;0")</f>
        <v>64</v>
      </c>
      <c r="W1" s="64">
        <f>COUNTIF(M2:M9987,"&lt;0")</f>
        <v>180</v>
      </c>
      <c r="X1" s="64">
        <f>SUMIF(M2:M9987,"&gt;0")</f>
        <v>911396.04999999993</v>
      </c>
      <c r="Y1" s="64">
        <f>ABS(SUMIF(M2:M9987,"&lt;0"))</f>
        <v>1055521.8600000008</v>
      </c>
      <c r="Z1" s="64"/>
    </row>
    <row r="2" spans="1:26">
      <c r="A2" s="2">
        <v>43094</v>
      </c>
      <c r="B2" s="1" t="s">
        <v>12</v>
      </c>
      <c r="C2" s="1">
        <v>-26</v>
      </c>
      <c r="D2" s="1">
        <v>3833.23</v>
      </c>
      <c r="G2" s="17">
        <v>1.49E-2</v>
      </c>
      <c r="J2" s="1">
        <v>3887</v>
      </c>
      <c r="K2" s="2">
        <v>43096</v>
      </c>
      <c r="L2" s="2"/>
      <c r="M2" s="16">
        <f>IF(J2="","",C2*(J2-D2)*S2)</f>
        <v>-13980.199999999995</v>
      </c>
      <c r="N2" s="1">
        <f>K2-$A$2</f>
        <v>2</v>
      </c>
      <c r="S2">
        <f>IF(B2="","",VLOOKUP(Cmt(B2),Sheet2!A:B,2,FALSE))</f>
        <v>10</v>
      </c>
      <c r="U2" s="10" t="s">
        <v>95</v>
      </c>
      <c r="V2" s="11" t="s">
        <v>96</v>
      </c>
      <c r="W2" s="11" t="s">
        <v>97</v>
      </c>
      <c r="X2" s="11" t="s">
        <v>98</v>
      </c>
      <c r="Y2" s="11" t="s">
        <v>99</v>
      </c>
      <c r="Z2" s="11" t="s">
        <v>100</v>
      </c>
    </row>
    <row r="3" spans="1:26">
      <c r="B3" s="1" t="s">
        <v>13</v>
      </c>
      <c r="C3" s="1">
        <f>-26*0.5</f>
        <v>-13</v>
      </c>
      <c r="D3" s="1">
        <v>3793.85</v>
      </c>
      <c r="G3" s="17">
        <f>1.48%*0.5</f>
        <v>7.4000000000000003E-3</v>
      </c>
      <c r="J3" s="1">
        <v>3761</v>
      </c>
      <c r="K3" s="2">
        <v>43096</v>
      </c>
      <c r="L3" s="2"/>
      <c r="M3" s="16">
        <f>IF(J3="","",C3*(J3-D3)*S3)</f>
        <v>4270.4999999999882</v>
      </c>
      <c r="N3" s="1">
        <f>K3-$A$2</f>
        <v>2</v>
      </c>
      <c r="S3">
        <f>IF(B3="","",VLOOKUP(Cmt(B3),Sheet2!A:B,2,FALSE))</f>
        <v>10</v>
      </c>
      <c r="U3" s="10"/>
      <c r="V3" s="11"/>
      <c r="W3" s="11"/>
      <c r="X3" s="11"/>
      <c r="Y3" s="11"/>
      <c r="Z3" s="11"/>
    </row>
    <row r="4" spans="1:26">
      <c r="B4" s="1" t="s">
        <v>13</v>
      </c>
      <c r="C4" s="1">
        <f>-26*0.5</f>
        <v>-13</v>
      </c>
      <c r="D4" s="1">
        <v>3793.85</v>
      </c>
      <c r="G4" s="17">
        <f>1.48%*0.5</f>
        <v>7.4000000000000003E-3</v>
      </c>
      <c r="M4" s="16"/>
      <c r="S4">
        <f>IF(B4="","",VLOOKUP(Cmt(B4),Sheet2!A:B,2,FALSE))</f>
        <v>10</v>
      </c>
      <c r="U4" s="10"/>
      <c r="V4" s="11"/>
      <c r="W4" s="11"/>
      <c r="X4" s="11"/>
      <c r="Y4" s="11"/>
      <c r="Z4" s="11"/>
    </row>
    <row r="5" spans="1:26">
      <c r="A5" s="2"/>
      <c r="B5" s="1" t="s">
        <v>14</v>
      </c>
      <c r="C5" s="1">
        <v>-2</v>
      </c>
      <c r="D5" s="1">
        <v>2009.3</v>
      </c>
      <c r="G5" s="17">
        <f>1.51%*2/5</f>
        <v>6.0400000000000002E-3</v>
      </c>
      <c r="J5" s="1">
        <v>1979</v>
      </c>
      <c r="K5" s="2">
        <v>43096</v>
      </c>
      <c r="L5" s="2"/>
      <c r="M5" s="16">
        <f t="shared" ref="M5:M20" si="0">IF(J5="","",C5*(J5-D5)*S5)</f>
        <v>6059.9999999999909</v>
      </c>
      <c r="N5" s="1">
        <f>K5-$A$2</f>
        <v>2</v>
      </c>
      <c r="S5">
        <f>IF(B5="","",VLOOKUP(Cmt(B5),Sheet2!A:B,2,FALSE))</f>
        <v>100</v>
      </c>
      <c r="U5" s="10"/>
      <c r="V5" s="11"/>
      <c r="W5" s="11"/>
      <c r="X5" s="11"/>
      <c r="Y5" s="11"/>
      <c r="Z5" s="11"/>
    </row>
    <row r="6" spans="1:26">
      <c r="A6" s="2"/>
      <c r="B6" s="1" t="s">
        <v>14</v>
      </c>
      <c r="C6" s="1">
        <v>-3</v>
      </c>
      <c r="D6" s="1">
        <v>2009.3</v>
      </c>
      <c r="G6" s="17">
        <f>1.51%*3/5</f>
        <v>9.0600000000000003E-3</v>
      </c>
      <c r="J6" s="1">
        <v>1966.5</v>
      </c>
      <c r="K6" s="2">
        <v>43096</v>
      </c>
      <c r="L6" s="2"/>
      <c r="M6" s="16">
        <f t="shared" si="0"/>
        <v>12839.999999999985</v>
      </c>
      <c r="S6">
        <f>IF(B6="","",VLOOKUP(Cmt(B6),Sheet2!A:B,2,FALSE))</f>
        <v>100</v>
      </c>
      <c r="U6" s="10"/>
      <c r="V6" s="11"/>
      <c r="W6" s="11"/>
      <c r="X6" s="11"/>
      <c r="Y6" s="11"/>
      <c r="Z6" s="11"/>
    </row>
    <row r="7" spans="1:26">
      <c r="A7" s="1" t="s">
        <v>22</v>
      </c>
      <c r="B7" s="1" t="s">
        <v>15</v>
      </c>
      <c r="C7" s="1">
        <v>-31</v>
      </c>
      <c r="D7" s="1">
        <v>6540</v>
      </c>
      <c r="G7" s="17">
        <v>1.52E-2</v>
      </c>
      <c r="J7" s="1">
        <v>6700</v>
      </c>
      <c r="K7" s="2">
        <v>43095</v>
      </c>
      <c r="L7" s="2"/>
      <c r="M7" s="16" t="e">
        <f>IF(J7="","",C7*(J7-D7)*#REF!)</f>
        <v>#REF!</v>
      </c>
      <c r="N7" s="1">
        <f t="shared" ref="N7" si="1">K7-$A$2</f>
        <v>1</v>
      </c>
      <c r="S7">
        <f>IF(B7="","",VLOOKUP(Cmt(B7),Sheet2!A:B,2,FALSE))</f>
        <v>5</v>
      </c>
      <c r="U7" s="10"/>
      <c r="W7" s="11"/>
      <c r="X7" s="11"/>
      <c r="Y7" s="11"/>
      <c r="Z7" s="11"/>
    </row>
    <row r="8" spans="1:26">
      <c r="A8" s="2">
        <v>43095</v>
      </c>
      <c r="B8" s="1" t="s">
        <v>16</v>
      </c>
      <c r="C8" s="1">
        <v>-25</v>
      </c>
      <c r="D8" s="1">
        <v>9570</v>
      </c>
      <c r="G8" s="17">
        <v>1.7000000000000001E-2</v>
      </c>
      <c r="J8" s="1">
        <v>9815</v>
      </c>
      <c r="K8" s="2">
        <v>43095</v>
      </c>
      <c r="L8" s="2"/>
      <c r="M8" s="16">
        <f t="shared" si="0"/>
        <v>-30625</v>
      </c>
      <c r="N8" s="1">
        <f>K8-$A$8</f>
        <v>0</v>
      </c>
      <c r="S8">
        <f>IF(B8="","",VLOOKUP(Cmt(B8),Sheet2!A:B,2,FALSE))</f>
        <v>5</v>
      </c>
      <c r="U8" s="10"/>
      <c r="W8" s="11"/>
      <c r="X8" s="11"/>
      <c r="Y8" s="11"/>
      <c r="Z8" s="11"/>
    </row>
    <row r="9" spans="1:26">
      <c r="B9" s="1" t="s">
        <v>17</v>
      </c>
      <c r="C9" s="1">
        <v>8</v>
      </c>
      <c r="D9" s="6">
        <v>14305</v>
      </c>
      <c r="E9" s="6"/>
      <c r="F9" s="6"/>
      <c r="G9" s="17">
        <v>1.7000000000000001E-2</v>
      </c>
      <c r="J9" s="1">
        <v>14160</v>
      </c>
      <c r="K9" s="2">
        <v>43096</v>
      </c>
      <c r="L9" s="2"/>
      <c r="M9" s="16">
        <f t="shared" si="0"/>
        <v>-11600</v>
      </c>
      <c r="S9">
        <f>IF(B9="","",VLOOKUP(Cmt(B9),Sheet2!A:B,2,FALSE))</f>
        <v>10</v>
      </c>
      <c r="U9" s="10"/>
      <c r="W9" s="11"/>
      <c r="X9" s="11"/>
      <c r="Y9" s="11"/>
      <c r="Z9" s="11"/>
    </row>
    <row r="10" spans="1:26">
      <c r="B10" s="1" t="s">
        <v>18</v>
      </c>
      <c r="C10" s="1">
        <v>37</v>
      </c>
      <c r="D10" s="6">
        <v>2900</v>
      </c>
      <c r="E10" s="6"/>
      <c r="F10" s="6"/>
      <c r="G10" s="17">
        <v>1.6E-2</v>
      </c>
      <c r="J10" s="1">
        <v>2891</v>
      </c>
      <c r="K10" s="2">
        <v>43095</v>
      </c>
      <c r="L10" s="2"/>
      <c r="M10" s="16">
        <f t="shared" si="0"/>
        <v>-3330</v>
      </c>
      <c r="N10" s="1">
        <f t="shared" ref="N10:N11" si="2">K10-$A$8</f>
        <v>0</v>
      </c>
      <c r="S10">
        <f>IF(B10="","",VLOOKUP(Cmt(B10),Sheet2!A:B,2,FALSE))</f>
        <v>10</v>
      </c>
      <c r="W10" s="11"/>
    </row>
    <row r="11" spans="1:26">
      <c r="A11" s="2"/>
      <c r="B11" s="1" t="s">
        <v>18</v>
      </c>
      <c r="C11" s="1">
        <v>-36</v>
      </c>
      <c r="D11" s="1">
        <v>2870</v>
      </c>
      <c r="G11" s="17">
        <v>1.4999999999999999E-2</v>
      </c>
      <c r="J11" s="1">
        <v>2884</v>
      </c>
      <c r="K11" s="2">
        <v>43095</v>
      </c>
      <c r="L11" s="2"/>
      <c r="M11" s="16">
        <f t="shared" si="0"/>
        <v>-5040</v>
      </c>
      <c r="N11" s="1">
        <f t="shared" si="2"/>
        <v>0</v>
      </c>
      <c r="S11">
        <f>IF(B11="","",VLOOKUP(Cmt(B11),Sheet2!A:B,2,FALSE))</f>
        <v>10</v>
      </c>
      <c r="T11">
        <v>9920000</v>
      </c>
      <c r="U11" s="1">
        <f>T11*G11/(D11*S11*0.15)</f>
        <v>34.564459930313589</v>
      </c>
      <c r="W11" s="11"/>
    </row>
    <row r="12" spans="1:26">
      <c r="A12" s="2">
        <v>43096</v>
      </c>
      <c r="B12" s="1" t="s">
        <v>20</v>
      </c>
      <c r="C12" s="1">
        <v>45</v>
      </c>
      <c r="D12" s="1">
        <v>2121</v>
      </c>
      <c r="G12" s="17">
        <v>1.4999999999999999E-2</v>
      </c>
      <c r="J12" s="1">
        <v>2116</v>
      </c>
      <c r="K12" s="2">
        <v>43096</v>
      </c>
      <c r="L12" s="2"/>
      <c r="M12" s="16">
        <f t="shared" si="0"/>
        <v>-2250</v>
      </c>
      <c r="N12" s="1">
        <f>K12-$A$12</f>
        <v>0</v>
      </c>
      <c r="S12">
        <f>IF(B12="","",VLOOKUP(Cmt(B12),Sheet2!A:B,2,FALSE))</f>
        <v>10</v>
      </c>
      <c r="T12">
        <v>9913478</v>
      </c>
      <c r="U12" s="1">
        <f>T12*G12/(D12*S12*0.15)</f>
        <v>46.739641678453552</v>
      </c>
      <c r="W12" s="11"/>
    </row>
    <row r="13" spans="1:26">
      <c r="B13" s="1" t="s">
        <v>20</v>
      </c>
      <c r="C13" s="1">
        <v>46</v>
      </c>
      <c r="D13" s="1">
        <v>2124</v>
      </c>
      <c r="G13" s="17">
        <v>1.4999999999999999E-2</v>
      </c>
      <c r="J13" s="1">
        <v>2115</v>
      </c>
      <c r="K13" s="2">
        <v>43096</v>
      </c>
      <c r="L13" s="2"/>
      <c r="M13" s="16">
        <f t="shared" si="0"/>
        <v>-4140</v>
      </c>
      <c r="N13" s="1">
        <f t="shared" ref="N13" si="3">K13-$A$12</f>
        <v>0</v>
      </c>
      <c r="S13">
        <f>IF(B13="","",VLOOKUP(Cmt(B13),Sheet2!A:B,2,FALSE))</f>
        <v>10</v>
      </c>
      <c r="U13" s="1">
        <f t="shared" ref="U13:U16" si="4">T13*G13/(D13*S13*0.15)</f>
        <v>0</v>
      </c>
      <c r="W13" s="11"/>
    </row>
    <row r="14" spans="1:26">
      <c r="A14" s="2"/>
      <c r="B14" s="1" t="s">
        <v>18</v>
      </c>
      <c r="C14" s="1">
        <v>-35</v>
      </c>
      <c r="D14" s="1">
        <v>2864</v>
      </c>
      <c r="G14" s="17">
        <v>1.4999999999999999E-2</v>
      </c>
      <c r="M14" s="16" t="str">
        <f t="shared" si="0"/>
        <v/>
      </c>
      <c r="S14">
        <f>IF(B14="","",VLOOKUP(Cmt(B14),Sheet2!A:B,2,FALSE))</f>
        <v>10</v>
      </c>
      <c r="U14" s="1">
        <f t="shared" si="4"/>
        <v>0</v>
      </c>
      <c r="W14" s="11"/>
    </row>
    <row r="15" spans="1:26">
      <c r="A15" s="2"/>
      <c r="B15" s="1" t="s">
        <v>21</v>
      </c>
      <c r="C15" s="1">
        <v>-50</v>
      </c>
      <c r="D15" s="1">
        <v>6585</v>
      </c>
      <c r="G15" s="17">
        <v>2.5000000000000001E-2</v>
      </c>
      <c r="M15" s="16" t="str">
        <f t="shared" si="0"/>
        <v/>
      </c>
      <c r="S15">
        <f>IF(B15="","",VLOOKUP(Cmt(B15),Sheet2!A:B,2,FALSE))</f>
        <v>5</v>
      </c>
      <c r="T15">
        <v>9918000</v>
      </c>
      <c r="U15" s="1">
        <f t="shared" si="4"/>
        <v>50.205011389521637</v>
      </c>
      <c r="W15" s="11"/>
    </row>
    <row r="16" spans="1:26">
      <c r="B16" s="1" t="s">
        <v>14</v>
      </c>
      <c r="C16" s="1">
        <v>-3</v>
      </c>
      <c r="D16" s="1">
        <v>1977.5</v>
      </c>
      <c r="G16" s="17">
        <v>8.9999999999999993E-3</v>
      </c>
      <c r="M16" s="16" t="str">
        <f t="shared" si="0"/>
        <v/>
      </c>
      <c r="S16">
        <f>IF(B16="","",VLOOKUP(Cmt(B16),Sheet2!A:B,2,FALSE))</f>
        <v>100</v>
      </c>
      <c r="U16" s="1">
        <f t="shared" si="4"/>
        <v>0</v>
      </c>
      <c r="W16" s="11"/>
    </row>
    <row r="17" spans="1:23">
      <c r="B17" s="1" t="s">
        <v>23</v>
      </c>
      <c r="C17" s="1">
        <v>6</v>
      </c>
      <c r="D17" s="1">
        <v>95370</v>
      </c>
      <c r="G17" s="17">
        <f>2.9%*6/20</f>
        <v>8.6999999999999994E-3</v>
      </c>
      <c r="J17" s="1">
        <v>97250</v>
      </c>
      <c r="K17" s="2">
        <v>43097</v>
      </c>
      <c r="L17" s="2"/>
      <c r="M17" s="16">
        <f t="shared" si="0"/>
        <v>11280</v>
      </c>
      <c r="S17">
        <f>IF(B17="","",VLOOKUP(Cmt(B17),Sheet2!A:B,2,FALSE))</f>
        <v>1</v>
      </c>
      <c r="T17">
        <v>9908000</v>
      </c>
      <c r="U17" s="1">
        <f>T17*G17/(D17*S17*0.15)</f>
        <v>6.0256265072874067</v>
      </c>
      <c r="W17" s="11"/>
    </row>
    <row r="18" spans="1:23">
      <c r="B18" s="1" t="s">
        <v>23</v>
      </c>
      <c r="C18" s="1">
        <v>14</v>
      </c>
      <c r="D18" s="1">
        <v>95370</v>
      </c>
      <c r="G18" s="17">
        <v>2.9000000000000001E-2</v>
      </c>
      <c r="K18" s="2"/>
      <c r="L18" s="2"/>
      <c r="M18" s="16" t="str">
        <f t="shared" si="0"/>
        <v/>
      </c>
      <c r="S18">
        <f>IF(B18="","",VLOOKUP(Cmt(B18),Sheet2!A:B,2,FALSE))</f>
        <v>1</v>
      </c>
      <c r="W18" s="11"/>
    </row>
    <row r="19" spans="1:23">
      <c r="A19" s="2">
        <v>43097</v>
      </c>
      <c r="B19" s="1" t="s">
        <v>25</v>
      </c>
      <c r="C19" s="1">
        <v>7</v>
      </c>
      <c r="D19" s="1">
        <v>14215</v>
      </c>
      <c r="G19" s="17">
        <v>1.4E-2</v>
      </c>
      <c r="J19" s="1">
        <v>14140</v>
      </c>
      <c r="K19" s="2">
        <v>43097</v>
      </c>
      <c r="L19" s="2"/>
      <c r="M19" s="16">
        <f t="shared" si="0"/>
        <v>-5250</v>
      </c>
      <c r="N19" s="1">
        <f>K19-$A$19</f>
        <v>0</v>
      </c>
      <c r="S19">
        <f>IF(B19="","",VLOOKUP(Cmt(B19),Sheet2!A:B,2,FALSE))</f>
        <v>10</v>
      </c>
      <c r="U19" s="1">
        <f>T20*G20/(D20*S20*0.15)</f>
        <v>98.879693486590043</v>
      </c>
      <c r="W19" s="11"/>
    </row>
    <row r="20" spans="1:23">
      <c r="B20" s="1" t="s">
        <v>24</v>
      </c>
      <c r="C20" s="1">
        <v>-98</v>
      </c>
      <c r="D20" s="1">
        <v>2610</v>
      </c>
      <c r="G20" s="17">
        <v>3.9E-2</v>
      </c>
      <c r="J20" s="1">
        <v>2626</v>
      </c>
      <c r="K20" s="2">
        <v>43097</v>
      </c>
      <c r="L20" s="2"/>
      <c r="M20" s="16">
        <f t="shared" si="0"/>
        <v>-15680</v>
      </c>
      <c r="N20" s="1">
        <f>K20-$A$19</f>
        <v>0</v>
      </c>
      <c r="S20">
        <f>IF(B20="","",VLOOKUP(Cmt(B20),Sheet2!A:B,2,FALSE))</f>
        <v>10</v>
      </c>
      <c r="T20">
        <v>9926000</v>
      </c>
      <c r="U20" s="1">
        <f>T21*G21/(D21*S21*0.15)</f>
        <v>59.353241694221374</v>
      </c>
      <c r="W20" s="11"/>
    </row>
    <row r="21" spans="1:23">
      <c r="B21" s="1" t="s">
        <v>26</v>
      </c>
      <c r="C21" s="1">
        <v>59</v>
      </c>
      <c r="D21" s="1">
        <v>2117</v>
      </c>
      <c r="G21" s="17">
        <v>1.9E-2</v>
      </c>
      <c r="M21" s="16"/>
      <c r="S21">
        <f>IF(B21="","",VLOOKUP(Cmt(B21),Sheet2!A:B,2,FALSE))</f>
        <v>10</v>
      </c>
      <c r="T21">
        <v>9919801</v>
      </c>
      <c r="W21" s="11"/>
    </row>
    <row r="22" spans="1:23">
      <c r="A22" s="2">
        <v>43098</v>
      </c>
      <c r="B22" s="1" t="s">
        <v>24</v>
      </c>
      <c r="C22" s="1">
        <v>-20</v>
      </c>
      <c r="D22" s="1">
        <v>2618</v>
      </c>
      <c r="J22" s="1">
        <v>2626</v>
      </c>
      <c r="K22" s="2">
        <v>43098</v>
      </c>
      <c r="L22" s="2"/>
      <c r="M22" s="16">
        <f>IF(J22="","",C22*(J22-D22)*S22)</f>
        <v>-1600</v>
      </c>
      <c r="S22">
        <f>IF(B22="","",VLOOKUP(Cmt(B22),Sheet2!A:B,2,FALSE))</f>
        <v>10</v>
      </c>
      <c r="W22" s="11"/>
    </row>
    <row r="23" spans="1:23">
      <c r="A23" s="2"/>
      <c r="B23" s="1" t="s">
        <v>27</v>
      </c>
      <c r="C23" s="1">
        <f>2+2+2+4+10+10+8+2+2+6+2+6+4+10</f>
        <v>70</v>
      </c>
      <c r="D23" s="1">
        <f>5502*1/7+5504*5/7+5506*1/7</f>
        <v>5504</v>
      </c>
      <c r="M23" s="16"/>
      <c r="S23">
        <f>IF(B23="","",VLOOKUP(Cmt(B23),Sheet2!A:B,2,FALSE))</f>
        <v>5</v>
      </c>
      <c r="W23" s="11"/>
    </row>
    <row r="24" spans="1:23" ht="14.25" thickBot="1">
      <c r="A24" s="38"/>
      <c r="B24" s="34" t="s">
        <v>51</v>
      </c>
      <c r="C24" s="34">
        <v>22</v>
      </c>
      <c r="D24" s="34">
        <f>1332*5/22+1331.5*5/22</f>
        <v>605.34090909090912</v>
      </c>
      <c r="E24" s="34"/>
      <c r="F24" s="34"/>
      <c r="G24" s="36"/>
      <c r="H24" s="53"/>
      <c r="I24" s="36"/>
      <c r="J24" s="34"/>
      <c r="K24" s="34"/>
      <c r="L24" s="34"/>
      <c r="M24" s="40"/>
      <c r="N24" s="34"/>
      <c r="O24" s="34"/>
      <c r="P24" s="37"/>
      <c r="Q24" s="22"/>
      <c r="R24" s="22"/>
      <c r="S24">
        <f>IF(B24="","",VLOOKUP(Cmt(B24),Sheet2!A:B,2,FALSE))</f>
        <v>60</v>
      </c>
      <c r="W24" s="11"/>
    </row>
    <row r="25" spans="1:23">
      <c r="A25" s="2">
        <v>43101</v>
      </c>
      <c r="S25" t="str">
        <f>IF(B25="","",VLOOKUP(Cmt(B25),Sheet2!A:B,2,FALSE))</f>
        <v/>
      </c>
      <c r="W25" s="11"/>
    </row>
    <row r="26" spans="1:23">
      <c r="A26" s="2">
        <v>43102</v>
      </c>
      <c r="B26" s="1" t="s">
        <v>94</v>
      </c>
      <c r="C26" s="1">
        <v>1</v>
      </c>
      <c r="D26" s="1">
        <v>2929</v>
      </c>
      <c r="E26" s="2">
        <v>43102</v>
      </c>
      <c r="J26" s="1">
        <v>3168.4</v>
      </c>
      <c r="K26" s="2">
        <v>43125</v>
      </c>
      <c r="L26" s="26">
        <v>0.4694444444444445</v>
      </c>
      <c r="M26" s="16">
        <f>IF(J26="","",C26*(J26-D26)*S26)</f>
        <v>71820.000000000029</v>
      </c>
      <c r="S26">
        <f>IF(B26="","",VLOOKUP(Cmt(B26),Sheet2!A:B,2,FALSE))</f>
        <v>300</v>
      </c>
      <c r="W26" s="11"/>
    </row>
    <row r="27" spans="1:23">
      <c r="A27" s="2"/>
      <c r="B27" s="1" t="s">
        <v>104</v>
      </c>
      <c r="C27" s="1">
        <v>1</v>
      </c>
      <c r="D27" s="1">
        <v>4106.8</v>
      </c>
      <c r="E27" s="2">
        <v>43102</v>
      </c>
      <c r="J27" s="1">
        <v>4385.8</v>
      </c>
      <c r="K27" s="2">
        <v>43126</v>
      </c>
      <c r="L27" s="26">
        <v>0.40277777777777773</v>
      </c>
      <c r="M27" s="16">
        <f>IF(J27="","",C27*(J27-D27)*S27)</f>
        <v>83700</v>
      </c>
      <c r="S27">
        <f>IF(B27="","",VLOOKUP(Cmt(B27),Sheet2!A:B,2,FALSE))</f>
        <v>300</v>
      </c>
      <c r="W27" s="11"/>
    </row>
    <row r="28" spans="1:23">
      <c r="A28" s="2">
        <v>43103</v>
      </c>
      <c r="S28" t="str">
        <f>IF(B28="","",VLOOKUP(Cmt(B28),Sheet2!A:B,2,FALSE))</f>
        <v/>
      </c>
      <c r="W28" s="11"/>
    </row>
    <row r="29" spans="1:23">
      <c r="A29" s="2">
        <v>43104</v>
      </c>
      <c r="S29" t="str">
        <f>IF(B29="","",VLOOKUP(Cmt(B29),Sheet2!A:B,2,FALSE))</f>
        <v/>
      </c>
      <c r="W29" s="11"/>
    </row>
    <row r="30" spans="1:23">
      <c r="A30" s="2">
        <v>43105</v>
      </c>
      <c r="S30" t="str">
        <f>IF(B30="","",VLOOKUP(Cmt(B30),Sheet2!A:B,2,FALSE))</f>
        <v/>
      </c>
      <c r="W30" s="11"/>
    </row>
    <row r="31" spans="1:23">
      <c r="A31" s="2">
        <v>43108</v>
      </c>
      <c r="S31" t="str">
        <f>IF(B31="","",VLOOKUP(Cmt(B31),Sheet2!A:B,2,FALSE))</f>
        <v/>
      </c>
      <c r="W31" s="11"/>
    </row>
    <row r="32" spans="1:23">
      <c r="A32" s="2">
        <v>43109</v>
      </c>
      <c r="S32" t="str">
        <f>IF(B32="","",VLOOKUP(Cmt(B32),Sheet2!A:B,2,FALSE))</f>
        <v/>
      </c>
      <c r="W32" s="11"/>
    </row>
    <row r="33" spans="1:23">
      <c r="A33" s="2">
        <v>43110</v>
      </c>
      <c r="B33" s="1" t="s">
        <v>74</v>
      </c>
      <c r="C33" s="1">
        <v>-16</v>
      </c>
      <c r="D33" s="1">
        <v>5336</v>
      </c>
      <c r="F33" s="26">
        <v>0.56388888888888888</v>
      </c>
      <c r="G33" s="17">
        <v>1.4999999999999999E-2</v>
      </c>
      <c r="J33" s="1">
        <v>5228</v>
      </c>
      <c r="K33" s="2">
        <v>43124</v>
      </c>
      <c r="L33" s="26">
        <v>0.89930555555555547</v>
      </c>
      <c r="M33" s="16">
        <f>IF(J33="","",C33*(J33-D33)*S33)</f>
        <v>17280</v>
      </c>
      <c r="S33">
        <f>IF(B33="","",VLOOKUP(Cmt(B33),Sheet2!A:B,2,FALSE))</f>
        <v>10</v>
      </c>
      <c r="W33" s="11"/>
    </row>
    <row r="34" spans="1:23">
      <c r="A34" s="19">
        <v>43111</v>
      </c>
      <c r="B34" s="3"/>
      <c r="C34" s="3"/>
      <c r="D34" s="3"/>
      <c r="E34" s="3"/>
      <c r="F34" s="3"/>
      <c r="G34" s="18"/>
      <c r="H34" s="51"/>
      <c r="I34" s="18"/>
      <c r="J34" s="3"/>
      <c r="K34" s="3"/>
      <c r="L34" s="3"/>
      <c r="M34" s="14" t="str">
        <f t="shared" ref="M34:M58" si="5">IF(J34="","",C34*(J34-D34)*S34)</f>
        <v/>
      </c>
      <c r="N34" s="3"/>
      <c r="O34" s="3"/>
      <c r="P34" s="4"/>
      <c r="Q34" s="22"/>
      <c r="R34" s="22"/>
      <c r="S34" t="str">
        <f>IF(B34="","",VLOOKUP(Cmt(B34),Sheet2!A:B,2,FALSE))</f>
        <v/>
      </c>
      <c r="T34" s="22"/>
      <c r="U34" s="13"/>
      <c r="W34" s="11"/>
    </row>
    <row r="35" spans="1:23">
      <c r="A35" s="21">
        <v>43112</v>
      </c>
      <c r="B35" s="13" t="s">
        <v>38</v>
      </c>
      <c r="C35" s="13">
        <v>-30</v>
      </c>
      <c r="D35" s="13">
        <f>10/30*3782+20/30*3781</f>
        <v>3781.333333333333</v>
      </c>
      <c r="E35" s="13"/>
      <c r="F35" s="13"/>
      <c r="G35" s="20"/>
      <c r="H35" s="54"/>
      <c r="I35" s="20"/>
      <c r="J35" s="13">
        <v>3834</v>
      </c>
      <c r="K35" s="21">
        <v>43117</v>
      </c>
      <c r="L35" s="13"/>
      <c r="M35" s="16">
        <f t="shared" si="5"/>
        <v>-15800.000000000091</v>
      </c>
      <c r="N35" s="13"/>
      <c r="O35" s="13"/>
      <c r="P35" s="22"/>
      <c r="Q35" s="22"/>
      <c r="R35" s="22"/>
      <c r="S35">
        <f>IF(B35="","",VLOOKUP(Cmt(B35),Sheet2!A:B,2,FALSE))</f>
        <v>10</v>
      </c>
      <c r="T35" s="22"/>
      <c r="U35" s="13"/>
      <c r="W35" s="11"/>
    </row>
    <row r="36" spans="1:23" ht="14.25" thickBot="1">
      <c r="A36" s="38"/>
      <c r="B36" s="34" t="s">
        <v>46</v>
      </c>
      <c r="C36" s="34">
        <v>40</v>
      </c>
      <c r="D36" s="34">
        <v>6795</v>
      </c>
      <c r="E36" s="34"/>
      <c r="F36" s="34"/>
      <c r="G36" s="36"/>
      <c r="H36" s="53"/>
      <c r="I36" s="36"/>
      <c r="J36" s="34">
        <v>6640</v>
      </c>
      <c r="K36" s="38">
        <v>43117</v>
      </c>
      <c r="L36" s="34"/>
      <c r="M36" s="40">
        <f t="shared" si="5"/>
        <v>-31000</v>
      </c>
      <c r="N36" s="34"/>
      <c r="O36" s="34"/>
      <c r="P36" s="37"/>
      <c r="Q36" s="22"/>
      <c r="R36" s="22"/>
      <c r="S36">
        <f>IF(B36="","",VLOOKUP(Cmt(B36),Sheet2!A:B,2,FALSE))</f>
        <v>5</v>
      </c>
      <c r="T36" s="22"/>
      <c r="U36" s="13"/>
      <c r="W36" s="11"/>
    </row>
    <row r="37" spans="1:23">
      <c r="A37" s="2">
        <v>43115</v>
      </c>
      <c r="B37" s="23" t="s">
        <v>31</v>
      </c>
      <c r="C37" s="1">
        <v>-10</v>
      </c>
      <c r="D37" s="1">
        <v>54520</v>
      </c>
      <c r="J37" s="1">
        <f>54520*0.4+55030*0.6</f>
        <v>54826</v>
      </c>
      <c r="K37" s="2">
        <v>43115</v>
      </c>
      <c r="L37" s="2"/>
      <c r="M37" s="16">
        <f t="shared" si="5"/>
        <v>-15300</v>
      </c>
      <c r="S37">
        <f>IF(B37="","",VLOOKUP(Cmt(B37),Sheet2!A:B,2,FALSE))</f>
        <v>5</v>
      </c>
      <c r="T37" s="22"/>
      <c r="U37" s="13"/>
      <c r="W37" s="11"/>
    </row>
    <row r="38" spans="1:23">
      <c r="B38" s="23" t="s">
        <v>33</v>
      </c>
      <c r="C38" s="1">
        <f>2+18+4+4+4+4+4+2+2+2+2+2</f>
        <v>50</v>
      </c>
      <c r="D38" s="1">
        <v>1491</v>
      </c>
      <c r="J38" s="1">
        <v>1472</v>
      </c>
      <c r="K38" s="2">
        <v>43117</v>
      </c>
      <c r="L38" s="2"/>
      <c r="M38" s="16">
        <f t="shared" si="5"/>
        <v>-19000</v>
      </c>
      <c r="S38">
        <f>IF(B38="","",VLOOKUP(Cmt(B38),Sheet2!A:B,2,FALSE))</f>
        <v>20</v>
      </c>
      <c r="T38" s="22"/>
      <c r="U38" s="13"/>
      <c r="W38" s="11"/>
    </row>
    <row r="39" spans="1:23">
      <c r="B39" s="14" t="s">
        <v>34</v>
      </c>
      <c r="C39" s="3">
        <v>30</v>
      </c>
      <c r="D39" s="3">
        <v>633</v>
      </c>
      <c r="E39" s="3"/>
      <c r="F39" s="3"/>
      <c r="G39" s="18"/>
      <c r="H39" s="51"/>
      <c r="I39" s="18"/>
      <c r="J39" s="3">
        <v>629</v>
      </c>
      <c r="K39" s="19">
        <v>43115</v>
      </c>
      <c r="L39" s="19"/>
      <c r="M39" s="14">
        <f t="shared" si="5"/>
        <v>-12000</v>
      </c>
      <c r="N39" s="3"/>
      <c r="O39" s="3"/>
      <c r="P39" s="4"/>
      <c r="Q39" s="22"/>
      <c r="R39" s="22"/>
      <c r="S39">
        <f>IF(B39="","",VLOOKUP(Cmt(B39),Sheet2!A:B,2,FALSE))</f>
        <v>100</v>
      </c>
      <c r="T39" s="22"/>
      <c r="U39" s="13"/>
      <c r="W39" s="11"/>
    </row>
    <row r="40" spans="1:23">
      <c r="B40" s="23" t="s">
        <v>27</v>
      </c>
      <c r="C40" s="1">
        <v>76</v>
      </c>
      <c r="D40" s="1">
        <v>5680</v>
      </c>
      <c r="G40" s="17">
        <v>3.3000000000000002E-2</v>
      </c>
      <c r="J40" s="1">
        <v>5624</v>
      </c>
      <c r="K40" s="2">
        <v>43117</v>
      </c>
      <c r="L40" s="2"/>
      <c r="M40" s="16">
        <f t="shared" si="5"/>
        <v>-21280</v>
      </c>
      <c r="S40">
        <f>IF(B40="","",VLOOKUP(Cmt(B40),Sheet2!A:B,2,FALSE))</f>
        <v>5</v>
      </c>
      <c r="T40" s="22">
        <v>9900000</v>
      </c>
      <c r="U40" s="13">
        <f t="shared" ref="U40:U45" si="6">T40*G40/(D40*S40*0.15)</f>
        <v>76.690140845070417</v>
      </c>
      <c r="W40" s="11"/>
    </row>
    <row r="41" spans="1:23">
      <c r="B41" s="23" t="s">
        <v>28</v>
      </c>
      <c r="C41" s="1">
        <v>64</v>
      </c>
      <c r="D41" s="1">
        <v>2271</v>
      </c>
      <c r="G41" s="17">
        <v>2.1999999999999999E-2</v>
      </c>
      <c r="J41" s="1">
        <v>2265</v>
      </c>
      <c r="K41" s="2">
        <v>43115</v>
      </c>
      <c r="L41" s="2"/>
      <c r="M41" s="16">
        <f t="shared" si="5"/>
        <v>-3840</v>
      </c>
      <c r="S41">
        <f>IF(B41="","",VLOOKUP(Cmt(B41),Sheet2!A:B,2,FALSE))</f>
        <v>10</v>
      </c>
      <c r="T41" s="22">
        <v>9900000</v>
      </c>
      <c r="U41" s="13">
        <f t="shared" si="6"/>
        <v>63.936591809775429</v>
      </c>
      <c r="W41" s="11"/>
    </row>
    <row r="42" spans="1:23">
      <c r="B42" s="23" t="s">
        <v>26</v>
      </c>
      <c r="C42" s="1">
        <v>89</v>
      </c>
      <c r="D42" s="1">
        <v>2150</v>
      </c>
      <c r="G42" s="17">
        <v>2.9000000000000001E-2</v>
      </c>
      <c r="J42" s="1">
        <v>2137</v>
      </c>
      <c r="K42" s="2">
        <v>43115</v>
      </c>
      <c r="L42" s="2"/>
      <c r="M42" s="16">
        <f t="shared" si="5"/>
        <v>-11570</v>
      </c>
      <c r="N42" s="1">
        <f>K42-$A$37</f>
        <v>0</v>
      </c>
      <c r="S42">
        <f>IF(B42="","",VLOOKUP(Cmt(B42),Sheet2!A:B,2,FALSE))</f>
        <v>10</v>
      </c>
      <c r="T42" s="22">
        <v>9890000</v>
      </c>
      <c r="U42" s="13">
        <f t="shared" si="6"/>
        <v>88.933333333333337</v>
      </c>
      <c r="W42" s="11"/>
    </row>
    <row r="43" spans="1:23">
      <c r="B43" s="23" t="s">
        <v>23</v>
      </c>
      <c r="C43" s="1">
        <v>19</v>
      </c>
      <c r="D43" s="1">
        <v>99620</v>
      </c>
      <c r="G43" s="17">
        <v>2.9000000000000001E-2</v>
      </c>
      <c r="J43" s="1">
        <v>97180</v>
      </c>
      <c r="K43" s="2">
        <v>43117</v>
      </c>
      <c r="L43" s="2"/>
      <c r="M43" s="16">
        <f t="shared" si="5"/>
        <v>-46360</v>
      </c>
      <c r="S43">
        <f>IF(B43="","",VLOOKUP(Cmt(B43),Sheet2!A:B,2,FALSE))</f>
        <v>1</v>
      </c>
      <c r="T43" s="22">
        <v>9900000</v>
      </c>
      <c r="U43" s="13">
        <f t="shared" si="6"/>
        <v>19.213009435856254</v>
      </c>
      <c r="W43" s="11"/>
    </row>
    <row r="44" spans="1:23">
      <c r="B44" s="23" t="s">
        <v>29</v>
      </c>
      <c r="C44" s="1">
        <v>1</v>
      </c>
      <c r="D44" s="1">
        <v>6293.6</v>
      </c>
      <c r="G44" s="17">
        <v>2.8000000000000001E-2</v>
      </c>
      <c r="J44" s="1">
        <v>6196</v>
      </c>
      <c r="K44" s="2">
        <v>43115</v>
      </c>
      <c r="L44" s="2"/>
      <c r="M44" s="16">
        <f t="shared" si="5"/>
        <v>-19520.000000000073</v>
      </c>
      <c r="S44">
        <f>IF(B44="","",VLOOKUP(Cmt(B44),Sheet2!A:B,2,FALSE))</f>
        <v>200</v>
      </c>
      <c r="T44" s="22">
        <v>9900000</v>
      </c>
      <c r="U44" s="13">
        <f t="shared" si="6"/>
        <v>1.4681581288928436</v>
      </c>
      <c r="W44" s="11"/>
    </row>
    <row r="45" spans="1:23">
      <c r="A45" s="13"/>
      <c r="B45" s="16" t="s">
        <v>30</v>
      </c>
      <c r="C45" s="13">
        <v>-51</v>
      </c>
      <c r="D45" s="13">
        <v>6444</v>
      </c>
      <c r="E45" s="13"/>
      <c r="F45" s="13"/>
      <c r="G45" s="20">
        <v>2.5000000000000001E-2</v>
      </c>
      <c r="H45" s="54"/>
      <c r="I45" s="20"/>
      <c r="J45" s="13">
        <v>6472</v>
      </c>
      <c r="K45" s="21">
        <v>43115</v>
      </c>
      <c r="L45" s="21"/>
      <c r="M45" s="16">
        <f t="shared" si="5"/>
        <v>-7140</v>
      </c>
      <c r="N45" s="13"/>
      <c r="O45" s="13"/>
      <c r="P45" s="22"/>
      <c r="Q45" s="22"/>
      <c r="R45" s="22"/>
      <c r="S45">
        <f>IF(B45="","",VLOOKUP(Cmt(B45),Sheet2!A:B,2,FALSE))</f>
        <v>5</v>
      </c>
      <c r="T45" s="22">
        <v>9900000</v>
      </c>
      <c r="U45" s="13">
        <f t="shared" si="6"/>
        <v>51.21042830540037</v>
      </c>
      <c r="W45" s="11"/>
    </row>
    <row r="46" spans="1:23">
      <c r="A46" s="3"/>
      <c r="B46" s="3" t="s">
        <v>31</v>
      </c>
      <c r="C46" s="3">
        <v>6</v>
      </c>
      <c r="D46" s="3">
        <v>55030</v>
      </c>
      <c r="E46" s="3"/>
      <c r="F46" s="3"/>
      <c r="G46" s="18">
        <v>2.5000000000000001E-2</v>
      </c>
      <c r="H46" s="51"/>
      <c r="I46" s="18"/>
      <c r="J46" s="3">
        <v>54950</v>
      </c>
      <c r="K46" s="19">
        <v>43116</v>
      </c>
      <c r="L46" s="19"/>
      <c r="M46" s="14">
        <f t="shared" si="5"/>
        <v>-2400</v>
      </c>
      <c r="N46" s="3"/>
      <c r="O46" s="3"/>
      <c r="P46" s="4"/>
      <c r="Q46" s="22"/>
      <c r="R46" s="22"/>
      <c r="S46">
        <f>IF(B46="","",VLOOKUP(Cmt(B46),Sheet2!A:B,2,FALSE))</f>
        <v>5</v>
      </c>
      <c r="T46" s="22"/>
      <c r="U46" s="13"/>
      <c r="W46" s="11"/>
    </row>
    <row r="47" spans="1:23">
      <c r="A47" s="2">
        <v>43116</v>
      </c>
      <c r="B47" s="1" t="s">
        <v>28</v>
      </c>
      <c r="C47" s="1">
        <v>72</v>
      </c>
      <c r="D47" s="1">
        <v>2269</v>
      </c>
      <c r="G47" s="17">
        <v>2.5000000000000001E-2</v>
      </c>
      <c r="J47" s="1">
        <v>2270</v>
      </c>
      <c r="K47" s="2">
        <v>43119</v>
      </c>
      <c r="L47" s="26">
        <v>0.8847222222222223</v>
      </c>
      <c r="M47" s="16">
        <f t="shared" si="5"/>
        <v>720</v>
      </c>
      <c r="S47">
        <f>IF(B47="","",VLOOKUP(Cmt(B47),Sheet2!A:B,2,FALSE))</f>
        <v>10</v>
      </c>
      <c r="T47" s="22"/>
      <c r="U47" s="13"/>
      <c r="W47" s="11"/>
    </row>
    <row r="48" spans="1:23">
      <c r="B48" s="1" t="s">
        <v>32</v>
      </c>
      <c r="C48" s="1">
        <v>32</v>
      </c>
      <c r="D48" s="1">
        <v>3927</v>
      </c>
      <c r="G48" s="17">
        <v>2.9000000000000001E-2</v>
      </c>
      <c r="J48" s="1">
        <v>3879</v>
      </c>
      <c r="K48" s="2">
        <v>43117</v>
      </c>
      <c r="L48" s="2"/>
      <c r="M48" s="16">
        <f t="shared" si="5"/>
        <v>-23040</v>
      </c>
      <c r="S48">
        <f>IF(B48="","",VLOOKUP(Cmt(B48),Sheet2!A:B,2,FALSE))</f>
        <v>15</v>
      </c>
      <c r="T48" s="22"/>
      <c r="U48" s="13"/>
      <c r="W48" s="11"/>
    </row>
    <row r="49" spans="1:23">
      <c r="A49" s="3"/>
      <c r="B49" s="3" t="s">
        <v>31</v>
      </c>
      <c r="C49" s="3">
        <v>-5</v>
      </c>
      <c r="D49" s="3">
        <v>54880</v>
      </c>
      <c r="E49" s="3"/>
      <c r="F49" s="3"/>
      <c r="G49" s="18">
        <v>2.3E-2</v>
      </c>
      <c r="H49" s="51"/>
      <c r="I49" s="18"/>
      <c r="J49" s="3">
        <v>52700</v>
      </c>
      <c r="K49" s="19">
        <v>43124</v>
      </c>
      <c r="L49" s="31">
        <v>0.62013888888888891</v>
      </c>
      <c r="M49" s="14">
        <f t="shared" si="5"/>
        <v>54500</v>
      </c>
      <c r="N49" s="3"/>
      <c r="O49" s="3"/>
      <c r="P49" s="4"/>
      <c r="Q49" s="22"/>
      <c r="R49" s="22"/>
      <c r="S49">
        <f>IF(B49="","",VLOOKUP(Cmt(B49),Sheet2!A:B,2,FALSE))</f>
        <v>5</v>
      </c>
      <c r="T49" s="22"/>
      <c r="U49" s="13"/>
      <c r="W49" s="11"/>
    </row>
    <row r="50" spans="1:23">
      <c r="A50" s="2">
        <v>43117</v>
      </c>
      <c r="B50" s="1" t="s">
        <v>32</v>
      </c>
      <c r="C50" s="1">
        <v>-17</v>
      </c>
      <c r="D50" s="1">
        <v>3880</v>
      </c>
      <c r="J50" s="1">
        <v>3895</v>
      </c>
      <c r="K50" s="2">
        <v>43117</v>
      </c>
      <c r="L50" s="2"/>
      <c r="M50" s="16">
        <f t="shared" si="5"/>
        <v>-3825</v>
      </c>
      <c r="S50">
        <f>IF(B50="","",VLOOKUP(Cmt(B50),Sheet2!A:B,2,FALSE))</f>
        <v>15</v>
      </c>
      <c r="T50" s="22"/>
      <c r="U50" s="13"/>
      <c r="W50" s="11"/>
    </row>
    <row r="51" spans="1:23">
      <c r="B51" s="1" t="s">
        <v>32</v>
      </c>
      <c r="C51" s="1">
        <v>-18</v>
      </c>
      <c r="D51" s="1">
        <v>3886</v>
      </c>
      <c r="J51" s="1">
        <v>3835</v>
      </c>
      <c r="K51" s="2">
        <v>43124</v>
      </c>
      <c r="L51" s="26">
        <v>0.62013888888888891</v>
      </c>
      <c r="M51" s="16">
        <f t="shared" si="5"/>
        <v>13770</v>
      </c>
      <c r="S51">
        <f>IF(B51="","",VLOOKUP(Cmt(B51),Sheet2!A:B,2,FALSE))</f>
        <v>15</v>
      </c>
      <c r="T51" s="22"/>
      <c r="U51" s="13"/>
      <c r="W51" s="11"/>
    </row>
    <row r="52" spans="1:23">
      <c r="B52" s="1" t="s">
        <v>35</v>
      </c>
      <c r="C52" s="1">
        <v>7</v>
      </c>
      <c r="D52" s="1">
        <v>281.64999999999998</v>
      </c>
      <c r="J52" s="1">
        <v>281.14999999999998</v>
      </c>
      <c r="K52" s="2">
        <v>43117</v>
      </c>
      <c r="M52" s="16">
        <f t="shared" si="5"/>
        <v>-3500</v>
      </c>
      <c r="S52">
        <f>IF(B52="","",VLOOKUP(Cmt(B52),Sheet2!A:B,2,FALSE))</f>
        <v>1000</v>
      </c>
      <c r="T52" s="22"/>
      <c r="U52" s="13"/>
      <c r="W52" s="11"/>
    </row>
    <row r="53" spans="1:23">
      <c r="B53" s="1" t="s">
        <v>36</v>
      </c>
      <c r="C53" s="1">
        <v>9</v>
      </c>
      <c r="D53" s="1">
        <v>2732</v>
      </c>
      <c r="J53" s="1">
        <v>2726</v>
      </c>
      <c r="K53" s="2">
        <v>43117</v>
      </c>
      <c r="M53" s="16">
        <f t="shared" si="5"/>
        <v>-540</v>
      </c>
      <c r="S53">
        <f>IF(B53="","",VLOOKUP(Cmt(B53),Sheet2!A:B,2,FALSE))</f>
        <v>10</v>
      </c>
      <c r="W53" s="11"/>
    </row>
    <row r="54" spans="1:23">
      <c r="B54" s="1" t="s">
        <v>36</v>
      </c>
      <c r="C54" s="1">
        <v>3</v>
      </c>
      <c r="D54" s="1">
        <v>2738</v>
      </c>
      <c r="J54" s="1">
        <v>2734</v>
      </c>
      <c r="K54" s="2">
        <v>43117</v>
      </c>
      <c r="M54" s="16">
        <f t="shared" si="5"/>
        <v>-120</v>
      </c>
      <c r="S54">
        <f>IF(B54="","",VLOOKUP(Cmt(B54),Sheet2!A:B,2,FALSE))</f>
        <v>10</v>
      </c>
      <c r="W54" s="11"/>
    </row>
    <row r="55" spans="1:23">
      <c r="B55" s="1" t="s">
        <v>37</v>
      </c>
      <c r="C55" s="1">
        <v>10</v>
      </c>
      <c r="D55" s="1">
        <v>2768</v>
      </c>
      <c r="J55" s="1">
        <v>2764</v>
      </c>
      <c r="K55" s="2">
        <v>43118</v>
      </c>
      <c r="L55" s="26">
        <v>0.8881944444444444</v>
      </c>
      <c r="M55" s="16">
        <f t="shared" si="5"/>
        <v>-400</v>
      </c>
      <c r="S55">
        <f>IF(B55="","",VLOOKUP(Cmt(B55),Sheet2!A:B,2,FALSE))</f>
        <v>10</v>
      </c>
      <c r="W55" s="11"/>
    </row>
    <row r="56" spans="1:23">
      <c r="B56" s="1" t="s">
        <v>38</v>
      </c>
      <c r="C56" s="1">
        <v>-31</v>
      </c>
      <c r="D56" s="1">
        <f>3803*1/31+3805*30/31</f>
        <v>3804.9354838709678</v>
      </c>
      <c r="J56" s="1">
        <v>3826</v>
      </c>
      <c r="K56" s="2">
        <v>43117</v>
      </c>
      <c r="M56" s="16">
        <f t="shared" si="5"/>
        <v>-6529.9999999999818</v>
      </c>
      <c r="S56">
        <f>IF(B56="","",VLOOKUP(Cmt(B56),Sheet2!A:B,2,FALSE))</f>
        <v>10</v>
      </c>
      <c r="W56" s="11"/>
    </row>
    <row r="57" spans="1:23">
      <c r="B57" s="1" t="s">
        <v>39</v>
      </c>
      <c r="C57" s="1">
        <v>-7</v>
      </c>
      <c r="D57" s="1">
        <v>14200</v>
      </c>
      <c r="J57" s="1">
        <v>14240</v>
      </c>
      <c r="K57" s="2">
        <v>43117</v>
      </c>
      <c r="M57" s="16">
        <f t="shared" si="5"/>
        <v>-2800</v>
      </c>
      <c r="S57">
        <f>IF(B57="","",VLOOKUP(Cmt(B57),Sheet2!A:B,2,FALSE))</f>
        <v>10</v>
      </c>
      <c r="W57" s="11"/>
    </row>
    <row r="58" spans="1:23">
      <c r="B58" s="1" t="s">
        <v>39</v>
      </c>
      <c r="C58" s="1">
        <v>6</v>
      </c>
      <c r="D58" s="1">
        <f>14240*1/6+14245*5/6</f>
        <v>14244.166666666668</v>
      </c>
      <c r="J58" s="1">
        <v>14215</v>
      </c>
      <c r="K58" s="2">
        <v>43117</v>
      </c>
      <c r="M58" s="16">
        <f t="shared" si="5"/>
        <v>-1750.0000000000728</v>
      </c>
      <c r="S58">
        <f>IF(B58="","",VLOOKUP(Cmt(B58),Sheet2!A:B,2,FALSE))</f>
        <v>10</v>
      </c>
      <c r="W58" s="11"/>
    </row>
    <row r="59" spans="1:23">
      <c r="B59" s="1" t="s">
        <v>39</v>
      </c>
      <c r="C59" s="1">
        <v>6</v>
      </c>
      <c r="D59" s="1">
        <f>14225*1/6+14230*5/6</f>
        <v>14229.166666666668</v>
      </c>
      <c r="J59" s="1">
        <v>14190</v>
      </c>
      <c r="K59" s="2">
        <v>43117</v>
      </c>
      <c r="M59" s="16">
        <f t="shared" ref="M59:M78" si="7">IF(J59="","",C59*(J59-D59)*S59)</f>
        <v>-2350.0000000000728</v>
      </c>
      <c r="S59">
        <f>IF(B59="","",VLOOKUP(Cmt(B59),Sheet2!A:B,2,FALSE))</f>
        <v>10</v>
      </c>
      <c r="W59" s="11"/>
    </row>
    <row r="60" spans="1:23">
      <c r="B60" s="1" t="s">
        <v>39</v>
      </c>
      <c r="C60" s="1">
        <v>-16</v>
      </c>
      <c r="D60" s="1">
        <f>14125*1/16+14130*15/16</f>
        <v>14129.6875</v>
      </c>
      <c r="J60" s="1">
        <v>14175</v>
      </c>
      <c r="K60" s="2">
        <v>43118</v>
      </c>
      <c r="L60" s="26">
        <v>0.37847222222222227</v>
      </c>
      <c r="M60" s="16">
        <f t="shared" si="7"/>
        <v>-7250</v>
      </c>
      <c r="S60">
        <f>IF(B60="","",VLOOKUP(Cmt(B60),Sheet2!A:B,2,FALSE))</f>
        <v>10</v>
      </c>
      <c r="W60" s="11"/>
    </row>
    <row r="61" spans="1:23">
      <c r="B61" s="1" t="s">
        <v>33</v>
      </c>
      <c r="C61" s="1">
        <v>61</v>
      </c>
      <c r="D61" s="1">
        <v>1478</v>
      </c>
      <c r="J61" s="1">
        <v>1477</v>
      </c>
      <c r="K61" s="2">
        <v>43118</v>
      </c>
      <c r="L61" s="26">
        <v>0.8881944444444444</v>
      </c>
      <c r="M61" s="16">
        <f t="shared" si="7"/>
        <v>-1220</v>
      </c>
      <c r="S61">
        <f>IF(B61="","",VLOOKUP(Cmt(B61),Sheet2!A:B,2,FALSE))</f>
        <v>20</v>
      </c>
      <c r="W61" s="11"/>
    </row>
    <row r="62" spans="1:23">
      <c r="B62" s="1" t="s">
        <v>40</v>
      </c>
      <c r="C62" s="1">
        <v>-16</v>
      </c>
      <c r="D62" s="1">
        <f>2827*1/16+2825*15/16</f>
        <v>2825.125</v>
      </c>
      <c r="J62" s="1">
        <v>2857</v>
      </c>
      <c r="K62" s="2">
        <v>43123</v>
      </c>
      <c r="L62" s="26">
        <v>0.4680555555555555</v>
      </c>
      <c r="M62" s="16">
        <f t="shared" si="7"/>
        <v>-5100</v>
      </c>
      <c r="S62">
        <f>IF(B62="","",VLOOKUP(Cmt(B62),Sheet2!A:B,2,FALSE))</f>
        <v>10</v>
      </c>
      <c r="W62" s="11"/>
    </row>
    <row r="63" spans="1:23">
      <c r="B63" s="1" t="s">
        <v>43</v>
      </c>
      <c r="C63" s="1">
        <f>1+6+114+12</f>
        <v>133</v>
      </c>
      <c r="D63" s="1">
        <v>2132</v>
      </c>
      <c r="J63" s="1">
        <v>2123</v>
      </c>
      <c r="K63" s="2">
        <v>43117</v>
      </c>
      <c r="M63" s="16">
        <f t="shared" si="7"/>
        <v>-11970</v>
      </c>
      <c r="S63">
        <f>IF(B63="","",VLOOKUP(Cmt(B63),Sheet2!A:B,2,FALSE))</f>
        <v>10</v>
      </c>
      <c r="W63" s="11"/>
    </row>
    <row r="64" spans="1:23">
      <c r="B64" s="1" t="s">
        <v>43</v>
      </c>
      <c r="C64" s="1">
        <v>-6</v>
      </c>
      <c r="D64" s="1">
        <v>2122</v>
      </c>
      <c r="J64" s="1">
        <v>2094</v>
      </c>
      <c r="K64" s="2">
        <v>43125</v>
      </c>
      <c r="L64" s="26">
        <v>0.37986111111111115</v>
      </c>
      <c r="M64" s="16">
        <f t="shared" si="7"/>
        <v>1680</v>
      </c>
      <c r="S64">
        <f>IF(B64="","",VLOOKUP(Cmt(B64),Sheet2!A:B,2,FALSE))</f>
        <v>10</v>
      </c>
      <c r="W64" s="11"/>
    </row>
    <row r="65" spans="1:23">
      <c r="B65" s="1" t="s">
        <v>44</v>
      </c>
      <c r="C65" s="1">
        <v>-33</v>
      </c>
      <c r="D65" s="1">
        <v>2761</v>
      </c>
      <c r="J65" s="1">
        <v>2762</v>
      </c>
      <c r="K65" s="2">
        <v>43117</v>
      </c>
      <c r="M65" s="16">
        <f t="shared" si="7"/>
        <v>-330</v>
      </c>
      <c r="S65">
        <f>IF(B65="","",VLOOKUP(Cmt(B65),Sheet2!A:B,2,FALSE))</f>
        <v>10</v>
      </c>
      <c r="W65" s="11"/>
    </row>
    <row r="66" spans="1:23">
      <c r="B66" s="1" t="s">
        <v>45</v>
      </c>
      <c r="C66" s="1">
        <v>36</v>
      </c>
      <c r="D66" s="1">
        <f>9443*1/36+9438*35/36</f>
        <v>9438.1388888888887</v>
      </c>
      <c r="J66" s="1">
        <f>9421*2/36+9422*34/36</f>
        <v>9421.9444444444434</v>
      </c>
      <c r="K66" s="2">
        <v>43117</v>
      </c>
      <c r="M66" s="16">
        <f t="shared" si="7"/>
        <v>-2915.0000000001455</v>
      </c>
      <c r="S66">
        <f>IF(B66="","",VLOOKUP(Cmt(B66),Sheet2!A:B,2,FALSE))</f>
        <v>5</v>
      </c>
      <c r="W66" s="11"/>
    </row>
    <row r="67" spans="1:23">
      <c r="B67" s="1" t="s">
        <v>45</v>
      </c>
      <c r="C67" s="1">
        <v>36</v>
      </c>
      <c r="D67" s="1">
        <f>9387*1/36+9390*35/36</f>
        <v>9389.9166666666661</v>
      </c>
      <c r="J67" s="1">
        <v>9385</v>
      </c>
      <c r="K67" s="2">
        <v>43117</v>
      </c>
      <c r="M67" s="16">
        <f t="shared" si="7"/>
        <v>-884.99999999989086</v>
      </c>
      <c r="S67">
        <f>IF(B67="","",VLOOKUP(Cmt(B67),Sheet2!A:B,2,FALSE))</f>
        <v>5</v>
      </c>
      <c r="W67" s="11"/>
    </row>
    <row r="68" spans="1:23">
      <c r="B68" s="1" t="s">
        <v>47</v>
      </c>
      <c r="C68" s="1">
        <v>-34</v>
      </c>
      <c r="D68" s="1">
        <v>6570</v>
      </c>
      <c r="J68" s="1">
        <v>6585</v>
      </c>
      <c r="K68" s="2">
        <v>43117</v>
      </c>
      <c r="M68" s="16">
        <f t="shared" si="7"/>
        <v>-2550</v>
      </c>
      <c r="S68">
        <f>IF(B68="","",VLOOKUP(Cmt(B68),Sheet2!A:B,2,FALSE))</f>
        <v>5</v>
      </c>
      <c r="W68" s="11"/>
    </row>
    <row r="69" spans="1:23">
      <c r="A69" s="3"/>
      <c r="B69" s="3" t="s">
        <v>47</v>
      </c>
      <c r="C69" s="3">
        <v>-34</v>
      </c>
      <c r="D69" s="3">
        <v>6570</v>
      </c>
      <c r="E69" s="3"/>
      <c r="F69" s="3"/>
      <c r="G69" s="18"/>
      <c r="H69" s="51"/>
      <c r="I69" s="18"/>
      <c r="J69" s="3">
        <f>6580*4/34+6575*30/34</f>
        <v>6575.5882352941171</v>
      </c>
      <c r="K69" s="19">
        <v>43117</v>
      </c>
      <c r="L69" s="3"/>
      <c r="M69" s="14">
        <f t="shared" si="7"/>
        <v>-949.99999999990905</v>
      </c>
      <c r="N69" s="3"/>
      <c r="O69" s="3"/>
      <c r="P69" s="4"/>
      <c r="Q69" s="22"/>
      <c r="R69" s="22"/>
      <c r="S69">
        <f>IF(B69="","",VLOOKUP(Cmt(B69),Sheet2!A:B,2,FALSE))</f>
        <v>5</v>
      </c>
      <c r="W69" s="11"/>
    </row>
    <row r="70" spans="1:23">
      <c r="A70" s="2">
        <v>43118</v>
      </c>
      <c r="B70" s="27" t="s">
        <v>48</v>
      </c>
      <c r="C70" s="27">
        <v>-12</v>
      </c>
      <c r="D70" s="27">
        <v>97244.17</v>
      </c>
      <c r="E70" s="43">
        <v>43118</v>
      </c>
      <c r="F70" s="28">
        <v>0.88888888888888884</v>
      </c>
      <c r="G70" s="29">
        <v>1.7999999999999999E-2</v>
      </c>
      <c r="H70" s="55"/>
      <c r="I70" s="29"/>
      <c r="J70" s="27">
        <v>98170</v>
      </c>
      <c r="K70" s="19">
        <v>43122</v>
      </c>
      <c r="L70" s="28">
        <v>0.97013888888888899</v>
      </c>
      <c r="M70" s="32">
        <f t="shared" si="7"/>
        <v>-11109.960000000021</v>
      </c>
      <c r="N70" s="27"/>
      <c r="O70" s="27"/>
      <c r="P70" s="30"/>
      <c r="Q70" s="22"/>
      <c r="R70" s="22"/>
      <c r="S70">
        <f>IF(B70="","",VLOOKUP(Cmt(B70),Sheet2!A:B,2,FALSE))</f>
        <v>1</v>
      </c>
      <c r="W70" s="11"/>
    </row>
    <row r="71" spans="1:23">
      <c r="B71" s="1" t="s">
        <v>39</v>
      </c>
      <c r="C71" s="1">
        <v>1</v>
      </c>
      <c r="D71" s="1">
        <v>14180</v>
      </c>
      <c r="E71" s="2">
        <v>43118</v>
      </c>
      <c r="F71" s="26">
        <v>0.37847222222222227</v>
      </c>
      <c r="G71" s="17">
        <v>2E-3</v>
      </c>
      <c r="J71" s="1">
        <v>14170</v>
      </c>
      <c r="K71" s="2">
        <v>43119</v>
      </c>
      <c r="L71" s="26">
        <v>0.8847222222222223</v>
      </c>
      <c r="M71" s="16">
        <f t="shared" si="7"/>
        <v>-100</v>
      </c>
      <c r="S71">
        <f>IF(B71="","",VLOOKUP(Cmt(B71),Sheet2!A:B,2,FALSE))</f>
        <v>10</v>
      </c>
      <c r="W71" s="11"/>
    </row>
    <row r="72" spans="1:23">
      <c r="A72" s="3"/>
      <c r="B72" s="3" t="s">
        <v>33</v>
      </c>
      <c r="C72" s="3">
        <v>38</v>
      </c>
      <c r="D72" s="3">
        <v>1494</v>
      </c>
      <c r="E72" s="19">
        <v>43118</v>
      </c>
      <c r="F72" s="31">
        <v>0.58750000000000002</v>
      </c>
      <c r="G72" s="18">
        <v>1.7999999999999999E-2</v>
      </c>
      <c r="H72" s="51"/>
      <c r="I72" s="18"/>
      <c r="J72" s="3">
        <v>1467</v>
      </c>
      <c r="K72" s="19">
        <v>43122</v>
      </c>
      <c r="L72" s="31">
        <v>0.92083333333333339</v>
      </c>
      <c r="M72" s="14">
        <f t="shared" si="7"/>
        <v>-20520</v>
      </c>
      <c r="N72" s="3"/>
      <c r="O72" s="3"/>
      <c r="P72" s="4"/>
      <c r="Q72" s="22"/>
      <c r="R72" s="22"/>
      <c r="S72">
        <f>IF(B72="","",VLOOKUP(Cmt(B72),Sheet2!A:B,2,FALSE))</f>
        <v>20</v>
      </c>
      <c r="T72" s="22">
        <v>9689000</v>
      </c>
      <c r="U72" s="13">
        <f t="shared" ref="U72:U73" si="8">T72*G72/(D72*S72*0.15)</f>
        <v>38.911646586345384</v>
      </c>
      <c r="W72" s="11"/>
    </row>
    <row r="73" spans="1:23">
      <c r="A73" s="2">
        <v>43119</v>
      </c>
      <c r="B73" s="1" t="s">
        <v>13</v>
      </c>
      <c r="C73" s="1">
        <v>26</v>
      </c>
      <c r="D73" s="1">
        <v>3874</v>
      </c>
      <c r="E73" s="2">
        <v>43119</v>
      </c>
      <c r="F73" s="26">
        <v>0.8847222222222223</v>
      </c>
      <c r="G73" s="17">
        <v>1.6E-2</v>
      </c>
      <c r="J73" s="1">
        <v>3933</v>
      </c>
      <c r="K73" s="2">
        <v>43122</v>
      </c>
      <c r="L73" s="26">
        <v>0.60416666666666663</v>
      </c>
      <c r="M73" s="16">
        <f t="shared" si="7"/>
        <v>15340</v>
      </c>
      <c r="S73">
        <f>IF(B73="","",VLOOKUP(Cmt(B73),Sheet2!A:B,2,FALSE))</f>
        <v>10</v>
      </c>
      <c r="T73" s="22">
        <v>9689000</v>
      </c>
      <c r="U73" s="13">
        <f t="shared" si="8"/>
        <v>26.677680261572878</v>
      </c>
      <c r="W73" s="11"/>
    </row>
    <row r="74" spans="1:23">
      <c r="B74" s="3" t="s">
        <v>17</v>
      </c>
      <c r="C74" s="3">
        <v>-17</v>
      </c>
      <c r="D74" s="3">
        <v>14155</v>
      </c>
      <c r="E74" s="19">
        <v>43119</v>
      </c>
      <c r="F74" s="31">
        <v>0.92083333333333339</v>
      </c>
      <c r="G74" s="18">
        <v>3.7999999999999999E-2</v>
      </c>
      <c r="H74" s="51"/>
      <c r="I74" s="18"/>
      <c r="J74" s="3">
        <v>14185</v>
      </c>
      <c r="K74" s="19">
        <v>43119</v>
      </c>
      <c r="L74" s="31">
        <v>0.375</v>
      </c>
      <c r="M74" s="14">
        <f t="shared" si="7"/>
        <v>-5100</v>
      </c>
      <c r="N74" s="3"/>
      <c r="O74" s="3"/>
      <c r="P74" s="4"/>
      <c r="Q74" s="22"/>
      <c r="R74" s="22"/>
      <c r="S74">
        <f>IF(B74="","",VLOOKUP(Cmt(B74),Sheet2!A:B,2,FALSE))</f>
        <v>10</v>
      </c>
      <c r="T74" s="22">
        <v>9689001</v>
      </c>
      <c r="U74" s="13">
        <f t="shared" ref="U74:U75" si="9">T74*G74/(D74*S74*0.15)</f>
        <v>17.340493959731543</v>
      </c>
      <c r="W74" s="11"/>
    </row>
    <row r="75" spans="1:23">
      <c r="B75" s="1" t="s">
        <v>49</v>
      </c>
      <c r="C75" s="1">
        <v>84</v>
      </c>
      <c r="D75" s="1">
        <v>2293</v>
      </c>
      <c r="E75" s="2">
        <v>43119</v>
      </c>
      <c r="F75" s="26">
        <v>0.375</v>
      </c>
      <c r="G75" s="17">
        <v>0.03</v>
      </c>
      <c r="J75" s="1">
        <v>2285</v>
      </c>
      <c r="K75" s="2">
        <v>43124</v>
      </c>
      <c r="L75" s="26">
        <v>0.57013888888888886</v>
      </c>
      <c r="M75" s="16">
        <f t="shared" si="7"/>
        <v>-6720</v>
      </c>
      <c r="S75">
        <f>IF(B75="","",VLOOKUP(Cmt(B75),Sheet2!A:B,2,FALSE))</f>
        <v>10</v>
      </c>
      <c r="T75" s="22">
        <v>9695001</v>
      </c>
      <c r="U75" s="13">
        <f t="shared" si="9"/>
        <v>84.561718273004786</v>
      </c>
      <c r="W75" s="11"/>
    </row>
    <row r="76" spans="1:23">
      <c r="B76" s="1" t="s">
        <v>50</v>
      </c>
      <c r="C76" s="1">
        <v>-8</v>
      </c>
      <c r="D76" s="1">
        <v>3847</v>
      </c>
      <c r="E76" s="2">
        <v>43119</v>
      </c>
      <c r="F76" s="26">
        <v>0.375</v>
      </c>
      <c r="G76" s="17">
        <v>5.0000000000000001E-3</v>
      </c>
      <c r="J76" s="1">
        <v>3906</v>
      </c>
      <c r="K76" s="2">
        <v>43122</v>
      </c>
      <c r="L76" s="26">
        <v>0.37916666666666665</v>
      </c>
      <c r="M76" s="16">
        <f t="shared" si="7"/>
        <v>-4720</v>
      </c>
      <c r="S76">
        <f>IF(B76="","",VLOOKUP(Cmt(B76),Sheet2!A:B,2,FALSE))</f>
        <v>10</v>
      </c>
      <c r="T76" s="22">
        <v>9695002</v>
      </c>
      <c r="U76" s="13">
        <f t="shared" ref="U76:U77" si="10">T76*G76/(D76*S76*0.15)</f>
        <v>8.40048695953557</v>
      </c>
      <c r="W76" s="11"/>
    </row>
    <row r="77" spans="1:23">
      <c r="B77" s="13" t="s">
        <v>17</v>
      </c>
      <c r="C77" s="13">
        <v>-17</v>
      </c>
      <c r="D77" s="13">
        <v>14055</v>
      </c>
      <c r="E77" s="2">
        <v>43119</v>
      </c>
      <c r="F77" s="33">
        <v>0.44027777777777777</v>
      </c>
      <c r="G77" s="20">
        <v>3.7999999999999999E-2</v>
      </c>
      <c r="H77" s="54"/>
      <c r="I77" s="20"/>
      <c r="J77" s="13">
        <v>13800</v>
      </c>
      <c r="K77" s="21">
        <v>43124</v>
      </c>
      <c r="L77" s="33">
        <v>0.62013888888888891</v>
      </c>
      <c r="M77" s="16">
        <f t="shared" si="7"/>
        <v>43350</v>
      </c>
      <c r="N77" s="13"/>
      <c r="O77" s="13"/>
      <c r="P77" s="22"/>
      <c r="Q77" s="22"/>
      <c r="R77" s="22"/>
      <c r="S77">
        <f>IF(B77="","",VLOOKUP(Cmt(B77),Sheet2!A:B,2,FALSE))</f>
        <v>10</v>
      </c>
      <c r="T77" s="22">
        <v>9689001</v>
      </c>
      <c r="U77" s="13">
        <f t="shared" si="10"/>
        <v>17.463869939523303</v>
      </c>
      <c r="W77" s="11"/>
    </row>
    <row r="78" spans="1:23" ht="14.25" thickBot="1">
      <c r="A78" s="34"/>
      <c r="B78" s="34" t="s">
        <v>65</v>
      </c>
      <c r="C78" s="34">
        <v>16</v>
      </c>
      <c r="D78" s="34">
        <v>539</v>
      </c>
      <c r="E78" s="38">
        <v>43119</v>
      </c>
      <c r="F78" s="35">
        <v>0.59583333333333333</v>
      </c>
      <c r="G78" s="36">
        <v>1.4E-2</v>
      </c>
      <c r="H78" s="53"/>
      <c r="I78" s="36"/>
      <c r="J78" s="34">
        <v>540.5</v>
      </c>
      <c r="K78" s="38">
        <v>43122</v>
      </c>
      <c r="L78" s="35">
        <v>0.57013888888888886</v>
      </c>
      <c r="M78" s="40">
        <f t="shared" si="7"/>
        <v>2400</v>
      </c>
      <c r="N78" s="34"/>
      <c r="O78" s="34"/>
      <c r="P78" s="37"/>
      <c r="Q78" s="22"/>
      <c r="R78" s="22"/>
      <c r="S78">
        <f>IF(B78="","",VLOOKUP(Cmt(B78),Sheet2!A:B,2,FALSE))</f>
        <v>100</v>
      </c>
      <c r="T78" s="22">
        <v>9689002</v>
      </c>
      <c r="U78" s="13">
        <f t="shared" ref="U78" si="11">T78*G78/(D78*S78*0.15)</f>
        <v>16.777492640692639</v>
      </c>
      <c r="W78" s="11"/>
    </row>
    <row r="79" spans="1:23">
      <c r="A79" s="2">
        <v>43122</v>
      </c>
      <c r="B79" s="1" t="s">
        <v>66</v>
      </c>
      <c r="C79" s="1">
        <v>7</v>
      </c>
      <c r="D79" s="1">
        <v>26130</v>
      </c>
      <c r="E79" s="2">
        <v>43122</v>
      </c>
      <c r="F79" s="26">
        <v>0.88541666666666663</v>
      </c>
      <c r="G79" s="17">
        <v>1.4999999999999999E-2</v>
      </c>
      <c r="J79" s="1">
        <v>26080</v>
      </c>
      <c r="K79" s="2">
        <v>43122</v>
      </c>
      <c r="L79" s="26">
        <v>0.92083333333333339</v>
      </c>
      <c r="M79" s="16">
        <f t="shared" ref="M79:M81" si="12">IF(J79="","",C79*(J79-D79)*S79)</f>
        <v>-1750</v>
      </c>
      <c r="S79">
        <f>IF(B79="","",VLOOKUP(Cmt(B79),Sheet2!A:B,2,FALSE))</f>
        <v>5</v>
      </c>
      <c r="T79" s="22">
        <v>9689002</v>
      </c>
      <c r="U79" s="13">
        <f t="shared" ref="U79" si="13">T79*G79/(D79*S79*0.15)</f>
        <v>7.4159984691924992</v>
      </c>
      <c r="W79" s="11"/>
    </row>
    <row r="80" spans="1:23">
      <c r="B80" s="1" t="s">
        <v>66</v>
      </c>
      <c r="C80" s="1">
        <v>7</v>
      </c>
      <c r="D80" s="1">
        <v>26105</v>
      </c>
      <c r="E80" s="2">
        <v>43122</v>
      </c>
      <c r="F80" s="26">
        <v>0.97222222222222221</v>
      </c>
      <c r="G80" s="17">
        <v>1.4999999999999999E-2</v>
      </c>
      <c r="J80" s="1">
        <v>26085</v>
      </c>
      <c r="K80" s="2">
        <v>43122</v>
      </c>
      <c r="L80" s="26">
        <v>0.37916666666666665</v>
      </c>
      <c r="M80" s="16">
        <f t="shared" si="12"/>
        <v>-700</v>
      </c>
      <c r="S80">
        <f>IF(B80="","",VLOOKUP(Cmt(B80),Sheet2!A:B,2,FALSE))</f>
        <v>5</v>
      </c>
      <c r="T80" s="22">
        <v>9689003</v>
      </c>
      <c r="U80" s="13">
        <f t="shared" ref="U80:U82" si="14">T80*G80/(D80*S80*0.15)</f>
        <v>7.4231013215859019</v>
      </c>
      <c r="W80" s="11"/>
    </row>
    <row r="81" spans="1:23">
      <c r="B81" s="13" t="s">
        <v>67</v>
      </c>
      <c r="C81" s="13">
        <v>43</v>
      </c>
      <c r="D81" s="13">
        <v>5628</v>
      </c>
      <c r="E81" s="2">
        <v>43122</v>
      </c>
      <c r="F81" s="33">
        <v>0.97222222222222221</v>
      </c>
      <c r="G81" s="20">
        <v>1.9E-2</v>
      </c>
      <c r="H81" s="54"/>
      <c r="I81" s="20"/>
      <c r="J81" s="13">
        <v>5744</v>
      </c>
      <c r="K81" s="21">
        <v>43125</v>
      </c>
      <c r="L81" s="33">
        <v>0.87708333333333333</v>
      </c>
      <c r="M81" s="13">
        <f t="shared" si="12"/>
        <v>24940</v>
      </c>
      <c r="N81" s="13"/>
      <c r="O81" s="13"/>
      <c r="P81" s="22"/>
      <c r="Q81" s="22"/>
      <c r="R81" s="22"/>
      <c r="S81">
        <f>IF(B81="","",VLOOKUP(Cmt(B81),Sheet2!A:B,2,FALSE))</f>
        <v>5</v>
      </c>
      <c r="T81" s="22">
        <v>9689004</v>
      </c>
      <c r="U81" s="13">
        <f t="shared" si="14"/>
        <v>43.613142857142854</v>
      </c>
      <c r="W81" s="11"/>
    </row>
    <row r="82" spans="1:23">
      <c r="B82" s="13" t="s">
        <v>68</v>
      </c>
      <c r="C82" s="1">
        <v>5</v>
      </c>
      <c r="D82" s="1">
        <v>2776</v>
      </c>
      <c r="E82" s="2">
        <v>43122</v>
      </c>
      <c r="F82" s="26">
        <v>0.39861111111111108</v>
      </c>
      <c r="G82" s="17">
        <v>2E-3</v>
      </c>
      <c r="J82" s="1">
        <v>2756</v>
      </c>
      <c r="K82" s="2">
        <v>43123</v>
      </c>
      <c r="L82" s="26">
        <v>0.5708333333333333</v>
      </c>
      <c r="M82" s="16">
        <f t="shared" ref="M82:M147" si="15">IF(J82="","",C82*(J82-D82)*S82)</f>
        <v>-1000</v>
      </c>
      <c r="S82">
        <f>IF(B82="","",VLOOKUP(Cmt(B82),Sheet2!A:B,2,FALSE))</f>
        <v>10</v>
      </c>
      <c r="T82" s="39">
        <v>9708000</v>
      </c>
      <c r="U82" s="13">
        <f t="shared" si="14"/>
        <v>4.662824207492795</v>
      </c>
      <c r="W82" s="11"/>
    </row>
    <row r="83" spans="1:23">
      <c r="A83" s="3"/>
      <c r="B83" s="3" t="s">
        <v>69</v>
      </c>
      <c r="C83" s="3">
        <v>1</v>
      </c>
      <c r="D83" s="3">
        <v>6316.2</v>
      </c>
      <c r="E83" s="19">
        <v>43122</v>
      </c>
      <c r="F83" s="31">
        <v>0.56944444444444442</v>
      </c>
      <c r="G83" s="18">
        <v>1.9E-2</v>
      </c>
      <c r="H83" s="51"/>
      <c r="I83" s="18"/>
      <c r="J83" s="3">
        <v>6367.2</v>
      </c>
      <c r="K83" s="19">
        <v>43129</v>
      </c>
      <c r="L83" s="31">
        <v>0.4375</v>
      </c>
      <c r="M83" s="3">
        <f t="shared" si="15"/>
        <v>10200</v>
      </c>
      <c r="N83" s="3"/>
      <c r="O83" s="3"/>
      <c r="P83" s="4"/>
      <c r="Q83" s="22"/>
      <c r="R83" s="22"/>
      <c r="S83">
        <f>IF(B83="","",VLOOKUP(Cmt(B83),Sheet2!A:B,2,FALSE))</f>
        <v>200</v>
      </c>
      <c r="T83" s="39">
        <v>9708001</v>
      </c>
      <c r="U83" s="13">
        <f t="shared" ref="U83" si="16">T83*G83/(D83*S83*0.15)</f>
        <v>0.97343349376734956</v>
      </c>
      <c r="W83" s="11"/>
    </row>
    <row r="84" spans="1:23">
      <c r="A84" s="2">
        <v>43123</v>
      </c>
      <c r="B84" s="1" t="s">
        <v>70</v>
      </c>
      <c r="C84" s="1">
        <v>21</v>
      </c>
      <c r="D84" s="1">
        <v>9480</v>
      </c>
      <c r="E84" s="2">
        <v>43123</v>
      </c>
      <c r="F84" s="26">
        <v>0.37777777777777777</v>
      </c>
      <c r="G84" s="17">
        <v>1.4999999999999999E-2</v>
      </c>
      <c r="J84" s="1">
        <v>9407</v>
      </c>
      <c r="K84" s="2">
        <v>43123</v>
      </c>
      <c r="L84" s="26">
        <v>0.40833333333333338</v>
      </c>
      <c r="M84" s="16">
        <f t="shared" si="15"/>
        <v>-7665</v>
      </c>
      <c r="S84">
        <f>IF(B84="","",VLOOKUP(Cmt(B84),Sheet2!A:B,2,FALSE))</f>
        <v>5</v>
      </c>
      <c r="T84" s="39">
        <v>9708002</v>
      </c>
      <c r="U84" s="13">
        <f t="shared" ref="U84" si="17">T84*G84/(D84*S84*0.15)</f>
        <v>20.481016877637131</v>
      </c>
      <c r="W84" s="11"/>
    </row>
    <row r="85" spans="1:23">
      <c r="B85" s="1" t="s">
        <v>71</v>
      </c>
      <c r="C85" s="1">
        <v>-12</v>
      </c>
      <c r="D85" s="1">
        <v>98110</v>
      </c>
      <c r="E85" s="2">
        <v>43123</v>
      </c>
      <c r="F85" s="26">
        <v>0.40833333333333338</v>
      </c>
      <c r="G85" s="17">
        <v>1.9E-2</v>
      </c>
      <c r="J85" s="1">
        <v>99540</v>
      </c>
      <c r="K85" s="2">
        <v>43123</v>
      </c>
      <c r="L85" s="26">
        <v>0.62222222222222223</v>
      </c>
      <c r="M85" s="16">
        <f t="shared" si="15"/>
        <v>-17160</v>
      </c>
      <c r="S85">
        <f>IF(B85="","",VLOOKUP(Cmt(B85),Sheet2!A:B,2,FALSE))</f>
        <v>1</v>
      </c>
      <c r="T85" s="39">
        <v>9708003</v>
      </c>
      <c r="U85" s="13">
        <f t="shared" ref="U85" si="18">T85*G85/(D85*S85*0.15)</f>
        <v>12.533690551421873</v>
      </c>
      <c r="W85" s="11"/>
    </row>
    <row r="86" spans="1:23">
      <c r="B86" s="1" t="s">
        <v>72</v>
      </c>
      <c r="C86" s="1">
        <v>-33</v>
      </c>
      <c r="D86" s="1">
        <v>6650.3</v>
      </c>
      <c r="E86" s="2">
        <v>43123</v>
      </c>
      <c r="F86" s="26">
        <v>0.40833333333333338</v>
      </c>
      <c r="G86" s="17">
        <v>1.7000000000000001E-2</v>
      </c>
      <c r="J86" s="1">
        <v>6686</v>
      </c>
      <c r="K86" s="2">
        <v>43123</v>
      </c>
      <c r="L86" s="26">
        <v>0.5708333333333333</v>
      </c>
      <c r="M86" s="16">
        <f t="shared" si="15"/>
        <v>-5890.49999999997</v>
      </c>
      <c r="S86">
        <f>IF(B86="","",VLOOKUP(Cmt(B86),Sheet2!A:B,2,FALSE))</f>
        <v>5</v>
      </c>
      <c r="T86" s="39">
        <v>9708004</v>
      </c>
      <c r="U86" s="13">
        <f t="shared" ref="U86" si="19">T86*G86/(D86*S86*0.15)</f>
        <v>33.088445734277656</v>
      </c>
      <c r="W86" s="11"/>
    </row>
    <row r="87" spans="1:23">
      <c r="A87" s="13"/>
      <c r="B87" s="13" t="s">
        <v>70</v>
      </c>
      <c r="C87" s="13">
        <v>28</v>
      </c>
      <c r="D87" s="13">
        <v>9538</v>
      </c>
      <c r="E87" s="2">
        <v>43123</v>
      </c>
      <c r="F87" s="33">
        <v>0.4694444444444445</v>
      </c>
      <c r="G87" s="20">
        <v>2.1000000000000001E-2</v>
      </c>
      <c r="H87" s="54"/>
      <c r="I87" s="20"/>
      <c r="J87" s="13">
        <v>9486</v>
      </c>
      <c r="K87" s="21">
        <v>43124</v>
      </c>
      <c r="L87" s="33">
        <v>0.44444444444444442</v>
      </c>
      <c r="M87" s="16">
        <f t="shared" si="15"/>
        <v>-7280</v>
      </c>
      <c r="N87" s="13"/>
      <c r="O87" s="13"/>
      <c r="P87" s="22"/>
      <c r="Q87" s="22"/>
      <c r="R87" s="22"/>
      <c r="S87">
        <f>IF(B87="","",VLOOKUP(Cmt(B87),Sheet2!A:B,2,FALSE))</f>
        <v>5</v>
      </c>
      <c r="T87" s="39">
        <v>9708005</v>
      </c>
      <c r="U87" s="13">
        <f t="shared" ref="U87" si="20">T87*G87/(D87*S87*0.15)</f>
        <v>28.499071084084715</v>
      </c>
      <c r="W87" s="11"/>
    </row>
    <row r="88" spans="1:23">
      <c r="A88" s="3"/>
      <c r="B88" s="3" t="s">
        <v>81</v>
      </c>
      <c r="C88" s="3">
        <v>26</v>
      </c>
      <c r="D88" s="3">
        <v>6740</v>
      </c>
      <c r="E88" s="19">
        <v>43123</v>
      </c>
      <c r="F88" s="31">
        <v>0.59166666666666667</v>
      </c>
      <c r="G88" s="18">
        <v>1.4E-2</v>
      </c>
      <c r="H88" s="51"/>
      <c r="I88" s="18"/>
      <c r="J88" s="3">
        <v>6758</v>
      </c>
      <c r="K88" s="19">
        <v>43125</v>
      </c>
      <c r="L88" s="31">
        <v>0.59652777777777777</v>
      </c>
      <c r="M88" s="14">
        <f t="shared" si="15"/>
        <v>2340</v>
      </c>
      <c r="N88" s="3"/>
      <c r="O88" s="3"/>
      <c r="P88" s="4"/>
      <c r="Q88" s="22"/>
      <c r="R88" s="22"/>
      <c r="S88">
        <f>IF(B88="","",VLOOKUP(Cmt(B88),Sheet2!A:B,2,FALSE))</f>
        <v>5</v>
      </c>
      <c r="T88" s="39">
        <v>9708006</v>
      </c>
      <c r="U88" s="13">
        <f t="shared" ref="U88" si="21">T88*G88/(D88*S88*0.15)</f>
        <v>26.886663501483682</v>
      </c>
      <c r="W88" s="11"/>
    </row>
    <row r="89" spans="1:23">
      <c r="A89" s="2">
        <v>43124</v>
      </c>
      <c r="B89" s="27" t="s">
        <v>73</v>
      </c>
      <c r="C89" s="27">
        <v>53</v>
      </c>
      <c r="D89" s="27">
        <v>2787</v>
      </c>
      <c r="E89" s="19">
        <v>43124</v>
      </c>
      <c r="F89" s="28">
        <v>0.89930555555555547</v>
      </c>
      <c r="G89" s="29">
        <v>2.3E-2</v>
      </c>
      <c r="H89" s="55"/>
      <c r="I89" s="29"/>
      <c r="J89" s="27">
        <v>2770</v>
      </c>
      <c r="K89" s="43">
        <v>43124</v>
      </c>
      <c r="L89" s="28">
        <v>0.3840277777777778</v>
      </c>
      <c r="M89" s="32">
        <f t="shared" si="15"/>
        <v>-9010</v>
      </c>
      <c r="N89" s="27"/>
      <c r="O89" s="27"/>
      <c r="P89" s="30"/>
      <c r="Q89" s="22"/>
      <c r="R89" s="22"/>
      <c r="S89">
        <f>IF(B89="","",VLOOKUP(Cmt(B89),Sheet2!A:B,2,FALSE))</f>
        <v>10</v>
      </c>
      <c r="T89" s="39">
        <v>9708006</v>
      </c>
      <c r="U89" s="13">
        <f t="shared" ref="U89" si="22">T89*G89/(D89*S89*0.15)</f>
        <v>53.410869034804449</v>
      </c>
      <c r="W89" s="11"/>
    </row>
    <row r="90" spans="1:23">
      <c r="B90" s="1" t="s">
        <v>75</v>
      </c>
      <c r="C90" s="1">
        <v>-6</v>
      </c>
      <c r="D90" s="1">
        <v>2770</v>
      </c>
      <c r="E90" s="2">
        <v>43124</v>
      </c>
      <c r="F90" s="26">
        <v>0.3840277777777778</v>
      </c>
      <c r="G90" s="17">
        <f>0.7%*3/4</f>
        <v>5.2499999999999995E-3</v>
      </c>
      <c r="J90" s="1">
        <v>2781</v>
      </c>
      <c r="K90" s="2">
        <v>43125</v>
      </c>
      <c r="L90" s="26">
        <v>0.37986111111111115</v>
      </c>
      <c r="M90" s="16">
        <f t="shared" si="15"/>
        <v>-660</v>
      </c>
      <c r="S90">
        <f>IF(B90="","",VLOOKUP(Cmt(B90),Sheet2!A:B,2,FALSE))</f>
        <v>10</v>
      </c>
      <c r="T90" s="39">
        <v>9708007</v>
      </c>
      <c r="U90" s="13">
        <f t="shared" ref="U90:U92" si="23">T90*G90/(D90*S90*0.15)</f>
        <v>12.266434837545125</v>
      </c>
      <c r="W90" s="11"/>
    </row>
    <row r="91" spans="1:23">
      <c r="B91" s="1" t="s">
        <v>75</v>
      </c>
      <c r="C91" s="1">
        <v>-2</v>
      </c>
      <c r="D91" s="44">
        <v>2770</v>
      </c>
      <c r="E91" s="2">
        <v>43124</v>
      </c>
      <c r="F91" s="26">
        <v>0.3840277777777778</v>
      </c>
      <c r="G91" s="17">
        <f>0.7%*1/4</f>
        <v>1.7499999999999998E-3</v>
      </c>
      <c r="J91" s="1">
        <v>2771</v>
      </c>
      <c r="K91" s="2">
        <v>43124</v>
      </c>
      <c r="L91" s="26">
        <v>0.38472222222222219</v>
      </c>
      <c r="M91" s="16">
        <f>IF(J91="","",C91*(J91-D91)*S91)</f>
        <v>-20</v>
      </c>
      <c r="S91">
        <f>IF(B91="","",VLOOKUP(Cmt(B91),Sheet2!A:B,2,FALSE))</f>
        <v>10</v>
      </c>
      <c r="T91" s="39">
        <v>9708008</v>
      </c>
      <c r="U91" s="13">
        <f t="shared" si="23"/>
        <v>4.0888120336943441</v>
      </c>
      <c r="W91" s="11"/>
    </row>
    <row r="92" spans="1:23">
      <c r="B92" s="1" t="s">
        <v>76</v>
      </c>
      <c r="C92" s="1">
        <v>20</v>
      </c>
      <c r="D92" s="1">
        <v>99360</v>
      </c>
      <c r="E92" s="2">
        <v>43124</v>
      </c>
      <c r="F92" s="26">
        <v>0.38472222222222219</v>
      </c>
      <c r="G92" s="17">
        <v>3.5999999999999997E-2</v>
      </c>
      <c r="J92" s="1">
        <v>99150</v>
      </c>
      <c r="K92" s="2">
        <v>43124</v>
      </c>
      <c r="L92" s="26">
        <v>0.44444444444444442</v>
      </c>
      <c r="M92" s="16">
        <f t="shared" si="15"/>
        <v>-4200</v>
      </c>
      <c r="S92">
        <f>IF(B92="","",VLOOKUP(Cmt(B92),Sheet2!A:B,2,FALSE))</f>
        <v>1</v>
      </c>
      <c r="T92" s="39">
        <v>9708009</v>
      </c>
      <c r="U92" s="13">
        <f t="shared" si="23"/>
        <v>23.449297101449272</v>
      </c>
      <c r="W92" s="11"/>
    </row>
    <row r="93" spans="1:23">
      <c r="B93" s="1" t="s">
        <v>76</v>
      </c>
      <c r="C93" s="1">
        <v>20</v>
      </c>
      <c r="D93" s="1">
        <v>99241</v>
      </c>
      <c r="E93" s="2">
        <v>43124</v>
      </c>
      <c r="F93" s="26">
        <v>0.46319444444444446</v>
      </c>
      <c r="G93" s="17">
        <v>3.5999999999999997E-2</v>
      </c>
      <c r="J93" s="1">
        <v>98590</v>
      </c>
      <c r="K93" s="2">
        <v>43124</v>
      </c>
      <c r="L93" s="26">
        <v>0.62013888888888891</v>
      </c>
      <c r="M93" s="16">
        <f t="shared" si="15"/>
        <v>-13020</v>
      </c>
      <c r="S93">
        <f>IF(B93="","",VLOOKUP(Cmt(B93),Sheet2!A:B,2,FALSE))</f>
        <v>1</v>
      </c>
      <c r="T93" s="39">
        <v>9758010</v>
      </c>
      <c r="U93" s="13">
        <f t="shared" ref="U93" si="24">T93*G93/(D93*S93*0.15)</f>
        <v>23.598335365423566</v>
      </c>
      <c r="W93" s="11"/>
    </row>
    <row r="94" spans="1:23">
      <c r="B94" s="1" t="s">
        <v>77</v>
      </c>
      <c r="C94" s="1">
        <v>28</v>
      </c>
      <c r="D94" s="1">
        <v>9524</v>
      </c>
      <c r="E94" s="2">
        <v>43124</v>
      </c>
      <c r="F94" s="26">
        <v>0.56805555555555554</v>
      </c>
      <c r="G94" s="17">
        <v>2.1000000000000001E-2</v>
      </c>
      <c r="J94" s="1">
        <v>9495</v>
      </c>
      <c r="K94" s="2">
        <v>43124</v>
      </c>
      <c r="L94" s="26">
        <v>0.62013888888888891</v>
      </c>
      <c r="M94" s="16">
        <f t="shared" si="15"/>
        <v>-4060</v>
      </c>
      <c r="S94">
        <f>IF(B94="","",VLOOKUP(Cmt(B94),Sheet2!A:B,2,FALSE))</f>
        <v>5</v>
      </c>
      <c r="T94" s="39">
        <v>9758011</v>
      </c>
      <c r="U94" s="13">
        <f t="shared" ref="U94" si="25">T94*G94/(D94*S94*0.15)</f>
        <v>28.687978580428393</v>
      </c>
      <c r="W94" s="11"/>
    </row>
    <row r="95" spans="1:23">
      <c r="B95" s="1" t="s">
        <v>78</v>
      </c>
      <c r="C95" s="1">
        <v>30</v>
      </c>
      <c r="D95" s="1">
        <v>1294.5</v>
      </c>
      <c r="E95" s="2">
        <v>43124</v>
      </c>
      <c r="F95" s="26">
        <v>0.58819444444444446</v>
      </c>
      <c r="G95" s="17">
        <v>3.5000000000000003E-2</v>
      </c>
      <c r="J95" s="1">
        <v>1288</v>
      </c>
      <c r="K95" s="2">
        <v>43124</v>
      </c>
      <c r="L95" s="26">
        <v>0.62013888888888891</v>
      </c>
      <c r="M95" s="16">
        <f t="shared" si="15"/>
        <v>-11700</v>
      </c>
      <c r="S95">
        <f>IF(B95="","",VLOOKUP(Cmt(B95),Sheet2!A:B,2,FALSE))</f>
        <v>60</v>
      </c>
      <c r="T95" s="39">
        <v>9758012</v>
      </c>
      <c r="U95" s="13">
        <f t="shared" ref="U95" si="26">T95*G95/(D95*S95*0.15)</f>
        <v>29.31465774001116</v>
      </c>
      <c r="W95" s="11"/>
    </row>
    <row r="96" spans="1:23">
      <c r="B96" s="1" t="s">
        <v>79</v>
      </c>
      <c r="C96" s="1">
        <v>13</v>
      </c>
      <c r="D96" s="1">
        <v>2822.3</v>
      </c>
      <c r="E96" s="2">
        <v>43124</v>
      </c>
      <c r="F96" s="26">
        <v>0.62013888888888891</v>
      </c>
      <c r="G96" s="17">
        <v>6.0000000000000001E-3</v>
      </c>
      <c r="J96" s="1">
        <v>2847</v>
      </c>
      <c r="K96" s="2">
        <v>43125</v>
      </c>
      <c r="L96" s="26">
        <v>0.37986111111111115</v>
      </c>
      <c r="M96" s="16">
        <f t="shared" si="15"/>
        <v>3210.9999999999764</v>
      </c>
      <c r="S96">
        <f>IF(B96="","",VLOOKUP(Cmt(B96),Sheet2!A:B,2,FALSE))</f>
        <v>10</v>
      </c>
      <c r="T96" s="39">
        <v>9758013</v>
      </c>
      <c r="U96" s="13">
        <f t="shared" ref="U96" si="27">T96*G96/(D96*S96*0.15)</f>
        <v>13.829873507423025</v>
      </c>
      <c r="W96" s="11"/>
    </row>
    <row r="97" spans="1:23">
      <c r="A97" s="3"/>
      <c r="B97" s="3" t="s">
        <v>80</v>
      </c>
      <c r="C97" s="3">
        <v>-23</v>
      </c>
      <c r="D97" s="3">
        <v>5226</v>
      </c>
      <c r="E97" s="19">
        <v>43124</v>
      </c>
      <c r="F97" s="31">
        <v>0.62013888888888891</v>
      </c>
      <c r="G97" s="18">
        <v>1.9E-2</v>
      </c>
      <c r="H97" s="51"/>
      <c r="I97" s="18"/>
      <c r="J97" s="3">
        <v>5238</v>
      </c>
      <c r="K97" s="19">
        <v>43125</v>
      </c>
      <c r="L97" s="31">
        <v>0.87708333333333333</v>
      </c>
      <c r="M97" s="14">
        <f t="shared" si="15"/>
        <v>-2760</v>
      </c>
      <c r="N97" s="3"/>
      <c r="O97" s="3"/>
      <c r="P97" s="4"/>
      <c r="Q97" s="22"/>
      <c r="R97" s="22"/>
      <c r="S97">
        <f>IF(B97="","",VLOOKUP(Cmt(B97),Sheet2!A:B,2,FALSE))</f>
        <v>10</v>
      </c>
      <c r="T97" s="39">
        <v>9758014</v>
      </c>
      <c r="U97" s="13">
        <f t="shared" ref="U97" si="28">T97*G97/(D97*S97*0.15)</f>
        <v>23.651264957264956</v>
      </c>
      <c r="W97" s="11"/>
    </row>
    <row r="98" spans="1:23">
      <c r="A98" s="2">
        <v>43125</v>
      </c>
      <c r="B98" s="1" t="s">
        <v>28</v>
      </c>
      <c r="C98" s="1">
        <v>16</v>
      </c>
      <c r="D98" s="1">
        <v>2287</v>
      </c>
      <c r="E98" s="2">
        <v>43125</v>
      </c>
      <c r="F98" s="26">
        <v>0.87916666666666676</v>
      </c>
      <c r="G98" s="17">
        <f>1.7%*1/3</f>
        <v>5.6666666666666671E-3</v>
      </c>
      <c r="J98" s="1">
        <v>2295</v>
      </c>
      <c r="K98" s="2">
        <v>43126</v>
      </c>
      <c r="L98" s="26">
        <v>0.37986111111111115</v>
      </c>
      <c r="M98" s="16">
        <f t="shared" si="15"/>
        <v>1280</v>
      </c>
      <c r="S98">
        <f>IF(B98="","",VLOOKUP(Cmt(B98),Sheet2!A:B,2,FALSE))</f>
        <v>10</v>
      </c>
      <c r="T98" s="39">
        <v>9758015</v>
      </c>
      <c r="U98" s="13">
        <f t="shared" ref="U98" si="29">T98*G98/(D98*S98*0.15)</f>
        <v>16.118763542729436</v>
      </c>
      <c r="W98" s="11"/>
    </row>
    <row r="99" spans="1:23">
      <c r="B99" s="1" t="s">
        <v>23</v>
      </c>
      <c r="C99" s="1">
        <v>12</v>
      </c>
      <c r="D99" s="1">
        <v>99710</v>
      </c>
      <c r="E99" s="2">
        <v>43125</v>
      </c>
      <c r="F99" s="26">
        <v>0.87916666666666676</v>
      </c>
      <c r="G99" s="17">
        <f>3.7%*1/2</f>
        <v>1.8500000000000003E-2</v>
      </c>
      <c r="J99" s="1">
        <v>103760</v>
      </c>
      <c r="K99" s="2">
        <v>43126</v>
      </c>
      <c r="L99" s="26">
        <v>0.37986111111111115</v>
      </c>
      <c r="M99" s="16">
        <f t="shared" si="15"/>
        <v>48600</v>
      </c>
      <c r="S99">
        <f>IF(B99="","",VLOOKUP(Cmt(B99),Sheet2!A:B,2,FALSE))</f>
        <v>1</v>
      </c>
      <c r="T99" s="39">
        <v>9758016</v>
      </c>
      <c r="U99" s="13">
        <f t="shared" ref="U99" si="30">T99*G99/(D99*S99*0.15)</f>
        <v>12.069889078327151</v>
      </c>
      <c r="W99" s="11"/>
    </row>
    <row r="100" spans="1:23">
      <c r="B100" s="3" t="s">
        <v>51</v>
      </c>
      <c r="C100" s="3">
        <v>15</v>
      </c>
      <c r="D100" s="3">
        <v>1290</v>
      </c>
      <c r="E100" s="19">
        <v>43125</v>
      </c>
      <c r="F100" s="31">
        <v>0.87916666666666676</v>
      </c>
      <c r="G100" s="18">
        <f>3.5%*1/2</f>
        <v>1.7500000000000002E-2</v>
      </c>
      <c r="H100" s="51"/>
      <c r="I100" s="18"/>
      <c r="J100" s="3">
        <v>1306</v>
      </c>
      <c r="K100" s="19">
        <v>43126</v>
      </c>
      <c r="L100" s="31">
        <v>0.37986111111111115</v>
      </c>
      <c r="M100" s="14">
        <f t="shared" si="15"/>
        <v>14400</v>
      </c>
      <c r="N100" s="3"/>
      <c r="O100" s="3"/>
      <c r="P100" s="4"/>
      <c r="Q100" s="22"/>
      <c r="R100" s="22"/>
      <c r="S100">
        <f>IF(B100="","",VLOOKUP(Cmt(B100),Sheet2!A:B,2,FALSE))</f>
        <v>60</v>
      </c>
      <c r="T100" s="39">
        <v>9758017</v>
      </c>
      <c r="U100" s="13">
        <f t="shared" ref="U100" si="31">T100*G100/(D100*S100*0.15)</f>
        <v>14.708466623600346</v>
      </c>
      <c r="W100" s="11"/>
    </row>
    <row r="101" spans="1:23">
      <c r="B101" s="1" t="s">
        <v>82</v>
      </c>
      <c r="C101" s="1">
        <v>16</v>
      </c>
      <c r="D101" s="1">
        <v>5778</v>
      </c>
      <c r="E101" s="2">
        <v>43125</v>
      </c>
      <c r="F101" s="26">
        <v>0.37986111111111115</v>
      </c>
      <c r="G101" s="17">
        <f>2.2%*1/3</f>
        <v>7.3333333333333341E-3</v>
      </c>
      <c r="J101" s="1">
        <v>5704</v>
      </c>
      <c r="K101" s="2">
        <v>43130</v>
      </c>
      <c r="L101" s="26">
        <v>0.38194444444444442</v>
      </c>
      <c r="M101" s="16">
        <f t="shared" si="15"/>
        <v>-5920</v>
      </c>
      <c r="S101">
        <f>IF(B101="","",VLOOKUP(Cmt(B101),Sheet2!A:B,2,FALSE))</f>
        <v>5</v>
      </c>
      <c r="T101" s="39">
        <v>9758018</v>
      </c>
      <c r="U101" s="13">
        <f t="shared" ref="U101" si="32">T101*G101/(D101*S101*0.15)</f>
        <v>16.512933810238067</v>
      </c>
      <c r="W101" s="11"/>
    </row>
    <row r="102" spans="1:23">
      <c r="B102" s="1" t="s">
        <v>83</v>
      </c>
      <c r="C102" s="1">
        <v>9</v>
      </c>
      <c r="D102" s="1">
        <v>26220</v>
      </c>
      <c r="E102" s="2">
        <v>43125</v>
      </c>
      <c r="F102" s="26">
        <v>0.37986111111111115</v>
      </c>
      <c r="G102" s="17">
        <f>3.4%*0.5</f>
        <v>1.7000000000000001E-2</v>
      </c>
      <c r="J102" s="1">
        <v>26140</v>
      </c>
      <c r="K102" s="2">
        <v>43126</v>
      </c>
      <c r="L102" s="26">
        <v>0.37986111111111115</v>
      </c>
      <c r="M102" s="16">
        <f t="shared" si="15"/>
        <v>-3600</v>
      </c>
      <c r="S102">
        <f>IF(B102="","",VLOOKUP(Cmt(B102),Sheet2!A:B,2,FALSE))</f>
        <v>5</v>
      </c>
      <c r="T102" s="39">
        <v>9758019</v>
      </c>
      <c r="U102" s="13">
        <f t="shared" ref="U102" si="33">T102*G102/(D102*S102*0.15)</f>
        <v>8.4356126620900085</v>
      </c>
      <c r="W102" s="11"/>
    </row>
    <row r="103" spans="1:23">
      <c r="B103" s="1" t="s">
        <v>84</v>
      </c>
      <c r="C103" s="1">
        <v>13</v>
      </c>
      <c r="D103" s="1">
        <v>9955</v>
      </c>
      <c r="E103" s="2">
        <v>43125</v>
      </c>
      <c r="F103" s="26">
        <v>0.37986111111111115</v>
      </c>
      <c r="G103" s="17">
        <f>2%*0.5</f>
        <v>0.01</v>
      </c>
      <c r="J103" s="1">
        <v>9925</v>
      </c>
      <c r="K103" s="2">
        <v>43126</v>
      </c>
      <c r="L103" s="26">
        <v>0.40277777777777773</v>
      </c>
      <c r="M103" s="16">
        <f t="shared" si="15"/>
        <v>-1950</v>
      </c>
      <c r="S103">
        <f>IF(B103="","",VLOOKUP(Cmt(B103),Sheet2!A:B,2,FALSE))</f>
        <v>5</v>
      </c>
      <c r="T103" s="39">
        <v>9758020</v>
      </c>
      <c r="U103" s="13">
        <f t="shared" ref="U103" si="34">T103*G103/(D103*S103*0.15)</f>
        <v>13.069506110832076</v>
      </c>
      <c r="W103" s="11"/>
    </row>
    <row r="104" spans="1:23">
      <c r="B104" s="1" t="s">
        <v>85</v>
      </c>
      <c r="C104" s="1">
        <v>14</v>
      </c>
      <c r="D104" s="1">
        <v>1485</v>
      </c>
      <c r="E104" s="2">
        <v>43125</v>
      </c>
      <c r="F104" s="26">
        <v>0.37986111111111115</v>
      </c>
      <c r="G104" s="17">
        <f>1.9%*1/3</f>
        <v>6.3333333333333332E-3</v>
      </c>
      <c r="J104" s="1">
        <v>1483</v>
      </c>
      <c r="K104" s="2">
        <v>43126</v>
      </c>
      <c r="L104" s="26">
        <v>0.3756944444444445</v>
      </c>
      <c r="M104" s="16">
        <f t="shared" si="15"/>
        <v>-560</v>
      </c>
      <c r="S104">
        <f>IF(B104="","",VLOOKUP(Cmt(B104),Sheet2!A:B,2,FALSE))</f>
        <v>20</v>
      </c>
      <c r="T104" s="39">
        <v>9758021</v>
      </c>
      <c r="U104" s="13">
        <f t="shared" ref="U104" si="35">T104*G104/(D104*S104*0.15)</f>
        <v>13.872233370744482</v>
      </c>
      <c r="W104" s="11"/>
    </row>
    <row r="105" spans="1:23">
      <c r="B105" s="1" t="s">
        <v>86</v>
      </c>
      <c r="C105" s="1">
        <v>12</v>
      </c>
      <c r="D105" s="1">
        <v>9554</v>
      </c>
      <c r="E105" s="2">
        <v>43125</v>
      </c>
      <c r="F105" s="26">
        <v>0.37986111111111115</v>
      </c>
      <c r="G105" s="17">
        <v>8.9999999999999993E-3</v>
      </c>
      <c r="J105" s="1">
        <v>9512</v>
      </c>
      <c r="K105" s="2">
        <v>43126</v>
      </c>
      <c r="L105" s="26">
        <v>0.42222222222222222</v>
      </c>
      <c r="M105" s="16">
        <f t="shared" si="15"/>
        <v>-2520</v>
      </c>
      <c r="S105">
        <f>IF(B105="","",VLOOKUP(Cmt(B105),Sheet2!A:B,2,FALSE))</f>
        <v>5</v>
      </c>
      <c r="T105" s="39">
        <v>9758022</v>
      </c>
      <c r="U105" s="13">
        <f t="shared" ref="U105" si="36">T105*G105/(D105*S105*0.15)</f>
        <v>12.256255390412392</v>
      </c>
      <c r="W105" s="11"/>
    </row>
    <row r="106" spans="1:23">
      <c r="B106" s="1" t="s">
        <v>88</v>
      </c>
      <c r="C106" s="1">
        <v>-6</v>
      </c>
      <c r="D106" s="1">
        <v>5234</v>
      </c>
      <c r="E106" s="2">
        <v>43125</v>
      </c>
      <c r="F106" s="26">
        <v>0.37986111111111115</v>
      </c>
      <c r="G106" s="17">
        <f>1.3%*1/3</f>
        <v>4.333333333333334E-3</v>
      </c>
      <c r="J106" s="1">
        <v>5230</v>
      </c>
      <c r="K106" s="2">
        <v>43125</v>
      </c>
      <c r="L106" s="26">
        <v>0.56597222222222221</v>
      </c>
      <c r="M106" s="16">
        <f t="shared" si="15"/>
        <v>240</v>
      </c>
      <c r="S106">
        <f>IF(B106="","",VLOOKUP(Cmt(B106),Sheet2!A:B,2,FALSE))</f>
        <v>10</v>
      </c>
      <c r="T106" s="39">
        <v>9758023</v>
      </c>
      <c r="U106" s="13">
        <f t="shared" ref="U106" si="37">T106*G106/(D106*S106*0.15)</f>
        <v>5.3859083343947702</v>
      </c>
      <c r="W106" s="11"/>
    </row>
    <row r="107" spans="1:23">
      <c r="B107" s="1" t="s">
        <v>90</v>
      </c>
      <c r="C107" s="1">
        <v>-11</v>
      </c>
      <c r="D107" s="1">
        <v>2089</v>
      </c>
      <c r="E107" s="2">
        <v>43125</v>
      </c>
      <c r="F107" s="26">
        <v>0.40763888888888888</v>
      </c>
      <c r="G107" s="17">
        <f>1.1%*1/3</f>
        <v>3.666666666666667E-3</v>
      </c>
      <c r="J107" s="1">
        <v>2088</v>
      </c>
      <c r="K107" s="2">
        <v>43126</v>
      </c>
      <c r="L107" s="26">
        <v>0.58819444444444446</v>
      </c>
      <c r="M107" s="16">
        <f t="shared" si="15"/>
        <v>110</v>
      </c>
      <c r="S107">
        <f>IF(B107="","",VLOOKUP(Cmt(B107),Sheet2!A:B,2,FALSE))</f>
        <v>10</v>
      </c>
      <c r="T107" s="39">
        <v>9800000</v>
      </c>
      <c r="U107" s="13">
        <f t="shared" ref="U107" si="38">T107*G107/(D107*S107*0.15)</f>
        <v>11.467475134301369</v>
      </c>
      <c r="W107" s="11"/>
    </row>
    <row r="108" spans="1:23">
      <c r="B108" s="1" t="s">
        <v>91</v>
      </c>
      <c r="C108" s="1">
        <v>-1</v>
      </c>
      <c r="D108" s="1">
        <v>91.71</v>
      </c>
      <c r="E108" s="2">
        <v>43125</v>
      </c>
      <c r="F108" s="26">
        <v>0.40763888888888888</v>
      </c>
      <c r="G108" s="17">
        <v>1.7999999999999999E-2</v>
      </c>
      <c r="J108" s="1">
        <v>91.875</v>
      </c>
      <c r="K108" s="2">
        <v>43126</v>
      </c>
      <c r="L108" s="26">
        <v>0.42222222222222222</v>
      </c>
      <c r="M108" s="16">
        <f t="shared" si="15"/>
        <v>-1650.0000000000625</v>
      </c>
      <c r="S108">
        <f>IF(B108="","",VLOOKUP(Cmt(B108),Sheet2!A:B,2,FALSE))</f>
        <v>10000</v>
      </c>
      <c r="T108" s="39">
        <v>9800001</v>
      </c>
      <c r="U108" s="13">
        <f t="shared" ref="U108" si="39">T108*G108/(D108*S108*0.15)</f>
        <v>1.2823030421982338</v>
      </c>
      <c r="W108" s="11"/>
    </row>
    <row r="109" spans="1:23">
      <c r="A109" s="3"/>
      <c r="B109" s="3" t="s">
        <v>92</v>
      </c>
      <c r="C109" s="3">
        <v>-1</v>
      </c>
      <c r="D109" s="3">
        <v>95.83</v>
      </c>
      <c r="E109" s="19">
        <v>43125</v>
      </c>
      <c r="F109" s="31">
        <v>0.47152777777777777</v>
      </c>
      <c r="G109" s="18">
        <v>0.02</v>
      </c>
      <c r="H109" s="51"/>
      <c r="I109" s="18"/>
      <c r="J109" s="3">
        <v>95.965000000000003</v>
      </c>
      <c r="K109" s="19">
        <v>43126</v>
      </c>
      <c r="L109" s="31">
        <v>0.40277777777777773</v>
      </c>
      <c r="M109" s="14">
        <f t="shared" si="15"/>
        <v>-1350.0000000000512</v>
      </c>
      <c r="N109" s="3"/>
      <c r="O109" s="3"/>
      <c r="P109" s="4"/>
      <c r="Q109" s="22"/>
      <c r="R109" s="22"/>
      <c r="S109">
        <f>IF(B109="","",VLOOKUP(Cmt(B109),Sheet2!A:B,2,FALSE))</f>
        <v>10000</v>
      </c>
      <c r="T109" s="39">
        <v>9800002</v>
      </c>
      <c r="U109" s="13">
        <f t="shared" ref="U109" si="40">T109*G109/(D109*S109*0.15)</f>
        <v>1.3635259661205608</v>
      </c>
      <c r="W109" s="11"/>
    </row>
    <row r="110" spans="1:23">
      <c r="A110" s="2">
        <v>43126</v>
      </c>
      <c r="B110" s="27" t="s">
        <v>14</v>
      </c>
      <c r="C110" s="27">
        <v>6</v>
      </c>
      <c r="D110" s="27">
        <v>2055.5</v>
      </c>
      <c r="E110" s="43">
        <v>43125</v>
      </c>
      <c r="F110" s="28">
        <v>0.88263888888888886</v>
      </c>
      <c r="G110" s="29">
        <f>4.3%*1/2</f>
        <v>2.1499999999999998E-2</v>
      </c>
      <c r="H110" s="55"/>
      <c r="I110" s="29"/>
      <c r="J110" s="27">
        <v>2044.5</v>
      </c>
      <c r="K110" s="43">
        <v>43126</v>
      </c>
      <c r="L110" s="28">
        <v>0.37986111111111115</v>
      </c>
      <c r="M110" s="32">
        <f t="shared" si="15"/>
        <v>-6600</v>
      </c>
      <c r="N110" s="27"/>
      <c r="O110" s="27"/>
      <c r="P110" s="30"/>
      <c r="Q110" s="22"/>
      <c r="R110" s="22"/>
      <c r="S110">
        <f>IF(B110="","",VLOOKUP(Cmt(B110),Sheet2!A:B,2,FALSE))</f>
        <v>100</v>
      </c>
      <c r="T110" s="39">
        <v>9777000</v>
      </c>
      <c r="U110" s="13">
        <f t="shared" ref="U110" si="41">T110*G110/(D110*S110*0.15)</f>
        <v>6.8176599367550468</v>
      </c>
      <c r="W110" s="11"/>
    </row>
    <row r="111" spans="1:23">
      <c r="B111" s="1" t="s">
        <v>101</v>
      </c>
      <c r="C111" s="1">
        <v>-13</v>
      </c>
      <c r="D111" s="1">
        <v>3685</v>
      </c>
      <c r="E111" s="2">
        <v>43126</v>
      </c>
      <c r="F111" s="26">
        <v>0.37986111111111115</v>
      </c>
      <c r="G111" s="17">
        <f>2.4%*1/3</f>
        <v>8.0000000000000002E-3</v>
      </c>
      <c r="J111" s="1">
        <v>3628</v>
      </c>
      <c r="K111" s="2">
        <v>43130</v>
      </c>
      <c r="L111" s="26">
        <v>0.58888888888888891</v>
      </c>
      <c r="M111" s="16">
        <f t="shared" si="15"/>
        <v>3705</v>
      </c>
      <c r="S111">
        <f>IF(B111="","",VLOOKUP(Cmt(B111),Sheet2!A:B,2,FALSE))</f>
        <v>5</v>
      </c>
      <c r="T111" s="39">
        <v>9777001</v>
      </c>
      <c r="U111" s="13">
        <f t="shared" ref="U111" si="42">T111*G111/(D111*S111*0.15)</f>
        <v>28.30068132066938</v>
      </c>
      <c r="W111" s="11"/>
    </row>
    <row r="112" spans="1:23">
      <c r="B112" s="1" t="s">
        <v>102</v>
      </c>
      <c r="C112" s="1">
        <v>-1</v>
      </c>
      <c r="D112" s="1">
        <v>2835</v>
      </c>
      <c r="E112" s="2">
        <v>43126</v>
      </c>
      <c r="F112" s="26">
        <v>0.37986111111111115</v>
      </c>
      <c r="G112" s="17">
        <f>0.2%*1/3</f>
        <v>6.6666666666666664E-4</v>
      </c>
      <c r="J112" s="1">
        <v>2843</v>
      </c>
      <c r="K112" s="2">
        <v>43126</v>
      </c>
      <c r="L112" s="26">
        <v>0.89027777777777783</v>
      </c>
      <c r="M112" s="16">
        <f t="shared" si="15"/>
        <v>-80</v>
      </c>
      <c r="S112">
        <f>IF(B112="","",VLOOKUP(Cmt(B112),Sheet2!A:B,2,FALSE))</f>
        <v>10</v>
      </c>
      <c r="T112" s="39">
        <v>9777002</v>
      </c>
      <c r="U112" s="13">
        <f t="shared" ref="U112" si="43">T112*G112/(D112*S112*0.15)</f>
        <v>1.5327457573976091</v>
      </c>
      <c r="W112" s="11"/>
    </row>
    <row r="113" spans="1:23">
      <c r="B113" s="1" t="s">
        <v>103</v>
      </c>
      <c r="C113" s="1">
        <v>-11</v>
      </c>
      <c r="D113" s="1">
        <v>2759</v>
      </c>
      <c r="E113" s="2">
        <v>43126</v>
      </c>
      <c r="F113" s="26">
        <v>0.37986111111111115</v>
      </c>
      <c r="G113" s="17">
        <f>1.4%*1/3</f>
        <v>4.6666666666666662E-3</v>
      </c>
      <c r="J113" s="1">
        <v>2773</v>
      </c>
      <c r="K113" s="2">
        <v>43129</v>
      </c>
      <c r="L113" s="26">
        <v>0.40833333333333338</v>
      </c>
      <c r="M113" s="16">
        <f t="shared" si="15"/>
        <v>-1540</v>
      </c>
      <c r="S113">
        <f>IF(B113="","",VLOOKUP(Cmt(B113),Sheet2!A:B,2,FALSE))</f>
        <v>10</v>
      </c>
      <c r="T113" s="39">
        <v>9777003</v>
      </c>
      <c r="U113" s="13">
        <f t="shared" ref="U113" si="44">T113*G113/(D113*S113*0.15)</f>
        <v>11.024770810680197</v>
      </c>
      <c r="W113" s="11"/>
    </row>
    <row r="114" spans="1:23">
      <c r="B114" s="1" t="s">
        <v>105</v>
      </c>
      <c r="C114" s="1">
        <v>24</v>
      </c>
      <c r="D114" s="1">
        <v>668.6</v>
      </c>
      <c r="E114" s="2">
        <v>43126</v>
      </c>
      <c r="F114" s="26">
        <v>0.42222222222222222</v>
      </c>
      <c r="G114" s="17">
        <f>5%*0.5</f>
        <v>2.5000000000000001E-2</v>
      </c>
      <c r="J114" s="1">
        <v>668.6</v>
      </c>
      <c r="K114" s="2">
        <v>43129</v>
      </c>
      <c r="L114" s="26">
        <v>0.92361111111111116</v>
      </c>
      <c r="M114" s="16">
        <f t="shared" si="15"/>
        <v>0</v>
      </c>
      <c r="S114">
        <f>IF(B114="","",VLOOKUP(Cmt(B114),Sheet2!A:B,2,FALSE))</f>
        <v>100</v>
      </c>
      <c r="T114" s="39">
        <v>9777004</v>
      </c>
      <c r="U114" s="13">
        <f t="shared" ref="U114" si="45">T114*G114/(D114*S114*0.15)</f>
        <v>24.371831688104496</v>
      </c>
      <c r="W114" s="11"/>
    </row>
    <row r="115" spans="1:23">
      <c r="B115" s="1" t="s">
        <v>109</v>
      </c>
      <c r="C115" s="1">
        <v>1</v>
      </c>
      <c r="D115" s="1">
        <v>4406.8</v>
      </c>
      <c r="E115" s="2">
        <v>43126</v>
      </c>
      <c r="F115" s="26">
        <v>0.46249999999999997</v>
      </c>
      <c r="G115" s="17">
        <v>2.1999999999999999E-2</v>
      </c>
      <c r="J115" s="1">
        <v>4347.2</v>
      </c>
      <c r="K115" s="2">
        <v>43129</v>
      </c>
      <c r="L115" s="26">
        <v>0.46458333333333335</v>
      </c>
      <c r="M115" s="16">
        <f t="shared" si="15"/>
        <v>-17880.000000000109</v>
      </c>
      <c r="S115">
        <f>IF(B115="","",VLOOKUP(Cmt(B115),Sheet2!A:B,2,FALSE))</f>
        <v>300</v>
      </c>
      <c r="T115" s="39"/>
      <c r="U115" s="13"/>
      <c r="W115" s="11"/>
    </row>
    <row r="116" spans="1:23">
      <c r="B116" s="1" t="s">
        <v>110</v>
      </c>
      <c r="C116" s="1">
        <v>1</v>
      </c>
      <c r="D116" s="1">
        <v>3197.4</v>
      </c>
      <c r="E116" s="2">
        <v>43126</v>
      </c>
      <c r="F116" s="26">
        <v>0.46249999999999997</v>
      </c>
      <c r="G116" s="17">
        <v>1.4E-2</v>
      </c>
      <c r="J116" s="1">
        <v>3195</v>
      </c>
      <c r="K116" s="2">
        <v>43129</v>
      </c>
      <c r="L116" s="26">
        <v>0.46458333333333335</v>
      </c>
      <c r="M116" s="16">
        <f t="shared" si="15"/>
        <v>-720.00000000002728</v>
      </c>
      <c r="S116">
        <f>IF(B116="","",VLOOKUP(Cmt(B116),Sheet2!A:B,2,FALSE))</f>
        <v>300</v>
      </c>
      <c r="T116" s="39"/>
      <c r="U116" s="13"/>
      <c r="W116" s="11"/>
    </row>
    <row r="117" spans="1:23">
      <c r="B117" s="1" t="s">
        <v>106</v>
      </c>
      <c r="C117" s="1">
        <v>-10</v>
      </c>
      <c r="D117" s="1">
        <v>14800</v>
      </c>
      <c r="E117" s="2">
        <v>43126</v>
      </c>
      <c r="F117" s="26">
        <v>0.56597222222222221</v>
      </c>
      <c r="G117" s="17">
        <f>2.3%*0.5</f>
        <v>1.15E-2</v>
      </c>
      <c r="J117" s="1">
        <v>14930</v>
      </c>
      <c r="K117" s="2">
        <v>43129</v>
      </c>
      <c r="L117" s="26">
        <v>0.40833333333333338</v>
      </c>
      <c r="M117" s="16">
        <f t="shared" si="15"/>
        <v>-6500</v>
      </c>
      <c r="S117">
        <f>IF(B117="","",VLOOKUP(Cmt(B117),Sheet2!A:B,2,FALSE))</f>
        <v>5</v>
      </c>
      <c r="T117" s="39">
        <v>9777005</v>
      </c>
      <c r="U117" s="13">
        <f t="shared" ref="U117" si="46">T117*G117/(D117*S117*0.15)</f>
        <v>10.129329504504504</v>
      </c>
      <c r="W117" s="11"/>
    </row>
    <row r="118" spans="1:23">
      <c r="B118" s="1" t="s">
        <v>107</v>
      </c>
      <c r="C118" s="1">
        <v>7</v>
      </c>
      <c r="D118" s="1">
        <v>2053</v>
      </c>
      <c r="E118" s="2">
        <v>43126</v>
      </c>
      <c r="F118" s="26">
        <v>0.58819444444444446</v>
      </c>
      <c r="G118" s="17">
        <f>4.3%*0.5</f>
        <v>2.1499999999999998E-2</v>
      </c>
      <c r="J118" s="1">
        <v>2043.5</v>
      </c>
      <c r="K118" s="2">
        <v>43126</v>
      </c>
      <c r="L118" s="26">
        <v>0.62013888888888891</v>
      </c>
      <c r="M118" s="16">
        <f t="shared" si="15"/>
        <v>-6650</v>
      </c>
      <c r="S118">
        <f>IF(B118="","",VLOOKUP(Cmt(B118),Sheet2!A:B,2,FALSE))</f>
        <v>100</v>
      </c>
      <c r="T118" s="39">
        <v>9777006</v>
      </c>
      <c r="U118" s="13">
        <f t="shared" ref="U118" si="47">T118*G118/(D118*S118*0.15)</f>
        <v>6.8259661958110076</v>
      </c>
      <c r="W118" s="11"/>
    </row>
    <row r="119" spans="1:23" ht="14.25" thickBot="1">
      <c r="A119" s="34"/>
      <c r="B119" s="34" t="s">
        <v>108</v>
      </c>
      <c r="C119" s="34">
        <v>9</v>
      </c>
      <c r="D119" s="34">
        <v>10020</v>
      </c>
      <c r="E119" s="38">
        <v>43126</v>
      </c>
      <c r="F119" s="35">
        <v>0.58819444444444446</v>
      </c>
      <c r="G119" s="36">
        <f>2%*1/3</f>
        <v>6.6666666666666671E-3</v>
      </c>
      <c r="H119" s="53"/>
      <c r="I119" s="36"/>
      <c r="J119" s="34">
        <v>9980</v>
      </c>
      <c r="K119" s="38">
        <v>43129</v>
      </c>
      <c r="L119" s="35">
        <v>0.58958333333333335</v>
      </c>
      <c r="M119" s="40">
        <f t="shared" si="15"/>
        <v>-1800</v>
      </c>
      <c r="N119" s="34"/>
      <c r="O119" s="34"/>
      <c r="P119" s="37"/>
      <c r="Q119" s="22"/>
      <c r="R119" s="22"/>
      <c r="S119">
        <f>IF(B119="","",VLOOKUP(Cmt(B119),Sheet2!A:B,2,FALSE))</f>
        <v>5</v>
      </c>
      <c r="T119" s="39">
        <v>9777007</v>
      </c>
      <c r="U119" s="13">
        <f t="shared" ref="U119" si="48">T119*G119/(D119*S119*0.15)</f>
        <v>8.6733262364160577</v>
      </c>
      <c r="W119" s="11"/>
    </row>
    <row r="120" spans="1:23">
      <c r="A120" s="2">
        <v>43129</v>
      </c>
      <c r="B120" s="1" t="s">
        <v>23</v>
      </c>
      <c r="C120" s="1">
        <v>13</v>
      </c>
      <c r="D120" s="1">
        <v>104300</v>
      </c>
      <c r="E120" s="2">
        <v>43126</v>
      </c>
      <c r="F120" s="26">
        <v>0.88888888888888884</v>
      </c>
      <c r="G120" s="17">
        <f>4.1%*0.5</f>
        <v>2.0499999999999997E-2</v>
      </c>
      <c r="J120" s="1">
        <v>105200</v>
      </c>
      <c r="K120" s="2">
        <v>43130</v>
      </c>
      <c r="L120" s="26">
        <v>0.38194444444444442</v>
      </c>
      <c r="M120" s="16">
        <f>IF(J120="","",C120*(J120-D120)*S120)</f>
        <v>11700</v>
      </c>
      <c r="S120">
        <f>IF(B120="","",VLOOKUP(Cmt(B120),Sheet2!A:B,2,FALSE))</f>
        <v>1</v>
      </c>
      <c r="T120" s="39">
        <v>9777008</v>
      </c>
      <c r="U120" s="13">
        <f t="shared" ref="U120:U123" si="49">T120*G120/(D120*S120*0.15)</f>
        <v>12.811036369447105</v>
      </c>
      <c r="W120" s="11"/>
    </row>
    <row r="121" spans="1:23">
      <c r="B121" s="1" t="s">
        <v>111</v>
      </c>
      <c r="C121" s="1">
        <v>9</v>
      </c>
      <c r="D121" s="1">
        <v>26205</v>
      </c>
      <c r="E121" s="2">
        <v>43126</v>
      </c>
      <c r="F121" s="26">
        <v>0.88958333333333339</v>
      </c>
      <c r="G121" s="17">
        <f>3.6%*0.5</f>
        <v>1.8000000000000002E-2</v>
      </c>
      <c r="J121" s="1">
        <v>26815</v>
      </c>
      <c r="K121" s="2">
        <v>43130</v>
      </c>
      <c r="L121" s="26">
        <v>0.38194444444444442</v>
      </c>
      <c r="M121" s="16">
        <f t="shared" si="15"/>
        <v>27450</v>
      </c>
      <c r="S121">
        <f>IF(B121="","",VLOOKUP(Cmt(B121),Sheet2!A:B,2,FALSE))</f>
        <v>5</v>
      </c>
      <c r="T121" s="39">
        <v>9777009</v>
      </c>
      <c r="U121" s="13">
        <f t="shared" si="49"/>
        <v>8.9543299370349168</v>
      </c>
      <c r="W121" s="11"/>
    </row>
    <row r="122" spans="1:23">
      <c r="B122" s="1" t="s">
        <v>112</v>
      </c>
      <c r="C122" s="1">
        <v>9</v>
      </c>
      <c r="D122" s="1">
        <v>2918</v>
      </c>
      <c r="E122" s="2">
        <v>43126</v>
      </c>
      <c r="F122" s="26">
        <v>0.88958333333333339</v>
      </c>
      <c r="G122" s="17">
        <f>1.1%*1/3</f>
        <v>3.666666666666667E-3</v>
      </c>
      <c r="J122" s="1">
        <v>2914</v>
      </c>
      <c r="K122" s="2">
        <v>43129</v>
      </c>
      <c r="L122" s="26">
        <v>0.88194444444444453</v>
      </c>
      <c r="M122" s="16">
        <f t="shared" si="15"/>
        <v>-360</v>
      </c>
      <c r="S122">
        <f>IF(B122="","",VLOOKUP(Cmt(B122),Sheet2!A:B,2,FALSE))</f>
        <v>10</v>
      </c>
      <c r="T122" s="39">
        <v>9777010</v>
      </c>
      <c r="U122" s="13">
        <f t="shared" si="49"/>
        <v>8.1903213768943726</v>
      </c>
      <c r="W122" s="11"/>
    </row>
    <row r="123" spans="1:23">
      <c r="B123" s="1" t="s">
        <v>51</v>
      </c>
      <c r="C123" s="1">
        <v>14</v>
      </c>
      <c r="D123" s="1">
        <v>1295</v>
      </c>
      <c r="E123" s="2">
        <v>43126</v>
      </c>
      <c r="F123" s="26">
        <v>0.88958333333333339</v>
      </c>
      <c r="G123" s="17">
        <f>3.3%*0.5</f>
        <v>1.6500000000000001E-2</v>
      </c>
      <c r="J123" s="1">
        <v>1292.5</v>
      </c>
      <c r="K123" s="2">
        <v>43126</v>
      </c>
      <c r="L123" s="26">
        <v>0.9243055555555556</v>
      </c>
      <c r="M123" s="16">
        <f t="shared" si="15"/>
        <v>-2100</v>
      </c>
      <c r="S123">
        <f>IF(B123="","",VLOOKUP(Cmt(B123),Sheet2!A:B,2,FALSE))</f>
        <v>60</v>
      </c>
      <c r="T123" s="39">
        <v>9777011</v>
      </c>
      <c r="U123" s="13">
        <f t="shared" si="49"/>
        <v>13.841328314028315</v>
      </c>
      <c r="W123" s="11"/>
    </row>
    <row r="124" spans="1:23">
      <c r="B124" s="3" t="s">
        <v>31</v>
      </c>
      <c r="C124" s="3">
        <v>-3</v>
      </c>
      <c r="D124" s="3">
        <v>53220</v>
      </c>
      <c r="E124" s="19">
        <v>43126</v>
      </c>
      <c r="F124" s="31">
        <v>0.9243055555555556</v>
      </c>
      <c r="G124" s="18">
        <f>1.9%*1/2</f>
        <v>9.4999999999999998E-3</v>
      </c>
      <c r="H124" s="51"/>
      <c r="I124" s="18"/>
      <c r="J124" s="3">
        <v>53640</v>
      </c>
      <c r="K124" s="19">
        <v>43129</v>
      </c>
      <c r="L124" s="31">
        <v>0.4069444444444445</v>
      </c>
      <c r="M124" s="14">
        <f t="shared" si="15"/>
        <v>-6300</v>
      </c>
      <c r="N124" s="3"/>
      <c r="O124" s="3"/>
      <c r="P124" s="4"/>
      <c r="Q124" s="22"/>
      <c r="R124" s="22"/>
      <c r="S124">
        <f>IF(B124="","",VLOOKUP(Cmt(B124),Sheet2!A:B,2,FALSE))</f>
        <v>5</v>
      </c>
      <c r="T124" s="39">
        <v>9777012</v>
      </c>
      <c r="U124" s="13">
        <f t="shared" ref="U124" si="50">T124*G124/(D124*S124*0.15)</f>
        <v>2.3269851935362644</v>
      </c>
      <c r="W124" s="11"/>
    </row>
    <row r="125" spans="1:23">
      <c r="B125" s="1" t="s">
        <v>113</v>
      </c>
      <c r="C125" s="1">
        <v>22</v>
      </c>
      <c r="D125" s="1">
        <v>2305</v>
      </c>
      <c r="E125" s="2">
        <v>43129</v>
      </c>
      <c r="F125" s="26">
        <v>0.40833333333333338</v>
      </c>
      <c r="G125" s="17">
        <f>2.3%*1/3</f>
        <v>7.6666666666666662E-3</v>
      </c>
      <c r="J125" s="1">
        <v>2329</v>
      </c>
      <c r="K125" s="2">
        <v>43130</v>
      </c>
      <c r="L125" s="26">
        <v>0.38194444444444442</v>
      </c>
      <c r="M125" s="16">
        <f t="shared" si="15"/>
        <v>5280</v>
      </c>
      <c r="S125">
        <f>IF(B125="","",VLOOKUP(Cmt(B125),Sheet2!A:B,2,FALSE))</f>
        <v>10</v>
      </c>
      <c r="T125" s="39">
        <v>9777013</v>
      </c>
      <c r="U125" s="13">
        <f t="shared" ref="U125" si="51">T125*G125/(D125*S125*0.15)</f>
        <v>21.679566064111832</v>
      </c>
      <c r="W125" s="11"/>
    </row>
    <row r="126" spans="1:23">
      <c r="B126" s="1" t="s">
        <v>114</v>
      </c>
      <c r="C126" s="1">
        <v>7</v>
      </c>
      <c r="D126" s="1">
        <v>2034.5</v>
      </c>
      <c r="E126" s="2">
        <v>43129</v>
      </c>
      <c r="F126" s="26">
        <v>0.40833333333333338</v>
      </c>
      <c r="G126" s="17">
        <f>4.3%*0.5</f>
        <v>2.1499999999999998E-2</v>
      </c>
      <c r="J126" s="1">
        <v>2038</v>
      </c>
      <c r="K126" s="2">
        <v>43129</v>
      </c>
      <c r="L126" s="26">
        <v>0.92361111111111116</v>
      </c>
      <c r="M126" s="16">
        <f t="shared" si="15"/>
        <v>2450</v>
      </c>
      <c r="S126">
        <f>IF(B126="","",VLOOKUP(Cmt(B126),Sheet2!A:B,2,FALSE))</f>
        <v>100</v>
      </c>
      <c r="T126" s="39">
        <v>9777014</v>
      </c>
      <c r="U126" s="13">
        <f t="shared" ref="U126" si="52">T126*G126/(D126*S126*0.15)</f>
        <v>6.8880413205537803</v>
      </c>
      <c r="W126" s="11"/>
    </row>
    <row r="127" spans="1:23">
      <c r="B127" s="1" t="s">
        <v>115</v>
      </c>
      <c r="C127" s="1">
        <v>22</v>
      </c>
      <c r="D127" s="1">
        <v>3951</v>
      </c>
      <c r="E127" s="2">
        <v>43129</v>
      </c>
      <c r="F127" s="26">
        <v>0.4375</v>
      </c>
      <c r="G127" s="17">
        <f>2.6%*0.5</f>
        <v>1.3000000000000001E-2</v>
      </c>
      <c r="J127" s="1">
        <v>3936</v>
      </c>
      <c r="K127" s="2">
        <v>43129</v>
      </c>
      <c r="L127" s="26">
        <v>0.88194444444444453</v>
      </c>
      <c r="M127" s="16">
        <f t="shared" si="15"/>
        <v>-3300</v>
      </c>
      <c r="S127">
        <f>IF(B127="","",VLOOKUP(Cmt(B127),Sheet2!A:B,2,FALSE))</f>
        <v>10</v>
      </c>
      <c r="T127" s="39">
        <v>9777015</v>
      </c>
      <c r="U127" s="13">
        <f t="shared" ref="U127" si="53">T127*G127/(D127*S127*0.15)</f>
        <v>21.446249050873199</v>
      </c>
      <c r="W127" s="11"/>
    </row>
    <row r="128" spans="1:23">
      <c r="B128" s="1" t="s">
        <v>116</v>
      </c>
      <c r="C128" s="1">
        <v>22</v>
      </c>
      <c r="D128" s="1">
        <v>3966</v>
      </c>
      <c r="E128" s="2">
        <v>43129</v>
      </c>
      <c r="F128" s="26">
        <v>0.46458333333333335</v>
      </c>
      <c r="G128" s="17">
        <f>4%*1/3</f>
        <v>1.3333333333333334E-2</v>
      </c>
      <c r="J128" s="1">
        <v>3951</v>
      </c>
      <c r="K128" s="2">
        <v>43130</v>
      </c>
      <c r="L128" s="26">
        <v>0.38194444444444442</v>
      </c>
      <c r="M128" s="16">
        <f t="shared" si="15"/>
        <v>-3300</v>
      </c>
      <c r="S128">
        <f>IF(B128="","",VLOOKUP(Cmt(B128),Sheet2!A:B,2,FALSE))</f>
        <v>10</v>
      </c>
      <c r="T128" s="39">
        <v>9777015</v>
      </c>
      <c r="U128" s="13">
        <f t="shared" ref="U128" si="54">T128*G128/(D128*S128*0.15)</f>
        <v>21.912960161371661</v>
      </c>
      <c r="W128" s="11"/>
    </row>
    <row r="129" spans="1:23">
      <c r="B129" s="1" t="s">
        <v>117</v>
      </c>
      <c r="C129" s="1">
        <v>17</v>
      </c>
      <c r="D129" s="1">
        <v>2804</v>
      </c>
      <c r="E129" s="2">
        <v>43129</v>
      </c>
      <c r="F129" s="26">
        <v>0.46458333333333335</v>
      </c>
      <c r="G129" s="17">
        <f>2.2%*1/3</f>
        <v>7.3333333333333341E-3</v>
      </c>
      <c r="J129" s="1">
        <v>2795</v>
      </c>
      <c r="K129" s="2">
        <v>43130</v>
      </c>
      <c r="L129" s="26">
        <v>0.38194444444444442</v>
      </c>
      <c r="M129" s="16">
        <f t="shared" si="15"/>
        <v>-1530</v>
      </c>
      <c r="S129">
        <f>IF(B129="","",VLOOKUP(Cmt(B129),Sheet2!A:B,2,FALSE))</f>
        <v>10</v>
      </c>
      <c r="T129" s="39">
        <v>9777015</v>
      </c>
      <c r="U129" s="13">
        <f t="shared" ref="U129" si="55">T129*G129/(D129*S129*0.15)</f>
        <v>17.046626248216832</v>
      </c>
      <c r="W129" s="11"/>
    </row>
    <row r="130" spans="1:23">
      <c r="B130" s="1" t="s">
        <v>118</v>
      </c>
      <c r="C130" s="1">
        <v>-1</v>
      </c>
      <c r="D130" s="1">
        <v>91.825000000000003</v>
      </c>
      <c r="E130" s="2">
        <v>43129</v>
      </c>
      <c r="F130" s="26">
        <v>0.46458333333333335</v>
      </c>
      <c r="G130" s="17">
        <v>1.7999999999999999E-2</v>
      </c>
      <c r="J130" s="1">
        <v>91.954999999999998</v>
      </c>
      <c r="K130" s="2">
        <v>43129</v>
      </c>
      <c r="L130" s="26">
        <v>0.56736111111111109</v>
      </c>
      <c r="M130" s="16">
        <f t="shared" si="15"/>
        <v>-1299.9999999999545</v>
      </c>
      <c r="S130">
        <f>IF(B130="","",VLOOKUP(Cmt(B130),Sheet2!A:B,2,FALSE))</f>
        <v>10000</v>
      </c>
      <c r="T130" s="39">
        <v>9777016</v>
      </c>
      <c r="U130" s="13">
        <f t="shared" ref="U130" si="56">T130*G130/(D130*S130*0.15)</f>
        <v>1.2776933514838007</v>
      </c>
      <c r="W130" s="11"/>
    </row>
    <row r="131" spans="1:23">
      <c r="B131" s="1" t="s">
        <v>119</v>
      </c>
      <c r="C131" s="1">
        <v>12</v>
      </c>
      <c r="D131" s="1">
        <v>6660</v>
      </c>
      <c r="E131" s="2">
        <v>43129</v>
      </c>
      <c r="F131" s="26">
        <v>0.56736111111111109</v>
      </c>
      <c r="G131" s="17">
        <f>1.8%*1/3</f>
        <v>6.000000000000001E-3</v>
      </c>
      <c r="J131" s="1">
        <v>6648</v>
      </c>
      <c r="K131" s="2">
        <v>43129</v>
      </c>
      <c r="L131" s="26">
        <v>0.58958333333333335</v>
      </c>
      <c r="M131" s="16">
        <f t="shared" si="15"/>
        <v>-720</v>
      </c>
      <c r="S131">
        <f>IF(B131="","",VLOOKUP(Cmt(B131),Sheet2!A:B,2,FALSE))</f>
        <v>5</v>
      </c>
      <c r="T131" s="39">
        <v>9777016</v>
      </c>
      <c r="U131" s="13">
        <f t="shared" ref="U131" si="57">T131*G131/(D131*S131*0.15)</f>
        <v>11.744163363363366</v>
      </c>
      <c r="W131" s="11"/>
    </row>
    <row r="132" spans="1:23">
      <c r="A132" s="3"/>
      <c r="B132" s="3" t="s">
        <v>119</v>
      </c>
      <c r="C132" s="3">
        <v>12</v>
      </c>
      <c r="D132" s="3">
        <v>6648</v>
      </c>
      <c r="E132" s="19">
        <v>43129</v>
      </c>
      <c r="F132" s="31">
        <v>0.62152777777777779</v>
      </c>
      <c r="G132" s="18">
        <f>1.8%*1/3</f>
        <v>6.000000000000001E-3</v>
      </c>
      <c r="H132" s="51"/>
      <c r="I132" s="18"/>
      <c r="J132" s="3">
        <v>6650</v>
      </c>
      <c r="K132" s="19">
        <v>43130</v>
      </c>
      <c r="L132" s="31">
        <v>0.37638888888888888</v>
      </c>
      <c r="M132" s="14">
        <f t="shared" si="15"/>
        <v>120</v>
      </c>
      <c r="N132" s="3"/>
      <c r="O132" s="3"/>
      <c r="P132" s="4"/>
      <c r="Q132" s="22"/>
      <c r="R132" s="22"/>
      <c r="S132">
        <f>IF(B132="","",VLOOKUP(Cmt(B132),Sheet2!A:B,2,FALSE))</f>
        <v>5</v>
      </c>
      <c r="T132" s="39">
        <v>9777016</v>
      </c>
      <c r="U132" s="13">
        <f t="shared" ref="U132" si="58">T132*G132/(D132*S132*0.15)</f>
        <v>11.765362214199762</v>
      </c>
      <c r="W132" s="11"/>
    </row>
    <row r="133" spans="1:23">
      <c r="A133" s="2">
        <v>43130</v>
      </c>
      <c r="B133" s="1" t="s">
        <v>31</v>
      </c>
      <c r="C133" s="1">
        <v>-2</v>
      </c>
      <c r="D133" s="1">
        <v>53510</v>
      </c>
      <c r="E133" s="2">
        <v>43129</v>
      </c>
      <c r="F133" s="26">
        <v>0.88194444444444453</v>
      </c>
      <c r="G133" s="17">
        <f>1.5%*0.5</f>
        <v>7.4999999999999997E-3</v>
      </c>
      <c r="J133" s="1">
        <v>53420</v>
      </c>
      <c r="K133" s="2">
        <v>43129</v>
      </c>
      <c r="L133" s="26">
        <v>0.92361111111111116</v>
      </c>
      <c r="M133" s="16">
        <f t="shared" si="15"/>
        <v>900</v>
      </c>
      <c r="S133">
        <f>IF(B133="","",VLOOKUP(Cmt(B133),Sheet2!A:B,2,FALSE))</f>
        <v>5</v>
      </c>
      <c r="T133" s="39">
        <v>9777017</v>
      </c>
      <c r="U133" s="13">
        <f t="shared" ref="U133" si="59">T133*G133/(D133*S133*0.15)</f>
        <v>1.8271382919080545</v>
      </c>
      <c r="W133" s="11"/>
    </row>
    <row r="134" spans="1:23">
      <c r="B134" s="1" t="s">
        <v>106</v>
      </c>
      <c r="C134" s="1">
        <v>-10</v>
      </c>
      <c r="D134" s="1">
        <v>14845</v>
      </c>
      <c r="E134" s="2">
        <v>43129</v>
      </c>
      <c r="F134" s="26">
        <v>0.92361111111111116</v>
      </c>
      <c r="G134" s="17">
        <f>2.3%*0.5</f>
        <v>1.15E-2</v>
      </c>
      <c r="J134" s="1">
        <v>14645</v>
      </c>
      <c r="K134" s="2">
        <v>43131</v>
      </c>
      <c r="L134" s="26">
        <v>0.40972222222222227</v>
      </c>
      <c r="M134" s="16">
        <f t="shared" si="15"/>
        <v>10000</v>
      </c>
      <c r="S134">
        <f>IF(B134="","",VLOOKUP(Cmt(B134),Sheet2!A:B,2,FALSE))</f>
        <v>5</v>
      </c>
      <c r="T134" s="39">
        <v>9777018</v>
      </c>
      <c r="U134" s="13">
        <f t="shared" ref="U134" si="60">T134*G134/(D134*S134*0.15)</f>
        <v>10.098637655776356</v>
      </c>
      <c r="W134" s="11"/>
    </row>
    <row r="135" spans="1:23">
      <c r="B135" s="3" t="s">
        <v>120</v>
      </c>
      <c r="C135" s="3">
        <v>-2</v>
      </c>
      <c r="D135" s="3">
        <v>2823</v>
      </c>
      <c r="E135" s="19">
        <v>43129</v>
      </c>
      <c r="F135" s="31">
        <v>0.92361111111111116</v>
      </c>
      <c r="G135" s="18">
        <f>0.2%*1/3</f>
        <v>6.6666666666666664E-4</v>
      </c>
      <c r="H135" s="51"/>
      <c r="I135" s="18"/>
      <c r="J135" s="3">
        <v>2782</v>
      </c>
      <c r="K135" s="19">
        <v>43131</v>
      </c>
      <c r="L135" s="31">
        <v>0.88194444444444453</v>
      </c>
      <c r="M135" s="14">
        <f t="shared" si="15"/>
        <v>820</v>
      </c>
      <c r="N135" s="3"/>
      <c r="O135" s="3"/>
      <c r="P135" s="4"/>
      <c r="Q135" s="22"/>
      <c r="R135" s="22"/>
      <c r="S135">
        <f>IF(B135="","",VLOOKUP(Cmt(B135),Sheet2!A:B,2,FALSE))</f>
        <v>10</v>
      </c>
      <c r="T135" s="39">
        <v>9777019</v>
      </c>
      <c r="U135" s="13">
        <f t="shared" ref="U135" si="61">T135*G135/(D135*S135*0.15)</f>
        <v>1.5392638249301374</v>
      </c>
      <c r="W135" s="11"/>
    </row>
    <row r="136" spans="1:23">
      <c r="B136" s="1" t="s">
        <v>121</v>
      </c>
      <c r="C136" s="1">
        <v>13</v>
      </c>
      <c r="D136" s="1">
        <v>1292</v>
      </c>
      <c r="E136" s="2">
        <v>43130</v>
      </c>
      <c r="F136" s="26">
        <v>0.38194444444444442</v>
      </c>
      <c r="G136" s="17">
        <f>3.1%*1/2</f>
        <v>1.55E-2</v>
      </c>
      <c r="J136" s="1">
        <v>1292</v>
      </c>
      <c r="K136" s="2">
        <v>43130</v>
      </c>
      <c r="L136" s="26">
        <v>0.62083333333333335</v>
      </c>
      <c r="M136" s="16">
        <f t="shared" si="15"/>
        <v>0</v>
      </c>
      <c r="S136">
        <f>IF(B136="","",VLOOKUP(Cmt(B136),Sheet2!A:B,2,FALSE))</f>
        <v>60</v>
      </c>
      <c r="T136" s="39">
        <v>9777020</v>
      </c>
      <c r="U136" s="13">
        <f t="shared" ref="U136" si="62">T136*G136/(D136*S136*0.15)</f>
        <v>13.03266339869281</v>
      </c>
      <c r="W136" s="11"/>
    </row>
    <row r="137" spans="1:23">
      <c r="B137" s="1" t="s">
        <v>122</v>
      </c>
      <c r="C137" s="1">
        <v>-2</v>
      </c>
      <c r="D137" s="1">
        <v>53420</v>
      </c>
      <c r="E137" s="2">
        <v>43130</v>
      </c>
      <c r="F137" s="26">
        <v>0.38194444444444442</v>
      </c>
      <c r="G137" s="17">
        <f>1.5%*1/2</f>
        <v>7.4999999999999997E-3</v>
      </c>
      <c r="J137" s="1">
        <v>53490</v>
      </c>
      <c r="K137" s="2">
        <v>43130</v>
      </c>
      <c r="L137" s="26">
        <v>0.40277777777777773</v>
      </c>
      <c r="M137" s="16">
        <f t="shared" si="15"/>
        <v>-700</v>
      </c>
      <c r="S137">
        <f>IF(B137="","",VLOOKUP(Cmt(B137),Sheet2!A:B,2,FALSE))</f>
        <v>5</v>
      </c>
      <c r="T137" s="39">
        <v>9777021</v>
      </c>
      <c r="U137" s="13">
        <f t="shared" ref="U137" si="63">T137*G137/(D137*S137*0.15)</f>
        <v>1.830217334331711</v>
      </c>
      <c r="W137" s="11"/>
    </row>
    <row r="138" spans="1:23">
      <c r="B138" s="1" t="s">
        <v>122</v>
      </c>
      <c r="C138" s="1">
        <v>-2</v>
      </c>
      <c r="D138" s="1">
        <v>53490</v>
      </c>
      <c r="E138" s="2">
        <v>43130</v>
      </c>
      <c r="F138" s="26">
        <v>0.42152777777777778</v>
      </c>
      <c r="G138" s="17">
        <f>1.5%*1/2</f>
        <v>7.4999999999999997E-3</v>
      </c>
      <c r="J138" s="1">
        <v>53140</v>
      </c>
      <c r="K138" s="2">
        <v>43131</v>
      </c>
      <c r="L138" s="26">
        <v>0.46875</v>
      </c>
      <c r="M138" s="16">
        <f t="shared" si="15"/>
        <v>3500</v>
      </c>
      <c r="S138">
        <f>IF(B138="","",VLOOKUP(Cmt(B138),Sheet2!A:B,2,FALSE))</f>
        <v>5</v>
      </c>
      <c r="T138" s="39">
        <v>9777021</v>
      </c>
      <c r="U138" s="13">
        <f t="shared" ref="U138" si="64">T138*G138/(D138*S138*0.15)</f>
        <v>1.8278222097588335</v>
      </c>
      <c r="W138" s="11"/>
    </row>
    <row r="139" spans="1:23">
      <c r="B139" s="1" t="s">
        <v>123</v>
      </c>
      <c r="C139" s="1">
        <v>-6</v>
      </c>
      <c r="D139" s="1">
        <v>5186</v>
      </c>
      <c r="E139" s="2">
        <v>43130</v>
      </c>
      <c r="F139" s="26">
        <v>0.46875</v>
      </c>
      <c r="G139" s="17">
        <f>1.4%*1/3</f>
        <v>4.6666666666666662E-3</v>
      </c>
      <c r="J139" s="1">
        <v>5194</v>
      </c>
      <c r="K139" s="2">
        <v>43131</v>
      </c>
      <c r="L139" s="26">
        <v>0.40277777777777773</v>
      </c>
      <c r="M139" s="16">
        <f t="shared" si="15"/>
        <v>-480</v>
      </c>
      <c r="S139">
        <f>IF(B139="","",VLOOKUP(Cmt(B139),Sheet2!A:B,2,FALSE))</f>
        <v>10</v>
      </c>
      <c r="T139" s="39">
        <v>9777022</v>
      </c>
      <c r="U139" s="13">
        <f t="shared" ref="U139" si="65">T139*G139/(D139*S139*0.15)</f>
        <v>5.8652915113339326</v>
      </c>
      <c r="W139" s="11"/>
    </row>
    <row r="140" spans="1:23">
      <c r="B140" s="1" t="s">
        <v>124</v>
      </c>
      <c r="C140" s="1">
        <v>-10</v>
      </c>
      <c r="D140" s="1">
        <v>2088</v>
      </c>
      <c r="E140" s="2">
        <v>43130</v>
      </c>
      <c r="F140" s="26">
        <v>0.58750000000000002</v>
      </c>
      <c r="G140" s="17">
        <f>1%*1/3</f>
        <v>3.3333333333333335E-3</v>
      </c>
      <c r="J140" s="1">
        <v>2093</v>
      </c>
      <c r="K140" s="2">
        <v>43131</v>
      </c>
      <c r="L140" s="26">
        <v>0.40277777777777773</v>
      </c>
      <c r="M140" s="16">
        <f t="shared" si="15"/>
        <v>-500</v>
      </c>
      <c r="S140">
        <f>IF(B140="","",VLOOKUP(Cmt(B140),Sheet2!A:B,2,FALSE))</f>
        <v>10</v>
      </c>
      <c r="T140" s="39">
        <v>9777023</v>
      </c>
      <c r="U140" s="13">
        <f t="shared" ref="U140:U141" si="66">T140*G140/(D140*S140*0.15)</f>
        <v>10.405516177096636</v>
      </c>
      <c r="W140" s="11"/>
    </row>
    <row r="141" spans="1:23">
      <c r="A141" s="3"/>
      <c r="B141" s="3" t="s">
        <v>125</v>
      </c>
      <c r="C141" s="3">
        <v>-1</v>
      </c>
      <c r="D141" s="3">
        <v>91.8</v>
      </c>
      <c r="E141" s="19">
        <v>43130</v>
      </c>
      <c r="F141" s="31">
        <v>0.58750000000000002</v>
      </c>
      <c r="G141" s="18">
        <v>1.7999999999999999E-2</v>
      </c>
      <c r="H141" s="51"/>
      <c r="I141" s="18"/>
      <c r="J141" s="3">
        <v>91.965000000000003</v>
      </c>
      <c r="K141" s="19">
        <v>43131</v>
      </c>
      <c r="L141" s="31">
        <v>0.41944444444444445</v>
      </c>
      <c r="M141" s="14">
        <f t="shared" si="15"/>
        <v>-1650.0000000000625</v>
      </c>
      <c r="N141" s="3"/>
      <c r="O141" s="3"/>
      <c r="P141" s="4"/>
      <c r="Q141" s="22"/>
      <c r="R141" s="22"/>
      <c r="S141">
        <f>IF(B141="","",VLOOKUP(Cmt(B141),Sheet2!A:B,2,FALSE))</f>
        <v>10000</v>
      </c>
      <c r="T141" s="39">
        <v>9777024</v>
      </c>
      <c r="U141" s="13">
        <f t="shared" si="66"/>
        <v>1.2780423529411764</v>
      </c>
      <c r="W141" s="11"/>
    </row>
    <row r="142" spans="1:23">
      <c r="A142" s="2">
        <v>43131</v>
      </c>
      <c r="B142" s="1" t="s">
        <v>128</v>
      </c>
      <c r="C142" s="1">
        <v>20</v>
      </c>
      <c r="D142" s="1">
        <v>2342</v>
      </c>
      <c r="E142" s="2">
        <v>43130</v>
      </c>
      <c r="F142" s="26">
        <v>0.88750000000000007</v>
      </c>
      <c r="G142" s="17">
        <f>2.1%*1/3</f>
        <v>7.0000000000000001E-3</v>
      </c>
      <c r="J142" s="1">
        <v>2336</v>
      </c>
      <c r="K142" s="2">
        <v>43131</v>
      </c>
      <c r="L142" s="26">
        <v>0.88194444444444453</v>
      </c>
      <c r="M142" s="16">
        <f t="shared" si="15"/>
        <v>-1200</v>
      </c>
      <c r="S142">
        <f>IF(B142="","",VLOOKUP(Cmt(B142),Sheet2!A:B,2,FALSE))</f>
        <v>10</v>
      </c>
      <c r="T142" s="39">
        <v>9777025</v>
      </c>
      <c r="U142" s="13">
        <f t="shared" ref="U142:U147" si="67">T142*G142/(D142*S142*0.15)</f>
        <v>19.481689439225732</v>
      </c>
      <c r="W142" s="11"/>
    </row>
    <row r="143" spans="1:23">
      <c r="B143" s="1" t="s">
        <v>129</v>
      </c>
      <c r="C143" s="1">
        <v>20</v>
      </c>
      <c r="D143" s="1">
        <v>3940</v>
      </c>
      <c r="E143" s="2">
        <v>43130</v>
      </c>
      <c r="F143" s="26">
        <v>0.88750000000000007</v>
      </c>
      <c r="G143" s="17">
        <f>2.7%*0.5</f>
        <v>1.3500000000000002E-2</v>
      </c>
      <c r="J143" s="1">
        <v>3915</v>
      </c>
      <c r="K143" s="2">
        <v>43131</v>
      </c>
      <c r="L143" s="26">
        <v>0.38125000000000003</v>
      </c>
      <c r="M143" s="16">
        <f t="shared" si="15"/>
        <v>-5000</v>
      </c>
      <c r="S143">
        <f>IF(B143="","",VLOOKUP(Cmt(B143),Sheet2!A:B,2,FALSE))</f>
        <v>10</v>
      </c>
      <c r="T143" s="39">
        <v>9777026</v>
      </c>
      <c r="U143" s="13">
        <f t="shared" si="67"/>
        <v>22.333308121827415</v>
      </c>
      <c r="W143" s="11"/>
    </row>
    <row r="144" spans="1:23">
      <c r="B144" s="1" t="s">
        <v>130</v>
      </c>
      <c r="C144" s="1">
        <v>27</v>
      </c>
      <c r="D144" s="1">
        <v>2807</v>
      </c>
      <c r="E144" s="2">
        <v>43130</v>
      </c>
      <c r="F144" s="26">
        <v>0.88750000000000007</v>
      </c>
      <c r="G144" s="17">
        <f>2.3%*1/2</f>
        <v>1.15E-2</v>
      </c>
      <c r="J144" s="1">
        <v>2804</v>
      </c>
      <c r="K144" s="2">
        <v>43131</v>
      </c>
      <c r="L144" s="26">
        <v>0.88194444444444453</v>
      </c>
      <c r="M144" s="16">
        <f t="shared" si="15"/>
        <v>-810</v>
      </c>
      <c r="S144">
        <f>IF(B144="","",VLOOKUP(Cmt(B144),Sheet2!A:B,2,FALSE))</f>
        <v>10</v>
      </c>
      <c r="T144" s="39">
        <v>9777027</v>
      </c>
      <c r="U144" s="13">
        <f t="shared" si="67"/>
        <v>26.703671891699322</v>
      </c>
      <c r="W144" s="11"/>
    </row>
    <row r="145" spans="1:23">
      <c r="B145" s="1" t="s">
        <v>131</v>
      </c>
      <c r="C145" s="1">
        <v>16</v>
      </c>
      <c r="D145" s="1">
        <v>3950</v>
      </c>
      <c r="E145" s="2">
        <v>43130</v>
      </c>
      <c r="F145" s="26">
        <v>0.92708333333333337</v>
      </c>
      <c r="G145" s="17">
        <f>2.9%*1/3</f>
        <v>9.6666666666666654E-3</v>
      </c>
      <c r="J145" s="1">
        <v>3929</v>
      </c>
      <c r="K145" s="2">
        <v>43131</v>
      </c>
      <c r="L145" s="26">
        <v>0.46527777777777773</v>
      </c>
      <c r="M145" s="16">
        <f t="shared" si="15"/>
        <v>-3360</v>
      </c>
      <c r="S145">
        <f>IF(B145="","",VLOOKUP(Cmt(B145),Sheet2!A:B,2,FALSE))</f>
        <v>10</v>
      </c>
      <c r="T145" s="39">
        <v>9777028</v>
      </c>
      <c r="U145" s="13">
        <f t="shared" si="67"/>
        <v>15.951269310829813</v>
      </c>
      <c r="W145" s="11"/>
    </row>
    <row r="146" spans="1:23">
      <c r="B146" s="1" t="s">
        <v>132</v>
      </c>
      <c r="C146" s="1">
        <v>16</v>
      </c>
      <c r="D146" s="1">
        <v>667.6</v>
      </c>
      <c r="E146" s="2">
        <v>43130</v>
      </c>
      <c r="F146" s="26">
        <v>0.92708333333333337</v>
      </c>
      <c r="G146" s="17">
        <f>3.3%*0.5</f>
        <v>1.6500000000000001E-2</v>
      </c>
      <c r="J146" s="1">
        <v>664.8</v>
      </c>
      <c r="K146" s="2">
        <v>43131</v>
      </c>
      <c r="L146" s="26">
        <v>0.41944444444444445</v>
      </c>
      <c r="M146" s="16">
        <f t="shared" si="15"/>
        <v>-4480.0000000001091</v>
      </c>
      <c r="S146">
        <f>IF(B146="","",VLOOKUP(Cmt(B146),Sheet2!A:B,2,FALSE))</f>
        <v>100</v>
      </c>
      <c r="T146" s="39">
        <v>9777029</v>
      </c>
      <c r="U146" s="13">
        <f t="shared" si="67"/>
        <v>16.109544487717194</v>
      </c>
      <c r="W146" s="11"/>
    </row>
    <row r="147" spans="1:23">
      <c r="B147" s="3" t="s">
        <v>133</v>
      </c>
      <c r="C147" s="3">
        <v>10</v>
      </c>
      <c r="D147" s="3">
        <v>1295.5</v>
      </c>
      <c r="E147" s="19">
        <v>43130</v>
      </c>
      <c r="F147" s="31">
        <v>0.92708333333333337</v>
      </c>
      <c r="G147" s="18">
        <f>2.5%*0.5</f>
        <v>1.2500000000000001E-2</v>
      </c>
      <c r="H147" s="51"/>
      <c r="I147" s="18"/>
      <c r="J147" s="3">
        <v>1285</v>
      </c>
      <c r="K147" s="19">
        <v>43131</v>
      </c>
      <c r="L147" s="31">
        <v>0.38125000000000003</v>
      </c>
      <c r="M147" s="14">
        <f t="shared" si="15"/>
        <v>-6300</v>
      </c>
      <c r="N147" s="3"/>
      <c r="O147" s="3"/>
      <c r="P147" s="4"/>
      <c r="Q147" s="22"/>
      <c r="R147" s="22"/>
      <c r="S147">
        <f>IF(B147="","",VLOOKUP(Cmt(B147),Sheet2!A:B,2,FALSE))</f>
        <v>60</v>
      </c>
      <c r="T147" s="39">
        <v>9777030</v>
      </c>
      <c r="U147" s="13">
        <f t="shared" si="67"/>
        <v>10.481828122989837</v>
      </c>
      <c r="W147" s="11"/>
    </row>
    <row r="148" spans="1:23">
      <c r="B148" s="1" t="s">
        <v>126</v>
      </c>
      <c r="C148" s="1">
        <v>-5</v>
      </c>
      <c r="D148" s="1">
        <v>1986.5</v>
      </c>
      <c r="E148" s="2">
        <v>43131</v>
      </c>
      <c r="F148" s="26">
        <v>0.40972222222222227</v>
      </c>
      <c r="G148" s="17">
        <f>2.9%*0.5</f>
        <v>1.4499999999999999E-2</v>
      </c>
      <c r="J148" s="1">
        <v>2001.5</v>
      </c>
      <c r="K148" s="2">
        <v>43131</v>
      </c>
      <c r="L148" s="26">
        <v>0.88194444444444453</v>
      </c>
      <c r="M148" s="16">
        <f t="shared" ref="M148:M150" si="68">IF(J148="","",C148*(J148-D148)*S148)</f>
        <v>-7500</v>
      </c>
      <c r="S148">
        <f>IF(B148="","",VLOOKUP(Cmt(B148),Sheet2!A:B,2,FALSE))</f>
        <v>100</v>
      </c>
      <c r="T148" s="39">
        <v>9777025</v>
      </c>
      <c r="U148" s="13">
        <f t="shared" ref="U148:U149" si="69">T148*G148/(D148*S148*0.15)</f>
        <v>4.7576763990267636</v>
      </c>
      <c r="W148" s="11"/>
    </row>
    <row r="149" spans="1:23">
      <c r="B149" s="1" t="s">
        <v>127</v>
      </c>
      <c r="C149" s="1">
        <v>-13</v>
      </c>
      <c r="D149" s="1">
        <v>3595</v>
      </c>
      <c r="E149" s="2">
        <v>43131</v>
      </c>
      <c r="F149" s="26">
        <v>0.40972222222222227</v>
      </c>
      <c r="G149" s="17">
        <f>2.2%*1/3</f>
        <v>7.3333333333333341E-3</v>
      </c>
      <c r="J149" s="1">
        <v>3627</v>
      </c>
      <c r="K149" s="2">
        <v>43132</v>
      </c>
      <c r="L149" s="26">
        <v>0.38194444444444442</v>
      </c>
      <c r="M149" s="16">
        <f t="shared" si="68"/>
        <v>-2080</v>
      </c>
      <c r="S149">
        <f>IF(B149="","",VLOOKUP(Cmt(B149),Sheet2!A:B,2,FALSE))</f>
        <v>5</v>
      </c>
      <c r="T149" s="39">
        <v>9777026</v>
      </c>
      <c r="U149" s="13">
        <f t="shared" si="69"/>
        <v>26.591818513367336</v>
      </c>
      <c r="W149" s="11"/>
    </row>
    <row r="150" spans="1:23">
      <c r="B150" s="1" t="s">
        <v>134</v>
      </c>
      <c r="C150" s="1">
        <v>1</v>
      </c>
      <c r="D150" s="1">
        <v>4292</v>
      </c>
      <c r="E150" s="2">
        <v>43131</v>
      </c>
      <c r="F150" s="26">
        <v>0.47013888888888888</v>
      </c>
      <c r="G150" s="17">
        <v>1.4999999999999999E-2</v>
      </c>
      <c r="J150" s="1">
        <v>4280.3999999999996</v>
      </c>
      <c r="K150" s="2">
        <v>43131</v>
      </c>
      <c r="L150" s="26">
        <v>0.56805555555555554</v>
      </c>
      <c r="M150" s="16">
        <f t="shared" si="68"/>
        <v>-3480.0000000001091</v>
      </c>
      <c r="S150">
        <f>IF(B150="","",VLOOKUP(Cmt(B150),Sheet2!A:B,2,FALSE))</f>
        <v>300</v>
      </c>
      <c r="T150" s="39">
        <v>9777027</v>
      </c>
      <c r="U150" s="13">
        <f t="shared" ref="U150:U151" si="70">T150*G150/(D150*S150*0.15)</f>
        <v>0.75932176141658903</v>
      </c>
      <c r="W150" s="11"/>
    </row>
    <row r="151" spans="1:23">
      <c r="B151" s="1" t="s">
        <v>135</v>
      </c>
      <c r="C151" s="1">
        <v>-14</v>
      </c>
      <c r="D151" s="1">
        <v>14615</v>
      </c>
      <c r="E151" s="2">
        <v>43131</v>
      </c>
      <c r="F151" s="26">
        <v>0.47013888888888888</v>
      </c>
      <c r="G151" s="17">
        <f>3.2%*0.5</f>
        <v>1.6E-2</v>
      </c>
      <c r="J151" s="1">
        <v>14585</v>
      </c>
      <c r="K151" s="2">
        <v>43132</v>
      </c>
      <c r="L151" s="45">
        <v>0.88541666666666663</v>
      </c>
      <c r="M151" s="16">
        <f t="shared" ref="M151:M211" si="71">IF(J151="","",C151*(J151-D151)*S151)</f>
        <v>2100</v>
      </c>
      <c r="S151">
        <f>IF(B151="","",VLOOKUP(Cmt(B151),Sheet2!A:B,2,FALSE))</f>
        <v>5</v>
      </c>
      <c r="T151" s="39">
        <v>9777028</v>
      </c>
      <c r="U151" s="13">
        <f t="shared" si="70"/>
        <v>14.271405907172996</v>
      </c>
      <c r="W151" s="11"/>
    </row>
    <row r="152" spans="1:23">
      <c r="B152" s="1" t="s">
        <v>136</v>
      </c>
      <c r="C152" s="1">
        <v>-1</v>
      </c>
      <c r="D152" s="1">
        <v>6169.4</v>
      </c>
      <c r="E152" s="2">
        <v>43131</v>
      </c>
      <c r="F152" s="26">
        <v>0.5756944444444444</v>
      </c>
      <c r="G152" s="17">
        <v>1.7999999999999999E-2</v>
      </c>
      <c r="J152" s="1">
        <v>6160.2</v>
      </c>
      <c r="K152" s="2">
        <v>43131</v>
      </c>
      <c r="L152" s="26">
        <v>0.62083333333333335</v>
      </c>
      <c r="M152" s="16">
        <f t="shared" si="71"/>
        <v>1839.9999999999636</v>
      </c>
      <c r="S152">
        <f>IF(B152="","",VLOOKUP(Cmt(B152),Sheet2!A:B,2,FALSE))</f>
        <v>200</v>
      </c>
      <c r="T152" s="39">
        <v>9777029</v>
      </c>
      <c r="U152" s="13">
        <f t="shared" ref="U152" si="72">T152*G152/(D152*S152*0.15)</f>
        <v>0.950857036340649</v>
      </c>
      <c r="W152" s="11"/>
    </row>
    <row r="153" spans="1:23">
      <c r="B153" s="1" t="s">
        <v>137</v>
      </c>
      <c r="C153" s="1">
        <v>-4</v>
      </c>
      <c r="D153" s="1">
        <v>53050</v>
      </c>
      <c r="E153" s="2">
        <v>43131</v>
      </c>
      <c r="F153" s="26">
        <v>0.57638888888888895</v>
      </c>
      <c r="G153" s="17">
        <f>3.1%*0.5</f>
        <v>1.55E-2</v>
      </c>
      <c r="J153" s="1">
        <v>53200</v>
      </c>
      <c r="K153" s="2">
        <v>43131</v>
      </c>
      <c r="L153" s="26">
        <v>0.88194444444444453</v>
      </c>
      <c r="M153" s="16">
        <f t="shared" si="71"/>
        <v>-3000</v>
      </c>
      <c r="S153">
        <f>IF(B153="","",VLOOKUP(Cmt(B153),Sheet2!A:B,2,FALSE))</f>
        <v>5</v>
      </c>
      <c r="T153" s="39">
        <v>9777030</v>
      </c>
      <c r="U153" s="13">
        <f t="shared" ref="U153" si="73">T153*G153/(D153*S153*0.15)</f>
        <v>3.8088335532516493</v>
      </c>
      <c r="W153" s="11"/>
    </row>
    <row r="154" spans="1:23">
      <c r="B154" s="1" t="s">
        <v>134</v>
      </c>
      <c r="C154" s="1">
        <v>1</v>
      </c>
      <c r="D154" s="1">
        <v>4287</v>
      </c>
      <c r="E154" s="2">
        <v>43131</v>
      </c>
      <c r="F154" s="26">
        <v>0.62083333333333335</v>
      </c>
      <c r="G154" s="17">
        <v>1.4999999999999999E-2</v>
      </c>
      <c r="J154" s="1">
        <v>4281.2</v>
      </c>
      <c r="K154" s="2">
        <v>43132</v>
      </c>
      <c r="L154" s="26">
        <v>0.44444444444444442</v>
      </c>
      <c r="M154" s="16">
        <f t="shared" si="71"/>
        <v>-1740.0000000000546</v>
      </c>
      <c r="S154">
        <f>IF(B154="","",VLOOKUP(Cmt(B154),Sheet2!A:B,2,FALSE))</f>
        <v>300</v>
      </c>
      <c r="T154" s="39">
        <v>9777031</v>
      </c>
      <c r="U154" s="13">
        <f t="shared" ref="U154:U155" si="74">T154*G154/(D154*S154*0.15)</f>
        <v>0.7602076821398025</v>
      </c>
      <c r="W154" s="11"/>
    </row>
    <row r="155" spans="1:23">
      <c r="B155" s="1" t="s">
        <v>138</v>
      </c>
      <c r="C155" s="1">
        <v>4</v>
      </c>
      <c r="D155" s="1">
        <v>2896</v>
      </c>
      <c r="E155" s="2">
        <v>43131</v>
      </c>
      <c r="F155" s="26">
        <v>0.62083333333333335</v>
      </c>
      <c r="G155" s="17">
        <f>0.5%*1/3</f>
        <v>1.6666666666666668E-3</v>
      </c>
      <c r="J155" s="1">
        <v>2872</v>
      </c>
      <c r="K155" s="2">
        <v>43132</v>
      </c>
      <c r="L155" s="26">
        <v>0.46180555555555558</v>
      </c>
      <c r="M155" s="16">
        <f t="shared" si="71"/>
        <v>-960</v>
      </c>
      <c r="S155">
        <f>IF(B155="","",VLOOKUP(Cmt(B155),Sheet2!A:B,2,FALSE))</f>
        <v>10</v>
      </c>
      <c r="T155" s="39">
        <v>9777032</v>
      </c>
      <c r="U155" s="13">
        <f t="shared" si="74"/>
        <v>3.7511632903621859</v>
      </c>
      <c r="W155" s="11"/>
    </row>
    <row r="156" spans="1:23">
      <c r="B156" s="1" t="s">
        <v>139</v>
      </c>
      <c r="C156" s="1">
        <v>8</v>
      </c>
      <c r="D156" s="1">
        <v>26733.75</v>
      </c>
      <c r="E156" s="2">
        <v>43131</v>
      </c>
      <c r="F156" s="26">
        <v>0.62083333333333335</v>
      </c>
      <c r="G156" s="17">
        <f>3.4%*0.5</f>
        <v>1.7000000000000001E-2</v>
      </c>
      <c r="J156" s="1">
        <v>26685</v>
      </c>
      <c r="K156" s="2">
        <v>43132</v>
      </c>
      <c r="L156" s="26">
        <v>0.38194444444444442</v>
      </c>
      <c r="M156" s="16">
        <f t="shared" si="71"/>
        <v>-1950</v>
      </c>
      <c r="S156">
        <f>IF(B156="","",VLOOKUP(Cmt(B156),Sheet2!A:B,2,FALSE))</f>
        <v>5</v>
      </c>
      <c r="T156" s="39">
        <v>9777033</v>
      </c>
      <c r="U156" s="13">
        <f t="shared" ref="U156" si="75">T156*G156/(D156*S156*0.15)</f>
        <v>8.289624463459111</v>
      </c>
      <c r="W156" s="11"/>
    </row>
    <row r="157" spans="1:23">
      <c r="A157" s="3"/>
      <c r="B157" s="3" t="s">
        <v>140</v>
      </c>
      <c r="C157" s="3">
        <v>-9</v>
      </c>
      <c r="D157" s="3">
        <v>5192</v>
      </c>
      <c r="E157" s="19">
        <v>43131</v>
      </c>
      <c r="F157" s="31">
        <v>0.62083333333333335</v>
      </c>
      <c r="G157" s="18">
        <f>2.1%*1/3</f>
        <v>7.0000000000000001E-3</v>
      </c>
      <c r="H157" s="51"/>
      <c r="I157" s="18"/>
      <c r="J157" s="3">
        <v>5148</v>
      </c>
      <c r="K157" s="19">
        <v>43132</v>
      </c>
      <c r="L157" s="46">
        <v>0.88541666666666663</v>
      </c>
      <c r="M157" s="14">
        <f t="shared" si="71"/>
        <v>3960</v>
      </c>
      <c r="N157" s="3"/>
      <c r="O157" s="3"/>
      <c r="P157" s="4"/>
      <c r="Q157" s="22"/>
      <c r="R157" s="22"/>
      <c r="S157">
        <f>IF(B157="","",VLOOKUP(Cmt(B157),Sheet2!A:B,2,FALSE))</f>
        <v>10</v>
      </c>
      <c r="T157" s="39">
        <v>9777034</v>
      </c>
      <c r="U157" s="13">
        <f t="shared" ref="U157" si="76">T157*G157/(D157*S157*0.15)</f>
        <v>8.7877809450436573</v>
      </c>
      <c r="W157" s="11"/>
    </row>
    <row r="158" spans="1:23">
      <c r="A158" s="2">
        <v>43132</v>
      </c>
      <c r="B158" s="1" t="s">
        <v>12</v>
      </c>
      <c r="C158" s="1">
        <v>16</v>
      </c>
      <c r="D158" s="1">
        <v>3964</v>
      </c>
      <c r="E158" s="2">
        <v>43131</v>
      </c>
      <c r="F158" s="26">
        <v>0.92152777777777783</v>
      </c>
      <c r="G158" s="17">
        <f>2.9%*1/3</f>
        <v>9.6666666666666654E-3</v>
      </c>
      <c r="J158" s="1">
        <v>3970</v>
      </c>
      <c r="K158" s="2">
        <v>43132</v>
      </c>
      <c r="L158" s="45">
        <v>0.88541666666666663</v>
      </c>
      <c r="M158" s="16">
        <f t="shared" si="71"/>
        <v>960</v>
      </c>
      <c r="S158">
        <f>IF(B158="","",VLOOKUP(Cmt(B158),Sheet2!A:B,2,FALSE))</f>
        <v>10</v>
      </c>
      <c r="T158" s="39">
        <v>9777035</v>
      </c>
      <c r="U158" s="13">
        <f t="shared" ref="U158:U159" si="77">T158*G158/(D158*S158*0.15)</f>
        <v>15.894944220204057</v>
      </c>
      <c r="W158" s="11"/>
    </row>
    <row r="159" spans="1:23">
      <c r="B159" s="3" t="s">
        <v>13</v>
      </c>
      <c r="C159" s="3">
        <v>17</v>
      </c>
      <c r="D159" s="3">
        <v>3937</v>
      </c>
      <c r="E159" s="19">
        <v>43131</v>
      </c>
      <c r="F159" s="31">
        <v>0.92152777777777783</v>
      </c>
      <c r="G159" s="18">
        <f>2.1%*0.5</f>
        <v>1.0500000000000001E-2</v>
      </c>
      <c r="H159" s="51"/>
      <c r="I159" s="18"/>
      <c r="J159" s="3">
        <v>3932</v>
      </c>
      <c r="K159" s="19">
        <v>43132</v>
      </c>
      <c r="L159" s="46">
        <v>0.88541666666666663</v>
      </c>
      <c r="M159" s="14">
        <f t="shared" si="71"/>
        <v>-850</v>
      </c>
      <c r="N159" s="3"/>
      <c r="O159" s="3"/>
      <c r="P159" s="4"/>
      <c r="Q159" s="22"/>
      <c r="R159" s="22"/>
      <c r="S159">
        <f>IF(B159="","",VLOOKUP(Cmt(B159),Sheet2!A:B,2,FALSE))</f>
        <v>10</v>
      </c>
      <c r="T159" s="39">
        <v>9777036</v>
      </c>
      <c r="U159" s="13">
        <f t="shared" si="77"/>
        <v>17.383604775209552</v>
      </c>
      <c r="W159" s="11"/>
    </row>
    <row r="160" spans="1:23">
      <c r="B160" s="1" t="s">
        <v>141</v>
      </c>
      <c r="C160" s="1">
        <v>14</v>
      </c>
      <c r="D160" s="1">
        <v>6638</v>
      </c>
      <c r="E160" s="2">
        <v>43132</v>
      </c>
      <c r="F160" s="26">
        <v>0.38194444444444442</v>
      </c>
      <c r="G160" s="17">
        <f>1.4%*1/2</f>
        <v>6.9999999999999993E-3</v>
      </c>
      <c r="J160" s="1">
        <v>6650</v>
      </c>
      <c r="K160" s="2">
        <v>43132</v>
      </c>
      <c r="L160" s="26">
        <v>0.44444444444444442</v>
      </c>
      <c r="M160" s="16">
        <f t="shared" si="71"/>
        <v>840</v>
      </c>
      <c r="S160">
        <f>IF(B160="","",VLOOKUP(Cmt(B160),Sheet2!A:B,2,FALSE))</f>
        <v>5</v>
      </c>
      <c r="T160" s="39">
        <v>9777037</v>
      </c>
      <c r="U160" s="13">
        <f t="shared" ref="U160:U162" si="78">T160*G160/(D160*S160*0.15)</f>
        <v>13.746963744099627</v>
      </c>
      <c r="W160" s="11"/>
    </row>
    <row r="161" spans="1:23">
      <c r="B161" s="1" t="s">
        <v>142</v>
      </c>
      <c r="C161" s="1">
        <v>3</v>
      </c>
      <c r="D161" s="1">
        <v>2025.5</v>
      </c>
      <c r="E161" s="2">
        <v>43132</v>
      </c>
      <c r="F161" s="26">
        <v>0.38194444444444442</v>
      </c>
      <c r="G161" s="17">
        <f>2.1%*1/2</f>
        <v>1.0500000000000001E-2</v>
      </c>
      <c r="J161" s="1">
        <v>2018.5</v>
      </c>
      <c r="K161" s="2">
        <v>43132</v>
      </c>
      <c r="L161" s="26">
        <v>0.44444444444444442</v>
      </c>
      <c r="M161" s="16">
        <f t="shared" si="71"/>
        <v>-2100</v>
      </c>
      <c r="S161">
        <f>IF(B161="","",VLOOKUP(Cmt(B161),Sheet2!A:B,2,FALSE))</f>
        <v>100</v>
      </c>
      <c r="T161" s="39">
        <v>9777038</v>
      </c>
      <c r="U161" s="13">
        <f t="shared" si="78"/>
        <v>3.3788825475191313</v>
      </c>
      <c r="W161" s="11"/>
    </row>
    <row r="162" spans="1:23">
      <c r="B162" s="1" t="s">
        <v>143</v>
      </c>
      <c r="C162" s="1">
        <v>10</v>
      </c>
      <c r="D162" s="1">
        <v>1300</v>
      </c>
      <c r="E162" s="2">
        <v>43132</v>
      </c>
      <c r="F162" s="26">
        <v>0.38194444444444442</v>
      </c>
      <c r="G162" s="17">
        <f>2.5%*1/2</f>
        <v>1.2500000000000001E-2</v>
      </c>
      <c r="J162" s="1">
        <v>1296</v>
      </c>
      <c r="K162" s="2">
        <v>43132</v>
      </c>
      <c r="L162" s="26">
        <v>0.44444444444444442</v>
      </c>
      <c r="M162" s="16">
        <f t="shared" si="71"/>
        <v>-2400</v>
      </c>
      <c r="S162">
        <f>IF(B162="","",VLOOKUP(Cmt(B162),Sheet2!A:B,2,FALSE))</f>
        <v>60</v>
      </c>
      <c r="T162" s="39">
        <v>9777039</v>
      </c>
      <c r="U162" s="13">
        <f t="shared" si="78"/>
        <v>10.445554487179487</v>
      </c>
      <c r="W162" s="11"/>
    </row>
    <row r="163" spans="1:23">
      <c r="B163" s="1" t="s">
        <v>144</v>
      </c>
      <c r="C163" s="1">
        <v>-3</v>
      </c>
      <c r="D163" s="1">
        <v>53226.67</v>
      </c>
      <c r="E163" s="2">
        <v>43132</v>
      </c>
      <c r="F163" s="26">
        <v>0.38194444444444442</v>
      </c>
      <c r="G163" s="17">
        <f>2.1%*1/2</f>
        <v>1.0500000000000001E-2</v>
      </c>
      <c r="J163" s="1">
        <v>53090</v>
      </c>
      <c r="K163" s="2">
        <v>43133</v>
      </c>
      <c r="L163" s="26">
        <v>0.38541666666666669</v>
      </c>
      <c r="M163" s="16">
        <f t="shared" si="71"/>
        <v>2050.0499999999738</v>
      </c>
      <c r="S163">
        <f>IF(B163="","",VLOOKUP(Cmt(B163),Sheet2!A:B,2,FALSE))</f>
        <v>5</v>
      </c>
      <c r="T163" s="39">
        <v>9777040</v>
      </c>
      <c r="U163" s="13">
        <f t="shared" ref="U163" si="79">T163*G163/(D163*S163*0.15)</f>
        <v>2.5716160714168299</v>
      </c>
      <c r="W163" s="11"/>
    </row>
    <row r="164" spans="1:23">
      <c r="B164" s="1" t="s">
        <v>145</v>
      </c>
      <c r="C164" s="1">
        <v>-9</v>
      </c>
      <c r="D164" s="1">
        <v>2783</v>
      </c>
      <c r="E164" s="2">
        <v>43132</v>
      </c>
      <c r="F164" s="26">
        <v>0.4375</v>
      </c>
      <c r="G164" s="17">
        <f>1.2%*1/3</f>
        <v>4.0000000000000001E-3</v>
      </c>
      <c r="J164" s="1">
        <v>2788</v>
      </c>
      <c r="K164" s="2">
        <v>43133</v>
      </c>
      <c r="L164" s="26">
        <v>0.3833333333333333</v>
      </c>
      <c r="M164" s="16">
        <f t="shared" si="71"/>
        <v>-450</v>
      </c>
      <c r="S164">
        <f>IF(B164="","",VLOOKUP(Cmt(B164),Sheet2!A:B,2,FALSE))</f>
        <v>10</v>
      </c>
      <c r="T164" s="39">
        <v>9777041</v>
      </c>
      <c r="U164" s="13">
        <f t="shared" ref="U164" si="80">T164*G164/(D164*S164*0.15)</f>
        <v>9.3683468678883717</v>
      </c>
      <c r="W164" s="11"/>
    </row>
    <row r="165" spans="1:23">
      <c r="B165" s="1" t="s">
        <v>146</v>
      </c>
      <c r="C165" s="1">
        <v>-1</v>
      </c>
      <c r="D165" s="1">
        <v>6119.2</v>
      </c>
      <c r="E165" s="2">
        <v>43132</v>
      </c>
      <c r="F165" s="26">
        <v>0.44444444444444442</v>
      </c>
      <c r="G165" s="17">
        <v>1.7999999999999999E-2</v>
      </c>
      <c r="I165" s="17">
        <f>G165</f>
        <v>1.7999999999999999E-2</v>
      </c>
      <c r="J165" s="1">
        <v>5688.6</v>
      </c>
      <c r="K165" s="2">
        <v>43143</v>
      </c>
      <c r="L165" s="26">
        <v>0.58680555555555558</v>
      </c>
      <c r="M165" s="16">
        <f t="shared" si="71"/>
        <v>86119.999999999884</v>
      </c>
      <c r="P165" s="47"/>
      <c r="Q165" s="48"/>
      <c r="R165" s="48"/>
      <c r="S165">
        <f>IF(B165="","",VLOOKUP(Cmt(B165),Sheet2!A:B,2,FALSE))</f>
        <v>200</v>
      </c>
      <c r="T165" s="39">
        <v>9777042</v>
      </c>
      <c r="U165" s="13">
        <f t="shared" ref="U165:U168" si="81">T165*G165/(D165*S165*0.15)</f>
        <v>0.95865884429337167</v>
      </c>
      <c r="W165" s="11"/>
    </row>
    <row r="166" spans="1:23">
      <c r="B166" s="1" t="s">
        <v>147</v>
      </c>
      <c r="C166" s="1">
        <v>1</v>
      </c>
      <c r="D166" s="1">
        <v>3142</v>
      </c>
      <c r="E166" s="2">
        <v>43132</v>
      </c>
      <c r="F166" s="26">
        <v>0.56597222222222221</v>
      </c>
      <c r="G166" s="17">
        <v>1.4E-2</v>
      </c>
      <c r="J166" s="1">
        <v>3128.2</v>
      </c>
      <c r="K166" s="2">
        <v>43132</v>
      </c>
      <c r="L166" s="26">
        <v>0.58750000000000002</v>
      </c>
      <c r="M166" s="16">
        <f t="shared" si="71"/>
        <v>-4140.0000000000546</v>
      </c>
      <c r="S166">
        <f>IF(B166="","",VLOOKUP(Cmt(B166),Sheet2!A:B,2,FALSE))</f>
        <v>300</v>
      </c>
      <c r="T166" s="39">
        <v>9777043</v>
      </c>
      <c r="U166" s="13">
        <f t="shared" si="81"/>
        <v>0.96809252422377834</v>
      </c>
      <c r="W166" s="11"/>
    </row>
    <row r="167" spans="1:23">
      <c r="B167" s="1" t="s">
        <v>147</v>
      </c>
      <c r="C167" s="1">
        <v>1</v>
      </c>
      <c r="D167" s="1">
        <v>3152</v>
      </c>
      <c r="E167" s="2">
        <v>43132</v>
      </c>
      <c r="F167" s="26">
        <v>0.62152777777777779</v>
      </c>
      <c r="G167" s="17">
        <v>1.4E-2</v>
      </c>
      <c r="J167" s="1">
        <v>3131</v>
      </c>
      <c r="K167" s="2">
        <v>43133</v>
      </c>
      <c r="L167" s="26">
        <v>0.39861111111111108</v>
      </c>
      <c r="M167" s="16">
        <f t="shared" si="71"/>
        <v>-6300</v>
      </c>
      <c r="S167">
        <f>IF(B167="","",VLOOKUP(Cmt(B167),Sheet2!A:B,2,FALSE))</f>
        <v>300</v>
      </c>
      <c r="T167" s="39">
        <v>9777044</v>
      </c>
      <c r="U167" s="13">
        <f t="shared" si="81"/>
        <v>0.96502126339537508</v>
      </c>
      <c r="W167" s="11"/>
    </row>
    <row r="168" spans="1:23">
      <c r="A168" s="3"/>
      <c r="B168" s="3" t="s">
        <v>148</v>
      </c>
      <c r="C168" s="3">
        <v>-5</v>
      </c>
      <c r="D168" s="3">
        <v>1998</v>
      </c>
      <c r="E168" s="19">
        <v>43132</v>
      </c>
      <c r="F168" s="31">
        <v>0.61805555555555558</v>
      </c>
      <c r="G168" s="18">
        <f>3.4%*1/2</f>
        <v>1.7000000000000001E-2</v>
      </c>
      <c r="H168" s="51"/>
      <c r="I168" s="18"/>
      <c r="J168" s="3">
        <v>2014.5</v>
      </c>
      <c r="K168" s="19">
        <v>43132</v>
      </c>
      <c r="L168" s="46">
        <v>0.88541666666666663</v>
      </c>
      <c r="M168" s="14">
        <f t="shared" si="71"/>
        <v>-8250</v>
      </c>
      <c r="N168" s="3"/>
      <c r="O168" s="3"/>
      <c r="P168" s="4"/>
      <c r="Q168" s="22"/>
      <c r="R168" s="22"/>
      <c r="S168">
        <f>IF(B168="","",VLOOKUP(Cmt(B168),Sheet2!A:B,2,FALSE))</f>
        <v>100</v>
      </c>
      <c r="T168" s="39">
        <v>9777045</v>
      </c>
      <c r="U168" s="13">
        <f t="shared" si="81"/>
        <v>5.5458713713713719</v>
      </c>
      <c r="W168" s="11"/>
    </row>
    <row r="169" spans="1:23">
      <c r="A169" s="2">
        <v>43133</v>
      </c>
      <c r="B169" s="1" t="s">
        <v>149</v>
      </c>
      <c r="C169" s="1">
        <v>8</v>
      </c>
      <c r="D169" s="1">
        <v>102860</v>
      </c>
      <c r="E169" s="2">
        <v>43132</v>
      </c>
      <c r="F169" s="45">
        <v>0.88541666666666663</v>
      </c>
      <c r="G169" s="17">
        <f>2.6%*1/2</f>
        <v>1.3000000000000001E-2</v>
      </c>
      <c r="J169" s="1">
        <v>102690</v>
      </c>
      <c r="K169" s="2">
        <v>43132</v>
      </c>
      <c r="L169" s="26">
        <v>0.92291666666666661</v>
      </c>
      <c r="M169" s="16">
        <f t="shared" si="71"/>
        <v>-1360</v>
      </c>
      <c r="S169">
        <f>IF(B169="","",VLOOKUP(Cmt(B169),Sheet2!A:B,2,FALSE))</f>
        <v>1</v>
      </c>
      <c r="T169" s="39">
        <v>9777046</v>
      </c>
      <c r="U169" s="13">
        <f t="shared" ref="U169:U172" si="82">T169*G169/(D169*S169*0.15)</f>
        <v>8.2378377082118099</v>
      </c>
      <c r="W169" s="11"/>
    </row>
    <row r="170" spans="1:23">
      <c r="B170" s="1" t="s">
        <v>150</v>
      </c>
      <c r="C170" s="1">
        <v>11</v>
      </c>
      <c r="D170" s="1">
        <v>2336</v>
      </c>
      <c r="E170" s="2">
        <v>43132</v>
      </c>
      <c r="F170" s="45">
        <v>0.88541666666666663</v>
      </c>
      <c r="G170" s="17">
        <f>1.2%*1/3</f>
        <v>4.0000000000000001E-3</v>
      </c>
      <c r="J170" s="1">
        <v>2320</v>
      </c>
      <c r="K170" s="2">
        <v>43132</v>
      </c>
      <c r="L170" s="26">
        <v>0.92291666666666661</v>
      </c>
      <c r="M170" s="16">
        <f t="shared" si="71"/>
        <v>-1760</v>
      </c>
      <c r="S170">
        <f>IF(B170="","",VLOOKUP(Cmt(B170),Sheet2!A:B,2,FALSE))</f>
        <v>10</v>
      </c>
      <c r="T170" s="39">
        <v>9777047</v>
      </c>
      <c r="U170" s="13">
        <f t="shared" si="82"/>
        <v>11.161012557077626</v>
      </c>
      <c r="W170" s="11"/>
    </row>
    <row r="171" spans="1:23">
      <c r="A171" s="1" t="s">
        <v>188</v>
      </c>
      <c r="B171" s="1" t="s">
        <v>152</v>
      </c>
      <c r="C171" s="1">
        <v>11</v>
      </c>
      <c r="D171" s="1">
        <v>1299.5</v>
      </c>
      <c r="E171" s="2">
        <v>43132</v>
      </c>
      <c r="F171" s="45">
        <v>0.88541666666666663</v>
      </c>
      <c r="G171" s="17">
        <f>2.6%</f>
        <v>2.6000000000000002E-2</v>
      </c>
      <c r="I171" s="17">
        <f>G171*0.5</f>
        <v>1.3000000000000001E-2</v>
      </c>
      <c r="J171" s="1">
        <v>1369.5</v>
      </c>
      <c r="K171" s="2">
        <v>43136</v>
      </c>
      <c r="L171" s="26" t="s">
        <v>187</v>
      </c>
      <c r="M171" s="16">
        <f t="shared" si="71"/>
        <v>46200</v>
      </c>
      <c r="N171" s="1">
        <f>C171*1</f>
        <v>11</v>
      </c>
      <c r="O171" s="1">
        <v>1374.5</v>
      </c>
      <c r="P171" s="47">
        <v>43136</v>
      </c>
      <c r="Q171" s="48">
        <v>0.62152777777777779</v>
      </c>
      <c r="R171" s="48" t="s">
        <v>191</v>
      </c>
      <c r="S171">
        <f>IF(B171="","",VLOOKUP(Cmt(B171),Sheet2!A:B,2,FALSE))</f>
        <v>60</v>
      </c>
      <c r="T171" s="39">
        <v>9777048</v>
      </c>
      <c r="U171" s="13">
        <f t="shared" si="82"/>
        <v>21.735132999871748</v>
      </c>
      <c r="W171" s="11"/>
    </row>
    <row r="172" spans="1:23">
      <c r="B172" s="1" t="s">
        <v>153</v>
      </c>
      <c r="C172" s="1">
        <v>-1</v>
      </c>
      <c r="D172" s="1">
        <v>275.8</v>
      </c>
      <c r="E172" s="2">
        <v>43132</v>
      </c>
      <c r="F172" s="45">
        <v>0.88541666666666663</v>
      </c>
      <c r="G172" s="17">
        <f>1.7%*1/3</f>
        <v>5.6666666666666671E-3</v>
      </c>
      <c r="J172" s="1">
        <v>276.7</v>
      </c>
      <c r="K172" s="2">
        <v>43133</v>
      </c>
      <c r="L172" s="26">
        <v>0.375</v>
      </c>
      <c r="M172" s="16">
        <f t="shared" si="71"/>
        <v>-899.99999999997726</v>
      </c>
      <c r="S172">
        <f>IF(B172="","",VLOOKUP(Cmt(B172),Sheet2!A:B,2,FALSE))</f>
        <v>1000</v>
      </c>
      <c r="T172" s="39">
        <v>9777049</v>
      </c>
      <c r="U172" s="13">
        <f t="shared" si="82"/>
        <v>1.3392138667311257</v>
      </c>
      <c r="W172" s="11"/>
    </row>
    <row r="173" spans="1:23">
      <c r="B173" s="3" t="s">
        <v>154</v>
      </c>
      <c r="C173" s="3">
        <v>1</v>
      </c>
      <c r="D173" s="3">
        <v>2890</v>
      </c>
      <c r="E173" s="19">
        <v>43132</v>
      </c>
      <c r="F173" s="31">
        <v>0.92291666666666661</v>
      </c>
      <c r="G173" s="18">
        <f>0.5%*1/3</f>
        <v>1.6666666666666668E-3</v>
      </c>
      <c r="H173" s="51"/>
      <c r="I173" s="18"/>
      <c r="J173" s="3">
        <v>2922</v>
      </c>
      <c r="K173" s="19">
        <v>43133</v>
      </c>
      <c r="L173" s="31">
        <v>0.375</v>
      </c>
      <c r="M173" s="14">
        <f t="shared" si="71"/>
        <v>320</v>
      </c>
      <c r="N173" s="3"/>
      <c r="O173" s="3"/>
      <c r="P173" s="4"/>
      <c r="Q173" s="22"/>
      <c r="R173" s="22"/>
      <c r="S173">
        <f>IF(B173="","",VLOOKUP(Cmt(B173),Sheet2!A:B,2,FALSE))</f>
        <v>10</v>
      </c>
      <c r="T173" s="39">
        <v>9777050</v>
      </c>
      <c r="U173" s="13">
        <f t="shared" ref="U173" si="83">T173*G173/(D173*S173*0.15)</f>
        <v>3.7589580930411381</v>
      </c>
      <c r="W173" s="11"/>
    </row>
    <row r="174" spans="1:23">
      <c r="B174" s="1" t="s">
        <v>149</v>
      </c>
      <c r="C174" s="1">
        <v>8</v>
      </c>
      <c r="D174" s="1">
        <v>105220</v>
      </c>
      <c r="E174" s="2">
        <v>43133</v>
      </c>
      <c r="F174" s="26">
        <v>0.3833333333333333</v>
      </c>
      <c r="G174" s="17">
        <f>2.6%*0.5</f>
        <v>1.3000000000000001E-2</v>
      </c>
      <c r="J174" s="1">
        <v>104320</v>
      </c>
      <c r="K174" s="2">
        <v>43133</v>
      </c>
      <c r="L174" s="26">
        <v>0.89930555555555547</v>
      </c>
      <c r="M174" s="16">
        <f t="shared" si="71"/>
        <v>-7200</v>
      </c>
      <c r="S174">
        <f>IF(B174="","",VLOOKUP(Cmt(B174),Sheet2!A:B,2,FALSE))</f>
        <v>1</v>
      </c>
      <c r="T174" s="39">
        <v>9777051</v>
      </c>
      <c r="U174" s="13">
        <f t="shared" ref="U174:U180" si="84">T174*G174/(D174*S174*0.15)</f>
        <v>8.0530737502375977</v>
      </c>
      <c r="W174" s="11"/>
    </row>
    <row r="175" spans="1:23">
      <c r="B175" s="1" t="s">
        <v>155</v>
      </c>
      <c r="C175" s="1">
        <v>21</v>
      </c>
      <c r="D175" s="1">
        <v>4015</v>
      </c>
      <c r="E175" s="2">
        <v>43133</v>
      </c>
      <c r="F175" s="26">
        <v>0.3833333333333333</v>
      </c>
      <c r="G175" s="17">
        <f>3.9%*1/3</f>
        <v>1.2999999999999999E-2</v>
      </c>
      <c r="J175" s="1">
        <v>4016</v>
      </c>
      <c r="K175" s="2">
        <v>43136</v>
      </c>
      <c r="L175" s="26">
        <v>0.37847222222222227</v>
      </c>
      <c r="M175" s="16">
        <f t="shared" si="71"/>
        <v>210</v>
      </c>
      <c r="S175">
        <f>IF(B175="","",VLOOKUP(Cmt(B175),Sheet2!A:B,2,FALSE))</f>
        <v>10</v>
      </c>
      <c r="T175" s="39">
        <v>9777052</v>
      </c>
      <c r="U175" s="13">
        <f t="shared" si="84"/>
        <v>21.104470900788709</v>
      </c>
      <c r="W175" s="11"/>
    </row>
    <row r="176" spans="1:23">
      <c r="B176" s="1" t="s">
        <v>157</v>
      </c>
      <c r="C176" s="1">
        <v>9</v>
      </c>
      <c r="D176" s="1">
        <v>26745</v>
      </c>
      <c r="E176" s="2">
        <v>43133</v>
      </c>
      <c r="F176" s="26">
        <v>0.3833333333333333</v>
      </c>
      <c r="G176" s="17">
        <v>3.6999999999999998E-2</v>
      </c>
      <c r="I176" s="17">
        <f>G176*0.5</f>
        <v>1.8499999999999999E-2</v>
      </c>
      <c r="J176" s="1">
        <v>26665</v>
      </c>
      <c r="K176" s="2">
        <v>43136</v>
      </c>
      <c r="L176" s="26">
        <v>0.38263888888888892</v>
      </c>
      <c r="M176" s="16">
        <f t="shared" si="71"/>
        <v>-3600</v>
      </c>
      <c r="P176" s="47"/>
      <c r="Q176" s="48"/>
      <c r="R176" s="48"/>
      <c r="S176">
        <f>IF(B176="","",VLOOKUP(Cmt(B176),Sheet2!A:B,2,FALSE))</f>
        <v>5</v>
      </c>
      <c r="T176" s="39">
        <v>9777053</v>
      </c>
      <c r="U176" s="13">
        <f t="shared" si="84"/>
        <v>18.034571496229827</v>
      </c>
      <c r="W176" s="11"/>
    </row>
    <row r="177" spans="1:23">
      <c r="B177" s="1" t="s">
        <v>158</v>
      </c>
      <c r="C177" s="1">
        <v>10</v>
      </c>
      <c r="D177" s="1">
        <v>5694</v>
      </c>
      <c r="E177" s="2">
        <v>43133</v>
      </c>
      <c r="F177" s="26">
        <v>0.3833333333333333</v>
      </c>
      <c r="G177" s="17">
        <f>1.3%*1/3</f>
        <v>4.333333333333334E-3</v>
      </c>
      <c r="J177" s="1">
        <v>5684</v>
      </c>
      <c r="K177" s="2">
        <v>43133</v>
      </c>
      <c r="L177" s="26">
        <v>0.39861111111111108</v>
      </c>
      <c r="M177" s="16">
        <f t="shared" si="71"/>
        <v>-500</v>
      </c>
      <c r="S177">
        <f>IF(B177="","",VLOOKUP(Cmt(B177),Sheet2!A:B,2,FALSE))</f>
        <v>5</v>
      </c>
      <c r="T177" s="39">
        <v>9777054</v>
      </c>
      <c r="U177" s="13">
        <f t="shared" si="84"/>
        <v>9.9209071537290718</v>
      </c>
      <c r="W177" s="11"/>
    </row>
    <row r="178" spans="1:23">
      <c r="B178" s="1" t="s">
        <v>159</v>
      </c>
      <c r="C178" s="1">
        <v>13</v>
      </c>
      <c r="D178" s="1">
        <v>6664</v>
      </c>
      <c r="E178" s="2">
        <v>43133</v>
      </c>
      <c r="F178" s="26">
        <v>0.3833333333333333</v>
      </c>
      <c r="G178" s="17">
        <f>1.4%*1/2</f>
        <v>6.9999999999999993E-3</v>
      </c>
      <c r="J178" s="1">
        <v>6660</v>
      </c>
      <c r="K178" s="2">
        <v>43133</v>
      </c>
      <c r="L178" s="26">
        <v>0.39861111111111108</v>
      </c>
      <c r="M178" s="16">
        <f t="shared" si="71"/>
        <v>-260</v>
      </c>
      <c r="S178">
        <f>IF(B178="","",VLOOKUP(Cmt(B178),Sheet2!A:B,2,FALSE))</f>
        <v>5</v>
      </c>
      <c r="T178" s="39">
        <v>9777055</v>
      </c>
      <c r="U178" s="13">
        <f t="shared" si="84"/>
        <v>13.693354341736693</v>
      </c>
      <c r="W178" s="11"/>
    </row>
    <row r="179" spans="1:23">
      <c r="B179" s="1" t="s">
        <v>160</v>
      </c>
      <c r="C179" s="1">
        <v>16</v>
      </c>
      <c r="D179" s="1">
        <v>672.2</v>
      </c>
      <c r="E179" s="2">
        <v>43133</v>
      </c>
      <c r="F179" s="26">
        <v>0.3833333333333333</v>
      </c>
      <c r="G179" s="17">
        <f>3.3%*0.5</f>
        <v>1.6500000000000001E-2</v>
      </c>
      <c r="J179" s="1">
        <v>658.2</v>
      </c>
      <c r="K179" s="2">
        <v>43133</v>
      </c>
      <c r="L179" s="26">
        <v>0.62152777777777779</v>
      </c>
      <c r="M179" s="16">
        <f t="shared" si="71"/>
        <v>-22400</v>
      </c>
      <c r="S179">
        <f>IF(B179="","",VLOOKUP(Cmt(B179),Sheet2!A:B,2,FALSE))</f>
        <v>100</v>
      </c>
      <c r="T179" s="39">
        <v>9777056</v>
      </c>
      <c r="U179" s="13">
        <f t="shared" si="84"/>
        <v>15.999347813150848</v>
      </c>
      <c r="W179" s="11"/>
    </row>
    <row r="180" spans="1:23">
      <c r="B180" s="1" t="s">
        <v>154</v>
      </c>
      <c r="C180" s="1">
        <v>4</v>
      </c>
      <c r="D180" s="1">
        <v>2912</v>
      </c>
      <c r="E180" s="2">
        <v>43133</v>
      </c>
      <c r="F180" s="26">
        <v>0.3833333333333333</v>
      </c>
      <c r="G180" s="17">
        <f>0.5%*1/3</f>
        <v>1.6666666666666668E-3</v>
      </c>
      <c r="J180" s="1">
        <v>2878</v>
      </c>
      <c r="K180" s="2">
        <v>43133</v>
      </c>
      <c r="L180" s="26">
        <v>0.89513888888888893</v>
      </c>
      <c r="M180" s="16">
        <f t="shared" si="71"/>
        <v>-1360</v>
      </c>
      <c r="S180">
        <f>IF(B180="","",VLOOKUP(Cmt(B180),Sheet2!A:B,2,FALSE))</f>
        <v>10</v>
      </c>
      <c r="T180" s="39">
        <v>9777057</v>
      </c>
      <c r="U180" s="13">
        <f t="shared" si="84"/>
        <v>3.7305620421245425</v>
      </c>
      <c r="W180" s="11"/>
    </row>
    <row r="181" spans="1:23">
      <c r="B181" s="1" t="s">
        <v>162</v>
      </c>
      <c r="C181" s="1">
        <v>-14</v>
      </c>
      <c r="D181" s="1">
        <v>3612</v>
      </c>
      <c r="E181" s="2">
        <v>43133</v>
      </c>
      <c r="F181" s="26">
        <v>0.3833333333333333</v>
      </c>
      <c r="G181" s="17">
        <f>2.4%*1/3</f>
        <v>8.0000000000000002E-3</v>
      </c>
      <c r="J181" s="1">
        <v>3665</v>
      </c>
      <c r="K181" s="2">
        <v>43136</v>
      </c>
      <c r="L181" s="26">
        <v>0.37847222222222227</v>
      </c>
      <c r="M181" s="16">
        <f t="shared" si="71"/>
        <v>-3710</v>
      </c>
      <c r="S181">
        <f>IF(B181="","",VLOOKUP(Cmt(B181),Sheet2!A:B,2,FALSE))</f>
        <v>5</v>
      </c>
      <c r="T181" s="39">
        <v>9777058</v>
      </c>
      <c r="U181" s="13">
        <f t="shared" ref="U181" si="85">T181*G181/(D181*S181*0.15)</f>
        <v>28.87281801402732</v>
      </c>
      <c r="W181" s="11"/>
    </row>
    <row r="182" spans="1:23">
      <c r="B182" s="1" t="s">
        <v>158</v>
      </c>
      <c r="C182" s="1">
        <v>10</v>
      </c>
      <c r="D182" s="1">
        <v>5696</v>
      </c>
      <c r="E182" s="2">
        <v>43133</v>
      </c>
      <c r="F182" s="26">
        <v>0.44444444444444442</v>
      </c>
      <c r="G182" s="17">
        <f>1.3%*1/3</f>
        <v>4.333333333333334E-3</v>
      </c>
      <c r="J182" s="1">
        <v>5690</v>
      </c>
      <c r="K182" s="2">
        <v>43133</v>
      </c>
      <c r="L182" s="26">
        <v>0.46458333333333335</v>
      </c>
      <c r="M182" s="16">
        <f t="shared" si="71"/>
        <v>-300</v>
      </c>
      <c r="S182">
        <f>IF(B182="","",VLOOKUP(Cmt(B182),Sheet2!A:B,2,FALSE))</f>
        <v>5</v>
      </c>
      <c r="T182" s="39">
        <v>9777059</v>
      </c>
      <c r="U182" s="13">
        <f t="shared" ref="U182:U185" si="86">T182*G182/(D182*S182*0.15)</f>
        <v>9.9174287609238458</v>
      </c>
      <c r="W182" s="11"/>
    </row>
    <row r="183" spans="1:23">
      <c r="A183" s="1" t="s">
        <v>189</v>
      </c>
      <c r="B183" s="1" t="s">
        <v>167</v>
      </c>
      <c r="C183" s="1">
        <v>4</v>
      </c>
      <c r="D183" s="1">
        <v>2043</v>
      </c>
      <c r="E183" s="2">
        <v>43133</v>
      </c>
      <c r="F183" s="26">
        <v>0.44444444444444442</v>
      </c>
      <c r="G183" s="17">
        <v>2.1000000000000001E-2</v>
      </c>
      <c r="I183" s="17">
        <f>G183*0.5</f>
        <v>1.0500000000000001E-2</v>
      </c>
      <c r="J183" s="1">
        <v>2116.5</v>
      </c>
      <c r="K183" s="2" t="s">
        <v>197</v>
      </c>
      <c r="L183" s="26" t="s">
        <v>198</v>
      </c>
      <c r="M183" s="16">
        <f t="shared" si="71"/>
        <v>29400</v>
      </c>
      <c r="N183" s="1">
        <f>C183*1</f>
        <v>4</v>
      </c>
      <c r="O183" s="1">
        <v>2115</v>
      </c>
      <c r="P183" s="47">
        <v>43136</v>
      </c>
      <c r="Q183" s="48">
        <v>0.62152777777777779</v>
      </c>
      <c r="R183" s="48" t="s">
        <v>192</v>
      </c>
      <c r="S183">
        <f>IF(B183="","",VLOOKUP(Cmt(B183),Sheet2!A:B,2,FALSE))</f>
        <v>100</v>
      </c>
      <c r="T183" s="39">
        <v>9777060</v>
      </c>
      <c r="U183" s="13">
        <f t="shared" si="86"/>
        <v>6.6998942731277538</v>
      </c>
      <c r="W183" s="11"/>
    </row>
    <row r="184" spans="1:23">
      <c r="B184" s="1" t="s">
        <v>159</v>
      </c>
      <c r="C184" s="1">
        <v>13</v>
      </c>
      <c r="D184" s="1">
        <v>6670</v>
      </c>
      <c r="E184" s="2">
        <v>43133</v>
      </c>
      <c r="F184" s="26">
        <v>0.44444444444444442</v>
      </c>
      <c r="G184" s="17">
        <f>1.4%*1/2</f>
        <v>6.9999999999999993E-3</v>
      </c>
      <c r="J184" s="1">
        <v>6662</v>
      </c>
      <c r="K184" s="2">
        <v>43133</v>
      </c>
      <c r="L184" s="26">
        <v>0.46458333333333335</v>
      </c>
      <c r="M184" s="16">
        <f t="shared" si="71"/>
        <v>-520</v>
      </c>
      <c r="S184">
        <f>IF(B184="","",VLOOKUP(Cmt(B184),Sheet2!A:B,2,FALSE))</f>
        <v>5</v>
      </c>
      <c r="T184" s="39">
        <v>9777061</v>
      </c>
      <c r="U184" s="13">
        <f t="shared" si="86"/>
        <v>13.681044877561218</v>
      </c>
      <c r="W184" s="11"/>
    </row>
    <row r="185" spans="1:23">
      <c r="B185" s="1" t="s">
        <v>168</v>
      </c>
      <c r="C185" s="1">
        <v>18</v>
      </c>
      <c r="D185" s="1">
        <v>3965</v>
      </c>
      <c r="E185" s="2">
        <v>43133</v>
      </c>
      <c r="F185" s="26">
        <v>0.44444444444444442</v>
      </c>
      <c r="G185" s="17">
        <f>2.2%*1/2</f>
        <v>1.1000000000000001E-2</v>
      </c>
      <c r="J185" s="1">
        <v>3928</v>
      </c>
      <c r="K185" s="2">
        <v>43133</v>
      </c>
      <c r="L185" s="26">
        <v>0.95763888888888893</v>
      </c>
      <c r="M185" s="16">
        <f t="shared" si="71"/>
        <v>-6660</v>
      </c>
      <c r="S185">
        <f>IF(B185="","",VLOOKUP(Cmt(B185),Sheet2!A:B,2,FALSE))</f>
        <v>10</v>
      </c>
      <c r="T185" s="39">
        <v>9777062</v>
      </c>
      <c r="U185" s="13">
        <f t="shared" si="86"/>
        <v>18.082838503572933</v>
      </c>
      <c r="W185" s="11"/>
    </row>
    <row r="186" spans="1:23">
      <c r="B186" s="1" t="s">
        <v>169</v>
      </c>
      <c r="C186" s="1">
        <v>-9</v>
      </c>
      <c r="D186" s="1">
        <v>5132</v>
      </c>
      <c r="E186" s="2">
        <v>43133</v>
      </c>
      <c r="F186" s="26">
        <v>0.46458333333333335</v>
      </c>
      <c r="G186" s="17">
        <v>2.1000000000000001E-2</v>
      </c>
      <c r="I186" s="17">
        <f>G186*1/3</f>
        <v>7.0000000000000001E-3</v>
      </c>
      <c r="J186" s="1">
        <v>5102</v>
      </c>
      <c r="K186" s="2">
        <v>43136</v>
      </c>
      <c r="L186" s="26">
        <v>0.88124999999999998</v>
      </c>
      <c r="M186" s="16">
        <f t="shared" si="71"/>
        <v>2700</v>
      </c>
      <c r="P186" s="47"/>
      <c r="Q186" s="48"/>
      <c r="R186" s="48"/>
      <c r="S186">
        <f>IF(B186="","",VLOOKUP(Cmt(B186),Sheet2!A:B,2,FALSE))</f>
        <v>10</v>
      </c>
      <c r="T186" s="39">
        <v>9777063</v>
      </c>
      <c r="U186" s="13">
        <f t="shared" ref="U186" si="87">T186*G186/(D186*S186*0.15)</f>
        <v>26.671644972720188</v>
      </c>
      <c r="W186" s="11"/>
    </row>
    <row r="187" spans="1:23">
      <c r="B187" s="1" t="s">
        <v>158</v>
      </c>
      <c r="C187" s="1">
        <v>10</v>
      </c>
      <c r="D187" s="1">
        <v>5688</v>
      </c>
      <c r="E187" s="2">
        <v>43133</v>
      </c>
      <c r="F187" s="26">
        <v>0.56597222222222221</v>
      </c>
      <c r="G187" s="17">
        <f>1.4%*1/3</f>
        <v>4.6666666666666662E-3</v>
      </c>
      <c r="J187" s="1">
        <v>5664</v>
      </c>
      <c r="K187" s="2">
        <v>43133</v>
      </c>
      <c r="L187" s="26">
        <v>0.62152777777777779</v>
      </c>
      <c r="M187" s="16">
        <f t="shared" si="71"/>
        <v>-1200</v>
      </c>
      <c r="S187">
        <f>IF(B187="","",VLOOKUP(Cmt(B187),Sheet2!A:B,2,FALSE))</f>
        <v>5</v>
      </c>
      <c r="T187" s="39">
        <v>9777064</v>
      </c>
      <c r="U187" s="13">
        <f t="shared" ref="U187" si="88">T187*G187/(D187*S187*0.15)</f>
        <v>10.695334896077512</v>
      </c>
      <c r="W187" s="11"/>
    </row>
    <row r="188" spans="1:23" ht="14.25" thickBot="1">
      <c r="A188" s="34"/>
      <c r="B188" s="34" t="s">
        <v>170</v>
      </c>
      <c r="C188" s="34">
        <v>1</v>
      </c>
      <c r="D188" s="34">
        <v>4282</v>
      </c>
      <c r="E188" s="38">
        <v>43133</v>
      </c>
      <c r="F188" s="35">
        <v>0.61875000000000002</v>
      </c>
      <c r="G188" s="36">
        <v>1.2999999999999999E-2</v>
      </c>
      <c r="H188" s="53"/>
      <c r="I188" s="36"/>
      <c r="J188" s="34">
        <v>4247.2</v>
      </c>
      <c r="K188" s="38">
        <v>43136</v>
      </c>
      <c r="L188" s="35">
        <v>0.39999999999999997</v>
      </c>
      <c r="M188" s="40">
        <f t="shared" si="71"/>
        <v>-10440.000000000055</v>
      </c>
      <c r="N188" s="34"/>
      <c r="O188" s="34"/>
      <c r="P188" s="37"/>
      <c r="Q188" s="37"/>
      <c r="R188" s="37"/>
      <c r="S188">
        <f>IF(B188="","",VLOOKUP(Cmt(B188),Sheet2!A:B,2,FALSE))</f>
        <v>300</v>
      </c>
      <c r="T188" s="39">
        <v>9777065</v>
      </c>
      <c r="U188" s="13">
        <f t="shared" ref="U188:U189" si="89">T188*G188/(D188*S188*0.15)</f>
        <v>0.65961827287352748</v>
      </c>
      <c r="W188" s="11"/>
    </row>
    <row r="189" spans="1:23">
      <c r="A189" s="2">
        <v>43136</v>
      </c>
      <c r="B189" s="1" t="s">
        <v>171</v>
      </c>
      <c r="C189" s="1">
        <v>20</v>
      </c>
      <c r="D189" s="1">
        <v>518.5</v>
      </c>
      <c r="E189" s="2">
        <v>43133</v>
      </c>
      <c r="F189" s="26">
        <v>0.89513888888888893</v>
      </c>
      <c r="G189" s="17">
        <f>3.2%*1/2</f>
        <v>1.6E-2</v>
      </c>
      <c r="J189" s="1">
        <v>516.5</v>
      </c>
      <c r="K189" s="2">
        <v>43136</v>
      </c>
      <c r="L189" s="26">
        <v>0.39999999999999997</v>
      </c>
      <c r="M189" s="16">
        <f t="shared" si="71"/>
        <v>-4000</v>
      </c>
      <c r="S189">
        <f>IF(B189="","",VLOOKUP(Cmt(B189),Sheet2!A:B,2,FALSE))</f>
        <v>100</v>
      </c>
      <c r="T189" s="39">
        <v>9777066</v>
      </c>
      <c r="U189" s="13">
        <f t="shared" si="89"/>
        <v>20.113539826422375</v>
      </c>
      <c r="W189" s="11"/>
    </row>
    <row r="190" spans="1:23">
      <c r="B190" s="1" t="s">
        <v>172</v>
      </c>
      <c r="C190" s="1">
        <v>-9</v>
      </c>
      <c r="D190" s="1">
        <v>2783</v>
      </c>
      <c r="E190" s="2">
        <v>43133</v>
      </c>
      <c r="F190" s="26">
        <v>0.89513888888888893</v>
      </c>
      <c r="G190" s="17">
        <f>1.2%*1/3</f>
        <v>4.0000000000000001E-3</v>
      </c>
      <c r="J190" s="1">
        <v>2789</v>
      </c>
      <c r="K190" s="2">
        <v>43136</v>
      </c>
      <c r="L190" s="26">
        <v>0.56527777777777777</v>
      </c>
      <c r="M190" s="16">
        <f t="shared" si="71"/>
        <v>-540</v>
      </c>
      <c r="S190">
        <f>IF(B190="","",VLOOKUP(Cmt(B190),Sheet2!A:B,2,FALSE))</f>
        <v>10</v>
      </c>
      <c r="T190" s="39">
        <v>9777067</v>
      </c>
      <c r="U190" s="13">
        <f>T190*G190/(D190*S190*0.15)</f>
        <v>9.3683717810516232</v>
      </c>
      <c r="W190" s="11"/>
    </row>
    <row r="191" spans="1:23">
      <c r="B191" s="3" t="s">
        <v>173</v>
      </c>
      <c r="C191" s="3">
        <v>-2</v>
      </c>
      <c r="D191" s="3">
        <v>275.75</v>
      </c>
      <c r="E191" s="19">
        <v>43133</v>
      </c>
      <c r="F191" s="31">
        <v>0.89583333333333337</v>
      </c>
      <c r="G191" s="18">
        <v>1.7999999999999999E-2</v>
      </c>
      <c r="H191" s="51">
        <v>0.5</v>
      </c>
      <c r="I191" s="18">
        <f>G191*H191</f>
        <v>8.9999999999999993E-3</v>
      </c>
      <c r="J191" s="3">
        <v>275.55</v>
      </c>
      <c r="K191" s="19">
        <v>43137</v>
      </c>
      <c r="L191" s="31">
        <v>0.39166666666666666</v>
      </c>
      <c r="M191" s="14">
        <f t="shared" si="71"/>
        <v>399.99999999997726</v>
      </c>
      <c r="N191" s="3"/>
      <c r="O191" s="3"/>
      <c r="P191" s="49"/>
      <c r="Q191" s="50"/>
      <c r="R191" s="50"/>
      <c r="S191">
        <f>IF(B191="","",VLOOKUP(Cmt(B191),Sheet2!A:B,2,FALSE))</f>
        <v>1000</v>
      </c>
      <c r="T191" s="39">
        <v>9777068</v>
      </c>
      <c r="U191" s="13">
        <f>T191*G191/(D191*S191*0.15)</f>
        <v>4.254753073436083</v>
      </c>
      <c r="W191" s="11"/>
    </row>
    <row r="192" spans="1:23">
      <c r="B192" s="1" t="s">
        <v>174</v>
      </c>
      <c r="C192" s="1">
        <v>27</v>
      </c>
      <c r="D192" s="1">
        <v>2121</v>
      </c>
      <c r="E192" s="2">
        <v>43136</v>
      </c>
      <c r="F192" s="26">
        <v>0.38194444444444442</v>
      </c>
      <c r="G192" s="17">
        <v>2.7E-2</v>
      </c>
      <c r="H192" s="52">
        <v>0.33333333333333331</v>
      </c>
      <c r="I192" s="20">
        <f t="shared" ref="I192:I209" si="90">G192*H192</f>
        <v>8.9999999999999993E-3</v>
      </c>
      <c r="J192" s="1">
        <v>2117</v>
      </c>
      <c r="K192" s="2">
        <v>43137</v>
      </c>
      <c r="L192" s="26">
        <v>0.42638888888888887</v>
      </c>
      <c r="M192" s="16">
        <f t="shared" si="71"/>
        <v>-1080</v>
      </c>
      <c r="P192" s="47"/>
      <c r="Q192" s="48"/>
      <c r="R192" s="48"/>
      <c r="S192">
        <f>IF(B192="","",VLOOKUP(Cmt(B192),Sheet2!A:B,2,FALSE))</f>
        <v>10</v>
      </c>
      <c r="T192" s="39">
        <v>9777069</v>
      </c>
      <c r="U192" s="13">
        <f>T192*I192/(D192*S192*0.15)</f>
        <v>27.657903818953322</v>
      </c>
      <c r="W192" s="11"/>
    </row>
    <row r="193" spans="1:23">
      <c r="B193" s="1" t="s">
        <v>175</v>
      </c>
      <c r="C193" s="1">
        <v>-14</v>
      </c>
      <c r="D193" s="1">
        <v>14570</v>
      </c>
      <c r="E193" s="2">
        <v>43136</v>
      </c>
      <c r="F193" s="26">
        <v>0.38541666666666669</v>
      </c>
      <c r="G193" s="17">
        <v>3.2000000000000001E-2</v>
      </c>
      <c r="H193" s="52">
        <v>0.5</v>
      </c>
      <c r="I193" s="20">
        <f t="shared" si="90"/>
        <v>1.6E-2</v>
      </c>
      <c r="J193" s="1">
        <v>14400</v>
      </c>
      <c r="K193" s="2">
        <v>43137</v>
      </c>
      <c r="L193" s="26">
        <v>0.37847222222222227</v>
      </c>
      <c r="M193" s="16">
        <f t="shared" si="71"/>
        <v>11900</v>
      </c>
      <c r="P193" s="47"/>
      <c r="Q193" s="48"/>
      <c r="R193" s="48"/>
      <c r="S193">
        <f>IF(B193="","",VLOOKUP(Cmt(B193),Sheet2!A:B,2,FALSE))</f>
        <v>5</v>
      </c>
      <c r="T193" s="39">
        <v>9777070</v>
      </c>
      <c r="U193" s="13">
        <f t="shared" ref="U193:U198" si="91">T193*I193/(D193*S193*0.15)</f>
        <v>14.315545184168382</v>
      </c>
      <c r="W193" s="11"/>
    </row>
    <row r="194" spans="1:23">
      <c r="B194" s="1" t="s">
        <v>176</v>
      </c>
      <c r="C194" s="1">
        <v>20</v>
      </c>
      <c r="D194" s="1">
        <v>6694</v>
      </c>
      <c r="E194" s="2">
        <v>43136</v>
      </c>
      <c r="F194" s="26">
        <v>0.4236111111111111</v>
      </c>
      <c r="G194" s="17">
        <v>2.1000000000000001E-2</v>
      </c>
      <c r="H194" s="52">
        <v>0.5</v>
      </c>
      <c r="I194" s="20">
        <f t="shared" si="90"/>
        <v>1.0500000000000001E-2</v>
      </c>
      <c r="J194" s="1">
        <v>6654</v>
      </c>
      <c r="K194" s="2">
        <v>43137</v>
      </c>
      <c r="L194" s="26">
        <v>0.40138888888888885</v>
      </c>
      <c r="M194" s="16">
        <f>IF(J194="","",C194*(J194-D194)*S194)+IF(J194="","",N194*(J194-O194)*S194)</f>
        <v>-16000</v>
      </c>
      <c r="N194" s="1">
        <f>C194*(1-H194)/H194</f>
        <v>20</v>
      </c>
      <c r="O194" s="1">
        <v>6774</v>
      </c>
      <c r="P194" s="47">
        <v>43136</v>
      </c>
      <c r="Q194" s="48">
        <v>0.62152777777777779</v>
      </c>
      <c r="R194" s="48"/>
      <c r="S194">
        <f>IF(B194="","",VLOOKUP(Cmt(B194),Sheet2!A:B,2,FALSE))</f>
        <v>5</v>
      </c>
      <c r="T194" s="39">
        <v>9777071</v>
      </c>
      <c r="U194" s="13">
        <f t="shared" si="91"/>
        <v>20.448012249775921</v>
      </c>
      <c r="W194" s="11"/>
    </row>
    <row r="195" spans="1:23">
      <c r="B195" s="1" t="s">
        <v>177</v>
      </c>
      <c r="C195" s="1">
        <v>20</v>
      </c>
      <c r="D195" s="1">
        <v>518.5</v>
      </c>
      <c r="E195" s="2">
        <v>43136</v>
      </c>
      <c r="F195" s="26">
        <v>0.4236111111111111</v>
      </c>
      <c r="G195" s="17">
        <v>3.2000000000000001E-2</v>
      </c>
      <c r="H195" s="52">
        <v>0.5</v>
      </c>
      <c r="I195" s="20">
        <f t="shared" si="90"/>
        <v>1.6E-2</v>
      </c>
      <c r="J195" s="1">
        <v>521.5</v>
      </c>
      <c r="K195" s="2">
        <v>43137</v>
      </c>
      <c r="L195" s="26">
        <v>0.42638888888888887</v>
      </c>
      <c r="M195" s="16">
        <f>IF(J195="","",C195*(J195-D195)*S195)+IF(J195="","",N195*(J195-O195)*S195)</f>
        <v>-4000</v>
      </c>
      <c r="N195" s="1">
        <f t="shared" ref="N195:N201" si="92">C195*(1-H195)/H195</f>
        <v>20</v>
      </c>
      <c r="O195" s="1">
        <v>526.5</v>
      </c>
      <c r="P195" s="47">
        <v>43136</v>
      </c>
      <c r="Q195" s="48">
        <v>0.62152777777777779</v>
      </c>
      <c r="R195" s="48"/>
      <c r="S195">
        <f>IF(B195="","",VLOOKUP(Cmt(B195),Sheet2!A:B,2,FALSE))</f>
        <v>100</v>
      </c>
      <c r="T195" s="39">
        <v>9777072</v>
      </c>
      <c r="U195" s="13">
        <f t="shared" si="91"/>
        <v>20.113552169720347</v>
      </c>
      <c r="W195" s="11"/>
    </row>
    <row r="196" spans="1:23">
      <c r="B196" s="1" t="s">
        <v>178</v>
      </c>
      <c r="C196" s="1">
        <v>1</v>
      </c>
      <c r="D196" s="1">
        <v>3171</v>
      </c>
      <c r="E196" s="2">
        <v>43136</v>
      </c>
      <c r="F196" s="26">
        <v>0.56597222222222221</v>
      </c>
      <c r="G196" s="17">
        <v>1.7999999999999999E-2</v>
      </c>
      <c r="H196" s="52">
        <v>1</v>
      </c>
      <c r="I196" s="20">
        <f t="shared" si="90"/>
        <v>1.7999999999999999E-2</v>
      </c>
      <c r="J196" s="1">
        <v>3162.8</v>
      </c>
      <c r="K196" s="2">
        <v>43137</v>
      </c>
      <c r="L196" s="26">
        <v>0.40138888888888885</v>
      </c>
      <c r="M196" s="16">
        <f t="shared" ref="M196:M201" si="93">IF(J196="","",C196*(J196-D196)*S196)+IF(J196="","",N196*(J196-O196)*S196)</f>
        <v>-2459.9999999999454</v>
      </c>
      <c r="P196" s="47"/>
      <c r="Q196" s="48"/>
      <c r="R196" s="48"/>
      <c r="S196">
        <f>IF(B196="","",VLOOKUP(Cmt(B196),Sheet2!A:B,2,FALSE))</f>
        <v>300</v>
      </c>
      <c r="T196" s="39">
        <v>9777073</v>
      </c>
      <c r="U196" s="13">
        <f t="shared" si="91"/>
        <v>1.2333110059918007</v>
      </c>
      <c r="W196" s="11"/>
    </row>
    <row r="197" spans="1:23">
      <c r="B197" s="1" t="s">
        <v>179</v>
      </c>
      <c r="C197" s="1">
        <v>30</v>
      </c>
      <c r="D197" s="1">
        <v>4035</v>
      </c>
      <c r="E197" s="2">
        <v>43136</v>
      </c>
      <c r="F197" s="26">
        <v>0.56597222222222221</v>
      </c>
      <c r="G197" s="17">
        <v>3.7999999999999999E-2</v>
      </c>
      <c r="H197" s="52">
        <v>0.5</v>
      </c>
      <c r="I197" s="20">
        <f t="shared" si="90"/>
        <v>1.9E-2</v>
      </c>
      <c r="J197" s="1">
        <v>4012.3330000000001</v>
      </c>
      <c r="K197" s="2">
        <v>43137</v>
      </c>
      <c r="L197" s="26">
        <v>0.37847222222222227</v>
      </c>
      <c r="M197" s="16">
        <f t="shared" si="93"/>
        <v>-11200.19999999995</v>
      </c>
      <c r="N197" s="1">
        <f t="shared" si="92"/>
        <v>30</v>
      </c>
      <c r="O197" s="1">
        <v>4027</v>
      </c>
      <c r="P197" s="47">
        <v>43136</v>
      </c>
      <c r="Q197" s="48">
        <v>0.62152777777777779</v>
      </c>
      <c r="R197" s="48"/>
      <c r="S197">
        <f>IF(B197="","",VLOOKUP(Cmt(B197),Sheet2!A:B,2,FALSE))</f>
        <v>10</v>
      </c>
      <c r="T197" s="39">
        <v>9777074</v>
      </c>
      <c r="U197" s="13">
        <f t="shared" si="91"/>
        <v>30.692177777777776</v>
      </c>
      <c r="W197" s="11"/>
    </row>
    <row r="198" spans="1:23">
      <c r="A198" s="3"/>
      <c r="B198" s="3" t="s">
        <v>180</v>
      </c>
      <c r="C198" s="3">
        <v>27</v>
      </c>
      <c r="D198" s="3">
        <v>3957</v>
      </c>
      <c r="E198" s="19">
        <v>43136</v>
      </c>
      <c r="F198" s="31">
        <v>0.6020833333333333</v>
      </c>
      <c r="G198" s="18">
        <v>3.3000000000000002E-2</v>
      </c>
      <c r="H198" s="51">
        <v>0.5</v>
      </c>
      <c r="I198" s="18">
        <f t="shared" si="90"/>
        <v>1.6500000000000001E-2</v>
      </c>
      <c r="J198" s="3">
        <v>3944</v>
      </c>
      <c r="K198" s="19">
        <v>43137</v>
      </c>
      <c r="L198" s="31">
        <v>0.46597222222222223</v>
      </c>
      <c r="M198" s="14">
        <f t="shared" si="93"/>
        <v>-8910</v>
      </c>
      <c r="N198" s="3">
        <f t="shared" si="92"/>
        <v>27</v>
      </c>
      <c r="O198" s="3">
        <v>3964</v>
      </c>
      <c r="P198" s="49">
        <v>43136</v>
      </c>
      <c r="Q198" s="50">
        <v>0.62152777777777779</v>
      </c>
      <c r="R198" s="50"/>
      <c r="S198">
        <f>IF(B198="","",VLOOKUP(Cmt(B198),Sheet2!A:B,2,FALSE))</f>
        <v>10</v>
      </c>
      <c r="T198" s="39">
        <v>9777075</v>
      </c>
      <c r="U198" s="13">
        <f t="shared" si="91"/>
        <v>27.17913191811979</v>
      </c>
      <c r="W198" s="11"/>
    </row>
    <row r="199" spans="1:23">
      <c r="A199" s="2">
        <v>43137</v>
      </c>
      <c r="B199" s="3" t="s">
        <v>193</v>
      </c>
      <c r="C199" s="3">
        <v>-13</v>
      </c>
      <c r="D199" s="3">
        <v>2768</v>
      </c>
      <c r="E199" s="19">
        <v>43136</v>
      </c>
      <c r="F199" s="31">
        <v>0.88124999999999998</v>
      </c>
      <c r="G199" s="18">
        <v>1.7000000000000001E-2</v>
      </c>
      <c r="H199" s="51">
        <v>0.33333333333333331</v>
      </c>
      <c r="I199" s="18">
        <f t="shared" si="90"/>
        <v>5.6666666666666671E-3</v>
      </c>
      <c r="J199" s="3">
        <v>2775</v>
      </c>
      <c r="K199" s="19">
        <v>43137</v>
      </c>
      <c r="L199" s="31">
        <v>0.92013888888888884</v>
      </c>
      <c r="M199" s="14">
        <f t="shared" si="93"/>
        <v>-4030.0000000000005</v>
      </c>
      <c r="N199" s="27">
        <f t="shared" si="92"/>
        <v>-26.000000000000004</v>
      </c>
      <c r="O199" s="3">
        <v>2763</v>
      </c>
      <c r="P199" s="49">
        <v>43137</v>
      </c>
      <c r="Q199" s="50">
        <v>0.62152777777777779</v>
      </c>
      <c r="R199" s="4"/>
      <c r="S199">
        <f>IF(B199="","",VLOOKUP(Cmt(B199),Sheet2!A:B,2,FALSE))</f>
        <v>10</v>
      </c>
      <c r="T199" s="39">
        <v>9777076</v>
      </c>
      <c r="U199" s="13">
        <f>T199*I199/(D199*S199*0.15)</f>
        <v>13.343793513166345</v>
      </c>
      <c r="W199" s="11"/>
    </row>
    <row r="200" spans="1:23">
      <c r="B200" s="1" t="s">
        <v>194</v>
      </c>
      <c r="C200" s="1">
        <v>-4</v>
      </c>
      <c r="D200" s="1">
        <v>52800</v>
      </c>
      <c r="E200" s="2">
        <v>43137</v>
      </c>
      <c r="F200" s="26">
        <v>0.4375</v>
      </c>
      <c r="G200" s="17">
        <v>0.03</v>
      </c>
      <c r="H200" s="52">
        <v>0.5</v>
      </c>
      <c r="I200" s="17">
        <f t="shared" si="90"/>
        <v>1.4999999999999999E-2</v>
      </c>
      <c r="J200" s="1">
        <v>53090</v>
      </c>
      <c r="K200" s="2">
        <v>43138</v>
      </c>
      <c r="L200" s="26">
        <v>0.37847222222222227</v>
      </c>
      <c r="M200" s="16">
        <f t="shared" si="93"/>
        <v>-13400</v>
      </c>
      <c r="N200" s="13">
        <f t="shared" si="92"/>
        <v>-4</v>
      </c>
      <c r="O200" s="1">
        <v>52710</v>
      </c>
      <c r="P200" s="47">
        <v>43137</v>
      </c>
      <c r="Q200" s="48">
        <v>0.62152777777777779</v>
      </c>
      <c r="S200">
        <f>IF(B200="","",VLOOKUP(Cmt(B200),Sheet2!A:B,2,FALSE))</f>
        <v>5</v>
      </c>
      <c r="T200" s="39">
        <v>9777077</v>
      </c>
      <c r="U200" s="13">
        <f t="shared" ref="U200:U202" si="94">T200*I200/(D200*S200*0.15)</f>
        <v>3.7034382575757574</v>
      </c>
      <c r="W200" s="11"/>
    </row>
    <row r="201" spans="1:23">
      <c r="B201" s="1" t="s">
        <v>195</v>
      </c>
      <c r="C201" s="1">
        <v>-15</v>
      </c>
      <c r="D201" s="1">
        <v>14430</v>
      </c>
      <c r="E201" s="2">
        <v>43137</v>
      </c>
      <c r="F201" s="26">
        <v>0.4375</v>
      </c>
      <c r="G201" s="17">
        <v>3.3000000000000002E-2</v>
      </c>
      <c r="H201" s="52">
        <v>0.5</v>
      </c>
      <c r="I201" s="17">
        <f t="shared" si="90"/>
        <v>1.6500000000000001E-2</v>
      </c>
      <c r="J201" s="1">
        <v>14445</v>
      </c>
      <c r="K201" s="2">
        <v>43138</v>
      </c>
      <c r="L201" s="26">
        <v>0.42499999999999999</v>
      </c>
      <c r="M201" s="16">
        <f t="shared" si="93"/>
        <v>-9375</v>
      </c>
      <c r="N201" s="13">
        <f t="shared" si="92"/>
        <v>-15</v>
      </c>
      <c r="O201" s="1">
        <v>14335</v>
      </c>
      <c r="P201" s="47">
        <v>43137</v>
      </c>
      <c r="Q201" s="48">
        <v>0.62152777777777779</v>
      </c>
      <c r="S201">
        <f>IF(B201="","",VLOOKUP(Cmt(B201),Sheet2!A:B,2,FALSE))</f>
        <v>5</v>
      </c>
      <c r="T201" s="39">
        <v>9777078</v>
      </c>
      <c r="U201" s="13">
        <f t="shared" si="94"/>
        <v>14.906148024948026</v>
      </c>
      <c r="W201" s="11"/>
    </row>
    <row r="202" spans="1:23">
      <c r="B202" s="1" t="s">
        <v>196</v>
      </c>
      <c r="C202" s="1">
        <v>20</v>
      </c>
      <c r="D202" s="1">
        <v>6696</v>
      </c>
      <c r="E202" s="2">
        <v>43137</v>
      </c>
      <c r="F202" s="26">
        <v>0.4375</v>
      </c>
      <c r="G202" s="17">
        <v>2.1000000000000001E-2</v>
      </c>
      <c r="H202" s="52">
        <v>0.5</v>
      </c>
      <c r="I202" s="17">
        <f t="shared" si="90"/>
        <v>1.0500000000000001E-2</v>
      </c>
      <c r="J202" s="1">
        <v>6688</v>
      </c>
      <c r="K202" s="2">
        <v>43137</v>
      </c>
      <c r="L202" s="26">
        <v>0.46597222222222223</v>
      </c>
      <c r="M202" s="16">
        <f>IF(J202="","",C202*(J202-D202)*S202)+IF(J202="","",N202*(J202-O202)*S202)</f>
        <v>-800</v>
      </c>
      <c r="N202" s="13"/>
      <c r="S202">
        <f>IF(B202="","",VLOOKUP(Cmt(B202),Sheet2!A:B,2,FALSE))</f>
        <v>5</v>
      </c>
      <c r="T202" s="39">
        <v>9777079</v>
      </c>
      <c r="U202" s="13">
        <f t="shared" si="94"/>
        <v>20.441921445639188</v>
      </c>
      <c r="W202" s="11"/>
    </row>
    <row r="203" spans="1:23">
      <c r="A203" s="3"/>
      <c r="B203" s="3" t="s">
        <v>199</v>
      </c>
      <c r="C203" s="3">
        <v>73</v>
      </c>
      <c r="D203" s="3">
        <v>2132</v>
      </c>
      <c r="E203" s="19">
        <v>43137</v>
      </c>
      <c r="F203" s="31">
        <v>0.61875000000000002</v>
      </c>
      <c r="G203" s="18">
        <v>2.4E-2</v>
      </c>
      <c r="H203" s="51">
        <v>1</v>
      </c>
      <c r="I203" s="18">
        <f t="shared" si="90"/>
        <v>2.4E-2</v>
      </c>
      <c r="J203" s="3">
        <v>2144</v>
      </c>
      <c r="K203" s="19">
        <v>43139</v>
      </c>
      <c r="L203" s="31">
        <v>0.56805555555555554</v>
      </c>
      <c r="M203" s="14">
        <f>IF(J203="","",C203*(J203-D203)*S203)</f>
        <v>8760</v>
      </c>
      <c r="N203" s="3"/>
      <c r="O203" s="3"/>
      <c r="P203" s="4"/>
      <c r="Q203" s="4"/>
      <c r="R203" s="4"/>
      <c r="S203">
        <f>IF(B203="","",VLOOKUP(Cmt(B203),Sheet2!A:B,2,FALSE))</f>
        <v>10</v>
      </c>
      <c r="T203" s="39">
        <v>9777080</v>
      </c>
      <c r="U203" s="13">
        <f t="shared" ref="U203" si="95">T203*I203/(D203*S203*0.15)</f>
        <v>73.373958724202637</v>
      </c>
      <c r="W203" s="11"/>
    </row>
    <row r="204" spans="1:23">
      <c r="A204" s="2">
        <v>43138</v>
      </c>
      <c r="B204" s="1" t="s">
        <v>200</v>
      </c>
      <c r="C204" s="1">
        <v>-2</v>
      </c>
      <c r="D204" s="1">
        <v>274.35000000000002</v>
      </c>
      <c r="E204" s="2">
        <v>43137</v>
      </c>
      <c r="F204" s="26">
        <v>0.88263888888888886</v>
      </c>
      <c r="G204" s="17">
        <v>1.7999999999999999E-2</v>
      </c>
      <c r="H204" s="52">
        <v>0.5</v>
      </c>
      <c r="I204" s="17">
        <f t="shared" si="90"/>
        <v>8.9999999999999993E-3</v>
      </c>
      <c r="J204" s="1">
        <v>272</v>
      </c>
      <c r="K204" s="2">
        <v>43139</v>
      </c>
      <c r="L204" s="26">
        <v>0.87847222222222221</v>
      </c>
      <c r="M204" s="16">
        <f t="shared" ref="M204" si="96">IF(J204="","",C204*(J204-D204)*S204)+IF(J204="","",N204*(J204-O204)*S204)</f>
        <v>5200.0000000000455</v>
      </c>
      <c r="N204" s="1">
        <v>-2</v>
      </c>
      <c r="O204" s="1">
        <v>272.25</v>
      </c>
      <c r="P204" s="47">
        <v>43138</v>
      </c>
      <c r="Q204" s="48">
        <v>0.62152777777777779</v>
      </c>
      <c r="S204">
        <f>IF(B204="","",VLOOKUP(Cmt(B204),Sheet2!A:B,2,FALSE))</f>
        <v>1000</v>
      </c>
      <c r="T204" s="39">
        <v>9777081</v>
      </c>
      <c r="U204" s="13">
        <f t="shared" ref="U204" si="97">T204*I204/(D204*S204*0.15)</f>
        <v>2.1382353198469106</v>
      </c>
      <c r="W204" s="11"/>
    </row>
    <row r="205" spans="1:23">
      <c r="B205" s="3" t="s">
        <v>74</v>
      </c>
      <c r="C205" s="3">
        <v>-7</v>
      </c>
      <c r="D205" s="3">
        <v>5096</v>
      </c>
      <c r="E205" s="19">
        <v>43137</v>
      </c>
      <c r="F205" s="31">
        <v>0.92361111111111116</v>
      </c>
      <c r="G205" s="18">
        <v>1.7999999999999999E-2</v>
      </c>
      <c r="H205" s="51">
        <f>1/3</f>
        <v>0.33333333333333331</v>
      </c>
      <c r="I205" s="18">
        <f t="shared" si="90"/>
        <v>5.9999999999999993E-3</v>
      </c>
      <c r="J205" s="3">
        <v>5134</v>
      </c>
      <c r="K205" s="19">
        <v>43138</v>
      </c>
      <c r="L205" s="31">
        <v>0.37847222222222227</v>
      </c>
      <c r="M205" s="14">
        <f t="shared" si="71"/>
        <v>-2660</v>
      </c>
      <c r="N205" s="3"/>
      <c r="O205" s="3"/>
      <c r="P205" s="4"/>
      <c r="Q205" s="4"/>
      <c r="R205" s="4"/>
      <c r="S205">
        <f>IF(B205="","",VLOOKUP(Cmt(B205),Sheet2!A:B,2,FALSE))</f>
        <v>10</v>
      </c>
      <c r="T205" s="39">
        <v>9777082</v>
      </c>
      <c r="U205" s="13">
        <f t="shared" ref="U205" si="98">T205*I205/(D205*S205*0.15)</f>
        <v>7.6743186813186801</v>
      </c>
      <c r="W205" s="11"/>
    </row>
    <row r="206" spans="1:23">
      <c r="B206" s="1" t="s">
        <v>201</v>
      </c>
      <c r="C206" s="1">
        <v>20</v>
      </c>
      <c r="D206" s="1">
        <v>6778</v>
      </c>
      <c r="E206" s="2">
        <v>43138</v>
      </c>
      <c r="F206" s="26">
        <v>0.42499999999999999</v>
      </c>
      <c r="G206" s="17">
        <v>2.1000000000000001E-2</v>
      </c>
      <c r="H206" s="52">
        <v>0.5</v>
      </c>
      <c r="I206" s="17">
        <f t="shared" si="90"/>
        <v>1.0500000000000001E-2</v>
      </c>
      <c r="J206" s="1">
        <v>6684</v>
      </c>
      <c r="K206" s="2">
        <v>43139</v>
      </c>
      <c r="L206" s="26">
        <v>0.37847222222222227</v>
      </c>
      <c r="M206" s="16">
        <f t="shared" ref="M206:M210" si="99">IF(J206="","",C206*(J206-D206)*S206)+IF(J206="","",N206*(J206-O206)*S206)</f>
        <v>-14000</v>
      </c>
      <c r="N206" s="1">
        <v>20</v>
      </c>
      <c r="O206" s="1">
        <v>6730</v>
      </c>
      <c r="P206" s="47">
        <v>43138</v>
      </c>
      <c r="Q206" s="48">
        <v>0.62152777777777779</v>
      </c>
      <c r="S206">
        <f>IF(B206="","",VLOOKUP(Cmt(B206),Sheet2!A:B,2,FALSE))</f>
        <v>5</v>
      </c>
      <c r="T206" s="39">
        <v>9777083</v>
      </c>
      <c r="U206" s="13">
        <f t="shared" ref="U206" si="100">T206*I206/(D206*S206*0.15)</f>
        <v>20.194624077899086</v>
      </c>
      <c r="W206" s="11"/>
    </row>
    <row r="207" spans="1:23">
      <c r="B207" s="1" t="s">
        <v>202</v>
      </c>
      <c r="C207" s="1">
        <v>29</v>
      </c>
      <c r="D207" s="1">
        <v>4019</v>
      </c>
      <c r="E207" s="2">
        <v>43138</v>
      </c>
      <c r="F207" s="26">
        <v>0.38263888888888892</v>
      </c>
      <c r="G207" s="17">
        <v>3.5999999999999997E-2</v>
      </c>
      <c r="H207" s="52">
        <v>0.5</v>
      </c>
      <c r="I207" s="17">
        <f t="shared" si="90"/>
        <v>1.7999999999999999E-2</v>
      </c>
      <c r="J207" s="1">
        <v>4008</v>
      </c>
      <c r="K207" s="2">
        <v>43138</v>
      </c>
      <c r="L207" s="26">
        <v>0.9243055555555556</v>
      </c>
      <c r="M207" s="16">
        <f t="shared" si="99"/>
        <v>-3480</v>
      </c>
      <c r="N207" s="1">
        <v>29</v>
      </c>
      <c r="O207" s="1">
        <v>4009</v>
      </c>
      <c r="P207" s="47">
        <v>43138</v>
      </c>
      <c r="Q207" s="48">
        <v>0.62152777777777779</v>
      </c>
      <c r="S207">
        <f>IF(B207="","",VLOOKUP(Cmt(B207),Sheet2!A:B,2,FALSE))</f>
        <v>10</v>
      </c>
      <c r="T207" s="39">
        <v>9777084</v>
      </c>
      <c r="U207" s="13">
        <f t="shared" ref="U207:U213" si="101">T207*I207/(D207*S207*0.15)</f>
        <v>29.19258721074894</v>
      </c>
      <c r="W207" s="11"/>
    </row>
    <row r="208" spans="1:23">
      <c r="B208" s="1" t="s">
        <v>203</v>
      </c>
      <c r="C208" s="1">
        <v>4</v>
      </c>
      <c r="D208" s="1">
        <v>2136.5</v>
      </c>
      <c r="E208" s="2">
        <v>43138</v>
      </c>
      <c r="F208" s="26">
        <v>0.38263888888888892</v>
      </c>
      <c r="G208" s="17">
        <v>2.5000000000000001E-2</v>
      </c>
      <c r="H208" s="52">
        <v>0.5</v>
      </c>
      <c r="I208" s="17">
        <f t="shared" si="90"/>
        <v>1.2500000000000001E-2</v>
      </c>
      <c r="J208" s="1">
        <v>2143</v>
      </c>
      <c r="K208" s="2">
        <v>43139</v>
      </c>
      <c r="L208" s="26">
        <v>0.37847222222222227</v>
      </c>
      <c r="M208" s="16">
        <f t="shared" si="99"/>
        <v>-2600</v>
      </c>
      <c r="N208" s="1">
        <v>4</v>
      </c>
      <c r="O208" s="1">
        <v>2156</v>
      </c>
      <c r="P208" s="47">
        <v>43138</v>
      </c>
      <c r="Q208" s="48">
        <v>0.62152777777777779</v>
      </c>
      <c r="S208">
        <f>IF(B208="","",VLOOKUP(Cmt(B208),Sheet2!A:B,2,FALSE))</f>
        <v>100</v>
      </c>
      <c r="T208" s="39">
        <v>9777085</v>
      </c>
      <c r="U208" s="13">
        <f t="shared" si="101"/>
        <v>3.8135131445510568</v>
      </c>
      <c r="W208" s="11"/>
    </row>
    <row r="209" spans="1:23">
      <c r="B209" s="1" t="s">
        <v>204</v>
      </c>
      <c r="C209" s="1">
        <v>13</v>
      </c>
      <c r="D209" s="1">
        <v>1373</v>
      </c>
      <c r="E209" s="2">
        <v>43138</v>
      </c>
      <c r="F209" s="26">
        <v>0.38263888888888892</v>
      </c>
      <c r="G209" s="17">
        <v>3.3000000000000002E-2</v>
      </c>
      <c r="H209" s="52">
        <v>0.5</v>
      </c>
      <c r="I209" s="17">
        <f t="shared" si="90"/>
        <v>1.6500000000000001E-2</v>
      </c>
      <c r="J209" s="1">
        <v>1360</v>
      </c>
      <c r="K209" s="2">
        <v>43139</v>
      </c>
      <c r="L209" s="26">
        <v>0.37847222222222227</v>
      </c>
      <c r="M209" s="16">
        <f t="shared" si="99"/>
        <v>-14820</v>
      </c>
      <c r="N209" s="1">
        <v>13</v>
      </c>
      <c r="O209" s="1">
        <v>1366</v>
      </c>
      <c r="P209" s="47">
        <v>43138</v>
      </c>
      <c r="Q209" s="48">
        <v>0.62152777777777779</v>
      </c>
      <c r="S209">
        <f>IF(B209="","",VLOOKUP(Cmt(B209),Sheet2!A:B,2,FALSE))</f>
        <v>60</v>
      </c>
      <c r="T209" s="39">
        <v>9777086</v>
      </c>
      <c r="U209" s="13">
        <f t="shared" si="101"/>
        <v>13.055103908715708</v>
      </c>
      <c r="W209" s="11"/>
    </row>
    <row r="210" spans="1:23">
      <c r="B210" s="1" t="s">
        <v>205</v>
      </c>
      <c r="C210" s="1">
        <v>20</v>
      </c>
      <c r="D210" s="1">
        <v>527.5</v>
      </c>
      <c r="E210" s="2">
        <v>43138</v>
      </c>
      <c r="F210" s="26">
        <v>0.38263888888888892</v>
      </c>
      <c r="G210" s="17">
        <v>3.2000000000000001E-2</v>
      </c>
      <c r="H210" s="52">
        <v>0.5</v>
      </c>
      <c r="I210" s="17">
        <f>IF(G210="","",G210*H210)</f>
        <v>1.6E-2</v>
      </c>
      <c r="J210" s="1">
        <v>523.5</v>
      </c>
      <c r="K210" s="2">
        <v>43139</v>
      </c>
      <c r="L210" s="26">
        <v>0.37847222222222227</v>
      </c>
      <c r="M210" s="16">
        <f t="shared" si="99"/>
        <v>-12000</v>
      </c>
      <c r="N210" s="1">
        <v>20</v>
      </c>
      <c r="O210" s="1">
        <v>525.5</v>
      </c>
      <c r="P210" s="47">
        <v>43138</v>
      </c>
      <c r="Q210" s="48">
        <v>0.62152777777777779</v>
      </c>
      <c r="S210">
        <f>IF(B210="","",VLOOKUP(Cmt(B210),Sheet2!A:B,2,FALSE))</f>
        <v>100</v>
      </c>
      <c r="T210" s="39">
        <v>9777087</v>
      </c>
      <c r="U210" s="13">
        <f t="shared" si="101"/>
        <v>19.77041289099526</v>
      </c>
      <c r="W210" s="11"/>
    </row>
    <row r="211" spans="1:23">
      <c r="B211" s="1" t="s">
        <v>206</v>
      </c>
      <c r="C211" s="1">
        <v>-1</v>
      </c>
      <c r="D211" s="1">
        <v>4194.6000000000004</v>
      </c>
      <c r="E211" s="2">
        <v>43138</v>
      </c>
      <c r="F211" s="26">
        <v>0.40277777777777773</v>
      </c>
      <c r="G211" s="17">
        <v>1.9E-2</v>
      </c>
      <c r="H211" s="52">
        <v>1</v>
      </c>
      <c r="I211" s="17">
        <f t="shared" ref="I211:I274" si="102">IF(G211="","",G211*H211)</f>
        <v>1.9E-2</v>
      </c>
      <c r="J211" s="1">
        <v>3926.4</v>
      </c>
      <c r="K211" s="2">
        <v>43144</v>
      </c>
      <c r="L211" s="26">
        <v>0.41944444444444445</v>
      </c>
      <c r="M211" s="16">
        <f t="shared" si="71"/>
        <v>80460.000000000087</v>
      </c>
      <c r="S211">
        <f>IF(B211="","",VLOOKUP(Cmt(B211),Sheet2!A:B,2,FALSE))</f>
        <v>300</v>
      </c>
      <c r="T211" s="39">
        <v>9777088</v>
      </c>
      <c r="U211" s="13">
        <f t="shared" si="101"/>
        <v>0.98414719454112953</v>
      </c>
      <c r="W211" s="11"/>
    </row>
    <row r="212" spans="1:23">
      <c r="B212" s="1" t="s">
        <v>207</v>
      </c>
      <c r="C212" s="1">
        <v>1</v>
      </c>
      <c r="D212" s="1">
        <v>3175.2</v>
      </c>
      <c r="E212" s="2">
        <v>43138</v>
      </c>
      <c r="F212" s="26">
        <v>0.42499999999999999</v>
      </c>
      <c r="G212" s="17">
        <v>1.9E-2</v>
      </c>
      <c r="H212" s="52">
        <v>1</v>
      </c>
      <c r="I212" s="17">
        <f t="shared" si="102"/>
        <v>1.9E-2</v>
      </c>
      <c r="J212" s="1">
        <v>3107.2</v>
      </c>
      <c r="K212" s="2">
        <v>43138</v>
      </c>
      <c r="L212" s="26">
        <v>0.46180555555555558</v>
      </c>
      <c r="M212" s="16">
        <f t="shared" ref="M212:M275" si="103">IF(J212="","",C212*(J212-D212)*S212)</f>
        <v>-20400</v>
      </c>
      <c r="S212">
        <f>IF(B212="","",VLOOKUP(Cmt(B212),Sheet2!A:B,2,FALSE))</f>
        <v>300</v>
      </c>
      <c r="T212" s="39">
        <v>9777089</v>
      </c>
      <c r="U212" s="13">
        <f t="shared" si="101"/>
        <v>1.3001084166176757</v>
      </c>
      <c r="W212" s="11"/>
    </row>
    <row r="213" spans="1:23">
      <c r="B213" s="1" t="s">
        <v>208</v>
      </c>
      <c r="C213" s="1">
        <v>-14</v>
      </c>
      <c r="D213" s="1">
        <v>14370</v>
      </c>
      <c r="E213" s="2">
        <v>43138</v>
      </c>
      <c r="F213" s="26">
        <v>0.46180555555555558</v>
      </c>
      <c r="G213" s="17">
        <v>3.2000000000000001E-2</v>
      </c>
      <c r="H213" s="52">
        <v>0.5</v>
      </c>
      <c r="I213" s="17">
        <f t="shared" si="102"/>
        <v>1.6E-2</v>
      </c>
      <c r="J213" s="1">
        <v>14405</v>
      </c>
      <c r="K213" s="2">
        <v>43138</v>
      </c>
      <c r="L213" s="26">
        <v>0.57847222222222217</v>
      </c>
      <c r="M213" s="16">
        <f t="shared" si="103"/>
        <v>-2450</v>
      </c>
      <c r="S213">
        <f>IF(B213="","",VLOOKUP(Cmt(B213),Sheet2!A:B,2,FALSE))</f>
        <v>5</v>
      </c>
      <c r="T213" s="39">
        <v>9777090</v>
      </c>
      <c r="U213" s="13">
        <f t="shared" si="101"/>
        <v>14.514816979819068</v>
      </c>
      <c r="W213" s="11"/>
    </row>
    <row r="214" spans="1:23">
      <c r="A214" s="3"/>
      <c r="B214" s="3" t="s">
        <v>209</v>
      </c>
      <c r="C214" s="3">
        <v>-7</v>
      </c>
      <c r="D214" s="3">
        <v>52690</v>
      </c>
      <c r="E214" s="19">
        <v>43138</v>
      </c>
      <c r="F214" s="31">
        <v>0.62152777777777779</v>
      </c>
      <c r="G214" s="18">
        <v>2.9000000000000001E-2</v>
      </c>
      <c r="H214" s="51">
        <v>1</v>
      </c>
      <c r="I214" s="18">
        <f t="shared" si="102"/>
        <v>2.9000000000000001E-2</v>
      </c>
      <c r="J214" s="3">
        <v>52080</v>
      </c>
      <c r="K214" s="19">
        <v>43139</v>
      </c>
      <c r="L214" s="31">
        <v>0.59375</v>
      </c>
      <c r="M214" s="14">
        <f t="shared" si="103"/>
        <v>21350</v>
      </c>
      <c r="N214" s="3"/>
      <c r="O214" s="3"/>
      <c r="P214" s="4"/>
      <c r="Q214" s="4"/>
      <c r="R214" s="4"/>
      <c r="S214">
        <f>IF(B214="","",VLOOKUP(Cmt(B214),Sheet2!A:B,2,FALSE))</f>
        <v>5</v>
      </c>
      <c r="T214" s="39">
        <v>9777091</v>
      </c>
      <c r="U214" s="13">
        <f t="shared" ref="U214" si="104">T214*I214/(D214*S214*0.15)</f>
        <v>7.174938672739926</v>
      </c>
      <c r="W214" s="11"/>
    </row>
    <row r="215" spans="1:23">
      <c r="A215" s="2">
        <v>43139</v>
      </c>
      <c r="B215" s="1" t="s">
        <v>211</v>
      </c>
      <c r="C215" s="1">
        <v>29</v>
      </c>
      <c r="D215" s="1">
        <v>2327</v>
      </c>
      <c r="E215" s="2">
        <v>43138</v>
      </c>
      <c r="F215" s="26">
        <v>0.87847222222222221</v>
      </c>
      <c r="G215" s="17">
        <v>2.1000000000000001E-2</v>
      </c>
      <c r="H215" s="52">
        <v>0.5</v>
      </c>
      <c r="I215" s="17">
        <f t="shared" si="102"/>
        <v>1.0500000000000001E-2</v>
      </c>
      <c r="J215" s="1">
        <v>2325</v>
      </c>
      <c r="K215" s="2">
        <v>43139</v>
      </c>
      <c r="L215" s="26">
        <v>0.37847222222222227</v>
      </c>
      <c r="M215" s="16">
        <f>IF(J215="","",C215*(J215-D215)*S215)</f>
        <v>-580</v>
      </c>
      <c r="S215">
        <f>IF(B215="","",VLOOKUP(Cmt(B215),Sheet2!A:B,2,FALSE))</f>
        <v>10</v>
      </c>
      <c r="T215" s="39">
        <v>9777092</v>
      </c>
      <c r="U215" s="13">
        <f t="shared" ref="U215:U216" si="105">T215*I215/(D215*S215*0.15)</f>
        <v>29.411106145251395</v>
      </c>
      <c r="W215" s="11"/>
    </row>
    <row r="216" spans="1:23">
      <c r="B216" s="3" t="s">
        <v>213</v>
      </c>
      <c r="C216" s="3">
        <v>25</v>
      </c>
      <c r="D216" s="3">
        <v>2796</v>
      </c>
      <c r="E216" s="19">
        <v>43138</v>
      </c>
      <c r="F216" s="31">
        <v>0.87847222222222221</v>
      </c>
      <c r="G216" s="18">
        <v>2.1999999999999999E-2</v>
      </c>
      <c r="H216" s="51">
        <v>0.5</v>
      </c>
      <c r="I216" s="18">
        <f t="shared" si="102"/>
        <v>1.0999999999999999E-2</v>
      </c>
      <c r="J216" s="3">
        <v>2796</v>
      </c>
      <c r="K216" s="19">
        <v>43139</v>
      </c>
      <c r="L216" s="31">
        <v>0.37847222222222227</v>
      </c>
      <c r="M216" s="14">
        <f t="shared" si="103"/>
        <v>0</v>
      </c>
      <c r="N216" s="3"/>
      <c r="O216" s="3"/>
      <c r="P216" s="4"/>
      <c r="Q216" s="4"/>
      <c r="R216" s="4"/>
      <c r="S216">
        <f>IF(B216="","",VLOOKUP(Cmt(B216),Sheet2!A:B,2,FALSE))</f>
        <v>10</v>
      </c>
      <c r="T216" s="39">
        <v>9777093</v>
      </c>
      <c r="U216" s="13">
        <f t="shared" si="105"/>
        <v>25.643305436337624</v>
      </c>
      <c r="W216" s="11"/>
    </row>
    <row r="217" spans="1:23">
      <c r="B217" s="1" t="s">
        <v>210</v>
      </c>
      <c r="C217" s="1">
        <v>-8</v>
      </c>
      <c r="D217" s="1">
        <v>9545</v>
      </c>
      <c r="E217" s="2">
        <v>43139</v>
      </c>
      <c r="F217" s="26">
        <v>0.37777777777777777</v>
      </c>
      <c r="G217" s="17">
        <v>1.9E-2</v>
      </c>
      <c r="H217" s="52">
        <v>0.33333333333333331</v>
      </c>
      <c r="I217" s="17">
        <f>IF(G217="","",G217*H217)</f>
        <v>6.3333333333333332E-3</v>
      </c>
      <c r="J217" s="1">
        <v>9555</v>
      </c>
      <c r="K217" s="2">
        <v>43140</v>
      </c>
      <c r="L217" s="26">
        <v>0.4291666666666667</v>
      </c>
      <c r="M217" s="16">
        <f t="shared" ref="M217" si="106">IF(J217="","",C217*(J217-D217)*S217)+IF(J217="","",N217*(J217-O217)*S217)</f>
        <v>400</v>
      </c>
      <c r="N217" s="1">
        <v>-16</v>
      </c>
      <c r="O217" s="1">
        <v>9565</v>
      </c>
      <c r="P217" s="47">
        <v>43139</v>
      </c>
      <c r="Q217" s="48">
        <v>0.62152777777777779</v>
      </c>
      <c r="S217">
        <f>IF(B217="","",VLOOKUP(Cmt(B217),Sheet2!A:B,2,FALSE))</f>
        <v>5</v>
      </c>
      <c r="T217" s="39">
        <v>9777092</v>
      </c>
      <c r="U217" s="13">
        <f t="shared" ref="U217" si="107">T217*I217/(D217*S217*0.15)</f>
        <v>8.6497758221290955</v>
      </c>
      <c r="W217" s="11"/>
    </row>
    <row r="218" spans="1:23">
      <c r="B218" s="1" t="s">
        <v>214</v>
      </c>
      <c r="C218" s="1">
        <v>-12</v>
      </c>
      <c r="D218" s="1">
        <v>2769</v>
      </c>
      <c r="E218" s="2">
        <v>43139</v>
      </c>
      <c r="F218" s="26">
        <v>0.38055555555555554</v>
      </c>
      <c r="G218" s="17">
        <v>1.4999999999999999E-2</v>
      </c>
      <c r="H218" s="52">
        <v>0.33333333333333331</v>
      </c>
      <c r="I218" s="17">
        <f t="shared" si="102"/>
        <v>4.9999999999999992E-3</v>
      </c>
      <c r="J218" s="1">
        <v>2785</v>
      </c>
      <c r="K218" s="2">
        <v>43139</v>
      </c>
      <c r="L218" s="26">
        <v>0.62013888888888891</v>
      </c>
      <c r="M218" s="16">
        <f t="shared" si="103"/>
        <v>-1920</v>
      </c>
      <c r="S218">
        <f>IF(B218="","",VLOOKUP(Cmt(B218),Sheet2!A:B,2,FALSE))</f>
        <v>10</v>
      </c>
      <c r="T218" s="39">
        <v>9777093</v>
      </c>
      <c r="U218" s="13">
        <f t="shared" ref="U218" si="108">T218*I218/(D218*S218*0.15)</f>
        <v>11.769703864210904</v>
      </c>
      <c r="W218" s="11"/>
    </row>
    <row r="219" spans="1:23">
      <c r="B219" s="1" t="s">
        <v>215</v>
      </c>
      <c r="C219" s="1">
        <v>-8</v>
      </c>
      <c r="D219" s="1">
        <v>5082</v>
      </c>
      <c r="E219" s="2">
        <v>43139</v>
      </c>
      <c r="F219" s="26">
        <v>0.38055555555555554</v>
      </c>
      <c r="G219" s="17">
        <v>1.7999999999999999E-2</v>
      </c>
      <c r="H219" s="52">
        <v>0.33333333333333331</v>
      </c>
      <c r="I219" s="17">
        <f t="shared" si="102"/>
        <v>5.9999999999999993E-3</v>
      </c>
      <c r="J219" s="1">
        <v>5140</v>
      </c>
      <c r="K219" s="2">
        <v>43139</v>
      </c>
      <c r="L219" s="26">
        <v>0.59375</v>
      </c>
      <c r="M219" s="16">
        <f t="shared" si="103"/>
        <v>-4640</v>
      </c>
      <c r="S219">
        <f>IF(B219="","",VLOOKUP(Cmt(B219),Sheet2!A:B,2,FALSE))</f>
        <v>10</v>
      </c>
      <c r="T219" s="39">
        <v>9777094</v>
      </c>
      <c r="U219" s="13">
        <f>IF(S219="","",T219*I219/(D219*S219*0.15))</f>
        <v>7.6954695001967721</v>
      </c>
      <c r="W219" s="11"/>
    </row>
    <row r="220" spans="1:23">
      <c r="B220" s="1" t="s">
        <v>269</v>
      </c>
      <c r="C220" s="1">
        <v>29</v>
      </c>
      <c r="D220" s="1">
        <v>4032.14</v>
      </c>
      <c r="E220" s="2">
        <v>43139</v>
      </c>
      <c r="F220" s="26">
        <v>0.46875</v>
      </c>
      <c r="G220" s="17">
        <v>3.5999999999999997E-2</v>
      </c>
      <c r="H220" s="52">
        <v>0.5</v>
      </c>
      <c r="I220" s="17">
        <f t="shared" si="102"/>
        <v>1.7999999999999999E-2</v>
      </c>
      <c r="J220" s="1">
        <v>3998</v>
      </c>
      <c r="K220" s="2">
        <v>43140</v>
      </c>
      <c r="L220" s="26">
        <v>0.40138888888888885</v>
      </c>
      <c r="M220" s="16">
        <f t="shared" ref="M220:M223" si="109">IF(J220="","",C220*(J220-D220)*S220)+IF(J220="","",N220*(J220-O220)*S220)</f>
        <v>-16860.599999999962</v>
      </c>
      <c r="N220" s="1">
        <v>29</v>
      </c>
      <c r="O220" s="1">
        <v>4022</v>
      </c>
      <c r="P220" s="47">
        <v>43139</v>
      </c>
      <c r="Q220" s="48">
        <v>0.62152777777777779</v>
      </c>
      <c r="S220">
        <f>IF(B220="","",VLOOKUP(Cmt(B220),Sheet2!A:B,2,FALSE))</f>
        <v>10</v>
      </c>
      <c r="T220" s="39">
        <f>IF(S220="","",T219)</f>
        <v>9777094</v>
      </c>
      <c r="U220" s="13">
        <f t="shared" ref="U220:U283" si="110">IF(S220="","",T220*I220/(D220*S220*0.15))</f>
        <v>29.097483718323268</v>
      </c>
      <c r="W220" s="11"/>
    </row>
    <row r="221" spans="1:23">
      <c r="B221" s="1" t="s">
        <v>270</v>
      </c>
      <c r="C221" s="1">
        <v>4</v>
      </c>
      <c r="D221" s="1">
        <v>2148.5</v>
      </c>
      <c r="E221" s="2">
        <v>43139</v>
      </c>
      <c r="F221" s="26">
        <v>0.46875</v>
      </c>
      <c r="G221" s="17">
        <v>2.5000000000000001E-2</v>
      </c>
      <c r="H221" s="52">
        <v>0.5</v>
      </c>
      <c r="I221" s="17">
        <f t="shared" si="102"/>
        <v>1.2500000000000001E-2</v>
      </c>
      <c r="J221" s="1">
        <v>2141.5</v>
      </c>
      <c r="K221" s="2">
        <v>43139</v>
      </c>
      <c r="L221" s="26">
        <v>0.87986111111111109</v>
      </c>
      <c r="M221" s="16">
        <f t="shared" si="109"/>
        <v>-4600</v>
      </c>
      <c r="N221" s="1">
        <v>4</v>
      </c>
      <c r="O221" s="1">
        <v>2146</v>
      </c>
      <c r="P221" s="47">
        <v>43139</v>
      </c>
      <c r="Q221" s="48">
        <v>0.62152777777777779</v>
      </c>
      <c r="S221">
        <f>IF(B221="","",VLOOKUP(Cmt(B221),Sheet2!A:B,2,FALSE))</f>
        <v>100</v>
      </c>
      <c r="T221" s="39">
        <f>IF(S221="","",T220)</f>
        <v>9777094</v>
      </c>
      <c r="U221" s="13">
        <f t="shared" si="110"/>
        <v>3.7922170506554962</v>
      </c>
      <c r="W221" s="11"/>
    </row>
    <row r="222" spans="1:23">
      <c r="B222" s="1" t="s">
        <v>28</v>
      </c>
      <c r="C222" s="1">
        <v>19</v>
      </c>
      <c r="D222" s="1">
        <v>2338</v>
      </c>
      <c r="E222" s="2">
        <v>43139</v>
      </c>
      <c r="F222" s="26">
        <v>0.56805555555555554</v>
      </c>
      <c r="G222" s="17">
        <v>2.1000000000000001E-2</v>
      </c>
      <c r="H222" s="52">
        <v>0.33333333333333331</v>
      </c>
      <c r="I222" s="17">
        <f t="shared" ref="I222:I223" si="111">IF(G222="","",G222*H222)</f>
        <v>7.0000000000000001E-3</v>
      </c>
      <c r="J222" s="1">
        <v>2338</v>
      </c>
      <c r="K222" s="2">
        <v>43140</v>
      </c>
      <c r="L222" s="26">
        <v>0.46249999999999997</v>
      </c>
      <c r="M222" s="16">
        <f t="shared" si="109"/>
        <v>0</v>
      </c>
      <c r="N222" s="1">
        <v>38</v>
      </c>
      <c r="O222" s="1">
        <v>2338</v>
      </c>
      <c r="P222" s="47">
        <v>43139</v>
      </c>
      <c r="Q222" s="48">
        <v>0.62152777777777779</v>
      </c>
      <c r="S222">
        <f>IF(B222="","",VLOOKUP(Cmt(B222),Sheet2!A:B,2,FALSE))</f>
        <v>10</v>
      </c>
      <c r="T222" s="39">
        <f t="shared" ref="T222:T285" si="112">IF(S222="","",T221)</f>
        <v>9777094</v>
      </c>
      <c r="U222" s="13">
        <f t="shared" si="110"/>
        <v>19.515157684630736</v>
      </c>
      <c r="W222" s="11"/>
    </row>
    <row r="223" spans="1:23">
      <c r="A223" s="3"/>
      <c r="B223" s="3" t="s">
        <v>73</v>
      </c>
      <c r="C223" s="3">
        <v>17</v>
      </c>
      <c r="D223" s="3">
        <v>2807</v>
      </c>
      <c r="E223" s="19">
        <v>43139</v>
      </c>
      <c r="F223" s="31">
        <v>0.56805555555555554</v>
      </c>
      <c r="G223" s="18">
        <v>2.1999999999999999E-2</v>
      </c>
      <c r="H223" s="51">
        <v>0.33333333333333331</v>
      </c>
      <c r="I223" s="18">
        <f t="shared" si="111"/>
        <v>7.3333333333333323E-3</v>
      </c>
      <c r="J223" s="3">
        <v>2802</v>
      </c>
      <c r="K223" s="19">
        <v>43140</v>
      </c>
      <c r="L223" s="31">
        <v>0.46249999999999997</v>
      </c>
      <c r="M223" s="14">
        <f t="shared" si="109"/>
        <v>-2550</v>
      </c>
      <c r="N223" s="3">
        <v>34</v>
      </c>
      <c r="O223" s="3">
        <v>2807</v>
      </c>
      <c r="P223" s="49">
        <v>43139</v>
      </c>
      <c r="Q223" s="50">
        <v>0.62152777777777779</v>
      </c>
      <c r="R223" s="4"/>
      <c r="S223">
        <f>IF(B223="","",VLOOKUP(Cmt(B223),Sheet2!A:B,2,FALSE))</f>
        <v>10</v>
      </c>
      <c r="T223" s="39">
        <f t="shared" si="112"/>
        <v>9777094</v>
      </c>
      <c r="U223" s="13">
        <f t="shared" si="110"/>
        <v>17.028545145073821</v>
      </c>
      <c r="W223" s="11"/>
    </row>
    <row r="224" spans="1:23">
      <c r="A224" s="2">
        <v>43140</v>
      </c>
      <c r="B224" s="1" t="s">
        <v>51</v>
      </c>
      <c r="C224" s="1">
        <v>10</v>
      </c>
      <c r="D224" s="1">
        <v>1365.5</v>
      </c>
      <c r="E224" s="2">
        <v>43139</v>
      </c>
      <c r="F224" s="26">
        <v>0.88263888888888886</v>
      </c>
      <c r="G224" s="17">
        <v>2.4E-2</v>
      </c>
      <c r="H224" s="52">
        <v>0.5</v>
      </c>
      <c r="I224" s="17">
        <f t="shared" si="102"/>
        <v>1.2E-2</v>
      </c>
      <c r="J224" s="1">
        <v>1361</v>
      </c>
      <c r="K224" s="2">
        <v>43140</v>
      </c>
      <c r="L224" s="26">
        <v>0.46249999999999997</v>
      </c>
      <c r="M224" s="16">
        <f t="shared" si="103"/>
        <v>-2700</v>
      </c>
      <c r="S224">
        <f>IF(B224="","",VLOOKUP(Cmt(B224),Sheet2!A:B,2,FALSE))</f>
        <v>60</v>
      </c>
      <c r="T224" s="39">
        <f t="shared" si="112"/>
        <v>9777094</v>
      </c>
      <c r="U224" s="13">
        <f t="shared" si="110"/>
        <v>9.5467779812034657</v>
      </c>
      <c r="W224" s="11"/>
    </row>
    <row r="225" spans="1:23">
      <c r="B225" s="1" t="s">
        <v>23</v>
      </c>
      <c r="C225" s="1">
        <v>-7</v>
      </c>
      <c r="D225" s="1">
        <v>100340</v>
      </c>
      <c r="E225" s="2">
        <v>43139</v>
      </c>
      <c r="F225" s="26">
        <v>0.88263888888888886</v>
      </c>
      <c r="G225" s="17">
        <v>2.1000000000000001E-2</v>
      </c>
      <c r="H225" s="52">
        <v>0.5</v>
      </c>
      <c r="I225" s="17">
        <f t="shared" si="102"/>
        <v>1.0500000000000001E-2</v>
      </c>
      <c r="J225" s="1">
        <f>100880*3/7+100870*4/7</f>
        <v>100874.28571428571</v>
      </c>
      <c r="K225" s="2">
        <v>43139</v>
      </c>
      <c r="L225" s="26">
        <v>0.92361111111111116</v>
      </c>
      <c r="M225" s="16">
        <f t="shared" si="103"/>
        <v>-3739.9999999999709</v>
      </c>
      <c r="S225">
        <f>IF(B225="","",VLOOKUP(Cmt(B225),Sheet2!A:B,2,FALSE))</f>
        <v>1</v>
      </c>
      <c r="T225" s="39">
        <f t="shared" si="112"/>
        <v>9777094</v>
      </c>
      <c r="U225" s="13">
        <f t="shared" si="110"/>
        <v>6.8207751644409012</v>
      </c>
      <c r="W225" s="11"/>
    </row>
    <row r="226" spans="1:23">
      <c r="B226" s="1" t="s">
        <v>27</v>
      </c>
      <c r="C226" s="1">
        <v>-11</v>
      </c>
      <c r="D226" s="1">
        <v>5625.82</v>
      </c>
      <c r="E226" s="2">
        <v>43139</v>
      </c>
      <c r="F226" s="26">
        <v>0.88263888888888886</v>
      </c>
      <c r="G226" s="17">
        <v>1.4E-2</v>
      </c>
      <c r="H226" s="52">
        <v>0.33333333333333331</v>
      </c>
      <c r="I226" s="17">
        <f t="shared" si="102"/>
        <v>4.6666666666666662E-3</v>
      </c>
      <c r="J226" s="1">
        <v>5646</v>
      </c>
      <c r="K226" s="2">
        <v>43139</v>
      </c>
      <c r="L226" s="26">
        <v>0.92361111111111116</v>
      </c>
      <c r="M226" s="16">
        <f t="shared" si="103"/>
        <v>-1109.900000000016</v>
      </c>
      <c r="S226">
        <f>IF(B226="","",VLOOKUP(Cmt(B226),Sheet2!A:B,2,FALSE))</f>
        <v>5</v>
      </c>
      <c r="T226" s="39">
        <f t="shared" si="112"/>
        <v>9777094</v>
      </c>
      <c r="U226" s="13">
        <f t="shared" si="110"/>
        <v>10.813579452516354</v>
      </c>
      <c r="W226" s="11"/>
    </row>
    <row r="227" spans="1:23">
      <c r="B227" s="1" t="s">
        <v>14</v>
      </c>
      <c r="C227" s="1">
        <v>2</v>
      </c>
      <c r="D227" s="1">
        <v>2157</v>
      </c>
      <c r="E227" s="2">
        <v>43139</v>
      </c>
      <c r="F227" s="26">
        <v>0.92013888888888884</v>
      </c>
      <c r="G227" s="17">
        <v>1.4E-2</v>
      </c>
      <c r="H227" s="52">
        <v>0.5</v>
      </c>
      <c r="I227" s="17">
        <f t="shared" si="102"/>
        <v>7.0000000000000001E-3</v>
      </c>
      <c r="J227" s="1">
        <v>2122.5</v>
      </c>
      <c r="K227" s="2">
        <v>43140</v>
      </c>
      <c r="L227" s="26">
        <v>0.4291666666666667</v>
      </c>
      <c r="M227" s="16">
        <f t="shared" si="103"/>
        <v>-6900</v>
      </c>
      <c r="S227">
        <f>IF(B227="","",VLOOKUP(Cmt(B227),Sheet2!A:B,2,FALSE))</f>
        <v>100</v>
      </c>
      <c r="T227" s="39">
        <f t="shared" si="112"/>
        <v>9777094</v>
      </c>
      <c r="U227" s="13">
        <f t="shared" si="110"/>
        <v>2.1152730026271054</v>
      </c>
      <c r="W227" s="11"/>
    </row>
    <row r="228" spans="1:23">
      <c r="B228" s="3" t="s">
        <v>271</v>
      </c>
      <c r="C228" s="3">
        <v>12</v>
      </c>
      <c r="D228" s="3">
        <v>533.5</v>
      </c>
      <c r="E228" s="19">
        <v>43139</v>
      </c>
      <c r="F228" s="31">
        <v>0.92013888888888884</v>
      </c>
      <c r="G228" s="18">
        <v>0.02</v>
      </c>
      <c r="H228" s="51">
        <v>0.5</v>
      </c>
      <c r="I228" s="18">
        <f t="shared" si="102"/>
        <v>0.01</v>
      </c>
      <c r="J228" s="3">
        <v>528.5</v>
      </c>
      <c r="K228" s="19">
        <v>43140</v>
      </c>
      <c r="L228" s="31">
        <v>0.56597222222222221</v>
      </c>
      <c r="M228" s="14">
        <f t="shared" si="103"/>
        <v>-6000</v>
      </c>
      <c r="N228" s="3"/>
      <c r="O228" s="3"/>
      <c r="P228" s="4"/>
      <c r="Q228" s="4"/>
      <c r="R228" s="4"/>
      <c r="S228">
        <f>IF(B228="","",VLOOKUP(Cmt(B228),Sheet2!A:B,2,FALSE))</f>
        <v>100</v>
      </c>
      <c r="T228" s="39">
        <f t="shared" si="112"/>
        <v>9777094</v>
      </c>
      <c r="U228" s="13">
        <f t="shared" si="110"/>
        <v>12.217549515776319</v>
      </c>
      <c r="W228" s="11"/>
    </row>
    <row r="229" spans="1:23">
      <c r="B229" s="1" t="s">
        <v>274</v>
      </c>
      <c r="C229" s="1">
        <v>-2</v>
      </c>
      <c r="D229" s="1">
        <v>51680</v>
      </c>
      <c r="E229" s="2">
        <v>43140</v>
      </c>
      <c r="F229" s="26">
        <v>0.38055555555555554</v>
      </c>
      <c r="G229" s="17">
        <v>1.9E-2</v>
      </c>
      <c r="H229" s="52">
        <v>0.5</v>
      </c>
      <c r="I229" s="17">
        <f t="shared" si="102"/>
        <v>9.4999999999999998E-3</v>
      </c>
      <c r="J229" s="1">
        <v>51420</v>
      </c>
      <c r="K229" s="2">
        <v>43143</v>
      </c>
      <c r="L229" s="26">
        <v>0.56597222222222221</v>
      </c>
      <c r="M229" s="14">
        <f t="shared" ref="M229:M231" si="113">IF(J229="","",C229*(J229-D229)*S229)+IF(J229="","",N229*(J229-O229)*S229)</f>
        <v>1800</v>
      </c>
      <c r="N229" s="1">
        <v>-2</v>
      </c>
      <c r="O229" s="1">
        <v>51340</v>
      </c>
      <c r="P229" s="47">
        <v>43140</v>
      </c>
      <c r="Q229" s="48">
        <v>0.62222222222222223</v>
      </c>
      <c r="S229">
        <f>IF(B229="","",VLOOKUP(Cmt(B229),Sheet2!A:B,2,FALSE))</f>
        <v>5</v>
      </c>
      <c r="T229" s="39">
        <f t="shared" si="112"/>
        <v>9777094</v>
      </c>
      <c r="U229" s="13">
        <f t="shared" si="110"/>
        <v>2.3963465686274508</v>
      </c>
      <c r="W229" s="11"/>
    </row>
    <row r="230" spans="1:23">
      <c r="B230" s="1" t="s">
        <v>275</v>
      </c>
      <c r="C230" s="1">
        <v>-7</v>
      </c>
      <c r="D230" s="1">
        <v>100210</v>
      </c>
      <c r="E230" s="2">
        <v>43140</v>
      </c>
      <c r="F230" s="26">
        <v>0.38055555555555554</v>
      </c>
      <c r="G230" s="17">
        <v>2.1000000000000001E-2</v>
      </c>
      <c r="H230" s="52">
        <v>0.5</v>
      </c>
      <c r="I230" s="17">
        <f t="shared" si="102"/>
        <v>1.0500000000000001E-2</v>
      </c>
      <c r="J230" s="1">
        <v>99790</v>
      </c>
      <c r="K230" s="2">
        <v>43143</v>
      </c>
      <c r="L230" s="26">
        <v>0.44166666666666665</v>
      </c>
      <c r="M230" s="14">
        <f t="shared" si="113"/>
        <v>-4130</v>
      </c>
      <c r="N230" s="1">
        <v>-7</v>
      </c>
      <c r="O230" s="1">
        <v>98780</v>
      </c>
      <c r="P230" s="47">
        <v>43140</v>
      </c>
      <c r="Q230" s="48">
        <v>0.62222222222222223</v>
      </c>
      <c r="S230">
        <f>IF(B230="","",VLOOKUP(Cmt(B230),Sheet2!A:B,2,FALSE))</f>
        <v>1</v>
      </c>
      <c r="T230" s="39">
        <f t="shared" si="112"/>
        <v>9777094</v>
      </c>
      <c r="U230" s="13">
        <f t="shared" si="110"/>
        <v>6.8296235904600344</v>
      </c>
      <c r="W230" s="11"/>
    </row>
    <row r="231" spans="1:23">
      <c r="B231" s="1" t="s">
        <v>276</v>
      </c>
      <c r="C231" s="1">
        <v>-11</v>
      </c>
      <c r="D231" s="1">
        <v>5622</v>
      </c>
      <c r="E231" s="2">
        <v>43140</v>
      </c>
      <c r="F231" s="26">
        <v>0.38055555555555554</v>
      </c>
      <c r="G231" s="17">
        <v>1.4E-2</v>
      </c>
      <c r="H231" s="52">
        <v>0.33333333333333331</v>
      </c>
      <c r="I231" s="17">
        <f t="shared" si="102"/>
        <v>4.6666666666666662E-3</v>
      </c>
      <c r="J231" s="1">
        <v>5662</v>
      </c>
      <c r="K231" s="2">
        <v>43153</v>
      </c>
      <c r="L231" s="26">
        <v>0.375</v>
      </c>
      <c r="M231" s="14">
        <f t="shared" si="113"/>
        <v>-9020</v>
      </c>
      <c r="N231" s="1">
        <v>-22</v>
      </c>
      <c r="O231" s="1">
        <v>5600</v>
      </c>
      <c r="P231" s="47">
        <v>43140</v>
      </c>
      <c r="Q231" s="48">
        <v>0.62222222222222223</v>
      </c>
      <c r="S231">
        <f>IF(B231="","",VLOOKUP(Cmt(B231),Sheet2!A:B,2,FALSE))</f>
        <v>5</v>
      </c>
      <c r="T231" s="39">
        <f t="shared" si="112"/>
        <v>9777094</v>
      </c>
      <c r="U231" s="13">
        <f t="shared" si="110"/>
        <v>10.820926993161784</v>
      </c>
      <c r="W231" s="11"/>
    </row>
    <row r="232" spans="1:23">
      <c r="B232" s="1" t="s">
        <v>278</v>
      </c>
      <c r="C232" s="1">
        <v>-1</v>
      </c>
      <c r="D232" s="1">
        <v>2850</v>
      </c>
      <c r="E232" s="2">
        <v>43140</v>
      </c>
      <c r="F232" s="26">
        <v>0.40138888888888885</v>
      </c>
      <c r="G232" s="17">
        <v>1.7000000000000001E-2</v>
      </c>
      <c r="H232" s="52">
        <v>1</v>
      </c>
      <c r="I232" s="17">
        <f t="shared" si="102"/>
        <v>1.7000000000000001E-2</v>
      </c>
      <c r="J232" s="1">
        <v>2863</v>
      </c>
      <c r="K232" s="2">
        <v>43144</v>
      </c>
      <c r="L232" s="26">
        <v>0.46180555555555558</v>
      </c>
      <c r="M232" s="16">
        <f t="shared" si="103"/>
        <v>-3900</v>
      </c>
      <c r="S232">
        <f>IF(B232="","",VLOOKUP(Cmt(B232),Sheet2!A:B,2,FALSE))</f>
        <v>300</v>
      </c>
      <c r="T232" s="39">
        <f t="shared" si="112"/>
        <v>9777094</v>
      </c>
      <c r="U232" s="13">
        <f t="shared" si="110"/>
        <v>1.2959890682261208</v>
      </c>
      <c r="W232" s="11"/>
    </row>
    <row r="233" spans="1:23">
      <c r="B233" s="1" t="s">
        <v>279</v>
      </c>
      <c r="C233" s="1">
        <v>-10</v>
      </c>
      <c r="D233" s="1">
        <v>14345</v>
      </c>
      <c r="E233" s="2">
        <v>43140</v>
      </c>
      <c r="F233" s="26">
        <v>0.46249999999999997</v>
      </c>
      <c r="G233" s="17">
        <v>2.3E-2</v>
      </c>
      <c r="H233" s="52">
        <v>0.5</v>
      </c>
      <c r="I233" s="17">
        <f t="shared" si="102"/>
        <v>1.15E-2</v>
      </c>
      <c r="J233" s="1">
        <v>14415</v>
      </c>
      <c r="K233" s="2">
        <v>43143</v>
      </c>
      <c r="L233" s="26">
        <v>0.58680555555555558</v>
      </c>
      <c r="M233" s="14">
        <f t="shared" ref="M233" si="114">IF(J233="","",C233*(J233-D233)*S233)+IF(J233="","",N233*(J233-O233)*S233)</f>
        <v>-6250</v>
      </c>
      <c r="N233" s="1">
        <v>-10</v>
      </c>
      <c r="O233" s="1">
        <v>14360</v>
      </c>
      <c r="P233" s="47">
        <v>43140</v>
      </c>
      <c r="Q233" s="48">
        <v>0.62222222222222223</v>
      </c>
      <c r="S233">
        <f>IF(B233="","",VLOOKUP(Cmt(B233),Sheet2!A:B,2,FALSE))</f>
        <v>5</v>
      </c>
      <c r="T233" s="39">
        <f t="shared" si="112"/>
        <v>9777094</v>
      </c>
      <c r="U233" s="13">
        <f t="shared" si="110"/>
        <v>10.450710444986639</v>
      </c>
      <c r="W233" s="11"/>
    </row>
    <row r="234" spans="1:23" ht="14.25" thickBot="1">
      <c r="A234" s="34"/>
      <c r="B234" s="34" t="s">
        <v>284</v>
      </c>
      <c r="C234" s="34">
        <v>-15</v>
      </c>
      <c r="D234" s="34">
        <v>2774.33</v>
      </c>
      <c r="E234" s="38">
        <v>43140</v>
      </c>
      <c r="F234" s="35">
        <v>0.62152777777777779</v>
      </c>
      <c r="G234" s="36">
        <v>6.0000000000000001E-3</v>
      </c>
      <c r="H234" s="53">
        <v>0.33333333333333331</v>
      </c>
      <c r="I234" s="36">
        <f t="shared" si="102"/>
        <v>2E-3</v>
      </c>
      <c r="J234" s="34">
        <v>2714</v>
      </c>
      <c r="K234" s="38">
        <v>43144</v>
      </c>
      <c r="L234" s="35">
        <v>0.60138888888888886</v>
      </c>
      <c r="M234" s="40">
        <f t="shared" si="103"/>
        <v>9049.4999999999891</v>
      </c>
      <c r="N234" s="34"/>
      <c r="O234" s="34"/>
      <c r="P234" s="37"/>
      <c r="Q234" s="37"/>
      <c r="R234" s="37"/>
      <c r="S234">
        <f>IF(B234="","",VLOOKUP(Cmt(B234),Sheet2!A:B,2,FALSE))</f>
        <v>10</v>
      </c>
      <c r="T234" s="39">
        <f t="shared" si="112"/>
        <v>9777094</v>
      </c>
      <c r="U234" s="13">
        <f t="shared" si="110"/>
        <v>4.6988373168777091</v>
      </c>
      <c r="W234" s="11"/>
    </row>
    <row r="235" spans="1:23">
      <c r="A235" s="2">
        <v>43143</v>
      </c>
      <c r="B235" s="69" t="s">
        <v>35</v>
      </c>
      <c r="C235" s="69">
        <v>-2</v>
      </c>
      <c r="D235" s="69">
        <v>271.89999999999998</v>
      </c>
      <c r="E235" s="70">
        <v>43140</v>
      </c>
      <c r="F235" s="71">
        <v>0.88124999999999998</v>
      </c>
      <c r="G235" s="72">
        <v>1.2999999999999999E-2</v>
      </c>
      <c r="H235" s="73">
        <v>0.5</v>
      </c>
      <c r="I235" s="72">
        <f t="shared" si="102"/>
        <v>6.4999999999999997E-3</v>
      </c>
      <c r="J235" s="69">
        <v>272.7</v>
      </c>
      <c r="K235" s="70">
        <v>43143</v>
      </c>
      <c r="L235" s="71">
        <v>0.44166666666666665</v>
      </c>
      <c r="M235" s="74">
        <f t="shared" si="103"/>
        <v>-1600.0000000000227</v>
      </c>
      <c r="N235" s="69"/>
      <c r="O235" s="69"/>
      <c r="P235" s="75"/>
      <c r="Q235" s="75"/>
      <c r="R235" s="75"/>
      <c r="S235">
        <f>IF(B235="","",VLOOKUP(Cmt(B235),Sheet2!A:B,2,FALSE))</f>
        <v>1000</v>
      </c>
      <c r="T235" s="39">
        <f t="shared" si="112"/>
        <v>9777094</v>
      </c>
      <c r="U235" s="13">
        <f t="shared" si="110"/>
        <v>1.5581981365698172</v>
      </c>
      <c r="W235" s="11"/>
    </row>
    <row r="236" spans="1:23">
      <c r="B236" s="1" t="s">
        <v>285</v>
      </c>
      <c r="C236" s="1">
        <v>15</v>
      </c>
      <c r="D236" s="1">
        <v>2364</v>
      </c>
      <c r="E236" s="2">
        <v>43143</v>
      </c>
      <c r="F236" s="26">
        <v>0.37986111111111115</v>
      </c>
      <c r="G236" s="17">
        <v>1.7000000000000001E-2</v>
      </c>
      <c r="H236" s="52">
        <v>0.33333333333333331</v>
      </c>
      <c r="I236" s="17">
        <f t="shared" si="102"/>
        <v>5.6666666666666671E-3</v>
      </c>
      <c r="J236" s="1">
        <v>2371</v>
      </c>
      <c r="K236" s="2">
        <v>43144</v>
      </c>
      <c r="L236" s="26">
        <v>0.62152777777777779</v>
      </c>
      <c r="M236" s="16">
        <f t="shared" ref="M236:M238" si="115">IF(J236="","",C236*(J236-D236)*S236)+IF(J236="","",N236*(J236-O236)*S236)</f>
        <v>-1650</v>
      </c>
      <c r="N236" s="1">
        <v>30</v>
      </c>
      <c r="O236" s="1">
        <v>2380</v>
      </c>
      <c r="S236">
        <f>IF(B236="","",VLOOKUP(Cmt(B236),Sheet2!A:B,2,FALSE))</f>
        <v>10</v>
      </c>
      <c r="T236" s="39">
        <f t="shared" si="112"/>
        <v>9777094</v>
      </c>
      <c r="U236" s="13">
        <f t="shared" si="110"/>
        <v>15.624233690543337</v>
      </c>
      <c r="W236" s="11"/>
    </row>
    <row r="237" spans="1:23">
      <c r="B237" s="1" t="s">
        <v>286</v>
      </c>
      <c r="C237" s="1">
        <v>-6</v>
      </c>
      <c r="D237" s="1">
        <v>9510</v>
      </c>
      <c r="E237" s="2">
        <v>43143</v>
      </c>
      <c r="F237" s="26">
        <v>0.37986111111111115</v>
      </c>
      <c r="G237" s="17">
        <v>1.4E-2</v>
      </c>
      <c r="H237" s="52">
        <v>0.33333333333333331</v>
      </c>
      <c r="I237" s="17">
        <f t="shared" si="102"/>
        <v>4.6666666666666662E-3</v>
      </c>
      <c r="J237" s="1">
        <v>9570</v>
      </c>
      <c r="K237" s="2">
        <v>43153</v>
      </c>
      <c r="L237" s="26">
        <v>0.3756944444444445</v>
      </c>
      <c r="M237" s="16">
        <f t="shared" si="115"/>
        <v>-8700</v>
      </c>
      <c r="N237" s="1">
        <v>-12</v>
      </c>
      <c r="O237" s="1">
        <v>9455</v>
      </c>
      <c r="S237">
        <f>IF(B237="","",VLOOKUP(Cmt(B237),Sheet2!A:B,2,FALSE))</f>
        <v>5</v>
      </c>
      <c r="T237" s="39">
        <f t="shared" si="112"/>
        <v>9777094</v>
      </c>
      <c r="U237" s="13">
        <f t="shared" si="110"/>
        <v>6.3969770300268713</v>
      </c>
      <c r="W237" s="11"/>
    </row>
    <row r="238" spans="1:23">
      <c r="B238" s="1" t="s">
        <v>287</v>
      </c>
      <c r="C238" s="1">
        <v>14</v>
      </c>
      <c r="D238" s="1">
        <v>2826</v>
      </c>
      <c r="E238" s="2">
        <v>43143</v>
      </c>
      <c r="F238" s="26">
        <v>0.40416666666666662</v>
      </c>
      <c r="G238" s="17">
        <v>1.7999999999999999E-2</v>
      </c>
      <c r="H238" s="52">
        <v>0.33333333333333331</v>
      </c>
      <c r="I238" s="17">
        <f t="shared" si="102"/>
        <v>5.9999999999999993E-3</v>
      </c>
      <c r="J238" s="1">
        <v>2855</v>
      </c>
      <c r="K238" s="2">
        <v>43144</v>
      </c>
      <c r="L238" s="26">
        <v>0.87986111111111109</v>
      </c>
      <c r="M238" s="16">
        <f t="shared" si="115"/>
        <v>7980</v>
      </c>
      <c r="N238" s="1">
        <v>28</v>
      </c>
      <c r="O238" s="1">
        <v>2841</v>
      </c>
      <c r="S238">
        <f>IF(B238="","",VLOOKUP(Cmt(B238),Sheet2!A:B,2,FALSE))</f>
        <v>10</v>
      </c>
      <c r="T238" s="39">
        <f t="shared" si="112"/>
        <v>9777094</v>
      </c>
      <c r="U238" s="13">
        <f t="shared" si="110"/>
        <v>13.838774239207359</v>
      </c>
      <c r="W238" s="11"/>
    </row>
    <row r="239" spans="1:23">
      <c r="B239" s="1" t="s">
        <v>288</v>
      </c>
      <c r="C239" s="1">
        <v>21</v>
      </c>
      <c r="D239" s="1">
        <v>2136</v>
      </c>
      <c r="E239" s="2">
        <v>43143</v>
      </c>
      <c r="F239" s="26">
        <v>0.56805555555555554</v>
      </c>
      <c r="G239" s="17">
        <v>2.1000000000000001E-2</v>
      </c>
      <c r="H239" s="52">
        <v>0.33333333333333331</v>
      </c>
      <c r="I239" s="17">
        <f t="shared" si="102"/>
        <v>7.0000000000000001E-3</v>
      </c>
      <c r="J239" s="1">
        <v>2132</v>
      </c>
      <c r="K239" s="2">
        <v>43143</v>
      </c>
      <c r="L239" s="26">
        <v>0.58680555555555558</v>
      </c>
      <c r="M239" s="16">
        <f t="shared" si="103"/>
        <v>-840</v>
      </c>
      <c r="S239">
        <f>IF(B239="","",VLOOKUP(Cmt(B239),Sheet2!A:B,2,FALSE))</f>
        <v>10</v>
      </c>
      <c r="T239" s="39">
        <f t="shared" si="112"/>
        <v>9777094</v>
      </c>
      <c r="U239" s="13">
        <f t="shared" si="110"/>
        <v>21.360692259675403</v>
      </c>
      <c r="W239" s="11"/>
    </row>
    <row r="240" spans="1:23">
      <c r="A240" s="3"/>
      <c r="B240" s="3" t="s">
        <v>289</v>
      </c>
      <c r="C240" s="3">
        <v>10</v>
      </c>
      <c r="D240" s="3">
        <v>1360.5</v>
      </c>
      <c r="E240" s="19">
        <v>43143</v>
      </c>
      <c r="F240" s="31">
        <v>0.56805555555555554</v>
      </c>
      <c r="G240" s="18">
        <v>2.4E-2</v>
      </c>
      <c r="H240" s="51">
        <v>0.5</v>
      </c>
      <c r="I240" s="18">
        <f t="shared" si="102"/>
        <v>1.2E-2</v>
      </c>
      <c r="J240" s="3">
        <v>1353.5</v>
      </c>
      <c r="K240" s="19">
        <v>43143</v>
      </c>
      <c r="L240" s="31">
        <v>0.92083333333333339</v>
      </c>
      <c r="M240" s="16">
        <f t="shared" ref="M240:M241" si="116">IF(J240="","",C240*(J240-D240)*S240)+IF(J240="","",N240*(J240-O240)*S240)</f>
        <v>-10500</v>
      </c>
      <c r="N240" s="3">
        <v>10</v>
      </c>
      <c r="O240" s="3">
        <v>1364</v>
      </c>
      <c r="P240" s="4"/>
      <c r="Q240" s="4"/>
      <c r="R240" s="4"/>
      <c r="S240">
        <f>IF(B240="","",VLOOKUP(Cmt(B240),Sheet2!A:B,2,FALSE))</f>
        <v>60</v>
      </c>
      <c r="T240" s="39">
        <f t="shared" si="112"/>
        <v>9777094</v>
      </c>
      <c r="U240" s="13">
        <f t="shared" si="110"/>
        <v>9.5818635305647426</v>
      </c>
      <c r="W240" s="11"/>
    </row>
    <row r="241" spans="1:23">
      <c r="A241" s="2">
        <v>43144</v>
      </c>
      <c r="B241" s="27" t="s">
        <v>290</v>
      </c>
      <c r="C241" s="27">
        <v>-15</v>
      </c>
      <c r="D241" s="27">
        <v>2708.13</v>
      </c>
      <c r="E241" s="43">
        <v>43143</v>
      </c>
      <c r="F241" s="28">
        <v>0.92083333333333339</v>
      </c>
      <c r="G241" s="29">
        <v>1.7000000000000001E-2</v>
      </c>
      <c r="H241" s="55">
        <v>0.33333333333333331</v>
      </c>
      <c r="I241" s="29">
        <f t="shared" si="102"/>
        <v>5.6666666666666671E-3</v>
      </c>
      <c r="J241" s="27">
        <v>2722</v>
      </c>
      <c r="K241" s="43">
        <v>43153</v>
      </c>
      <c r="L241" s="28">
        <v>0.3756944444444445</v>
      </c>
      <c r="M241" s="16">
        <f t="shared" si="116"/>
        <v>-9880.4999999999836</v>
      </c>
      <c r="N241" s="27">
        <v>-30</v>
      </c>
      <c r="O241" s="27">
        <v>2696</v>
      </c>
      <c r="P241" s="30"/>
      <c r="Q241" s="30"/>
      <c r="R241" s="30"/>
      <c r="S241">
        <f>IF(B241="","",VLOOKUP(Cmt(B241),Sheet2!A:B,2,FALSE))</f>
        <v>10</v>
      </c>
      <c r="T241" s="39">
        <f t="shared" si="112"/>
        <v>9777094</v>
      </c>
      <c r="U241" s="13">
        <f t="shared" si="110"/>
        <v>13.638816616796257</v>
      </c>
      <c r="W241" s="11"/>
    </row>
    <row r="242" spans="1:23">
      <c r="B242" s="1" t="s">
        <v>291</v>
      </c>
      <c r="C242" s="1">
        <v>-2</v>
      </c>
      <c r="D242" s="1">
        <v>51550</v>
      </c>
      <c r="E242" s="2">
        <v>43144</v>
      </c>
      <c r="F242" s="26">
        <v>0.37986111111111115</v>
      </c>
      <c r="G242" s="17">
        <v>1.6E-2</v>
      </c>
      <c r="H242" s="52">
        <v>0.5</v>
      </c>
      <c r="I242" s="17">
        <f t="shared" si="102"/>
        <v>8.0000000000000002E-3</v>
      </c>
      <c r="J242" s="1">
        <v>51640</v>
      </c>
      <c r="K242" s="2">
        <v>43144</v>
      </c>
      <c r="L242" s="26">
        <v>0.41944444444444445</v>
      </c>
      <c r="M242" s="16">
        <f t="shared" si="103"/>
        <v>-900</v>
      </c>
      <c r="S242">
        <f>IF(B242="","",VLOOKUP(Cmt(B242),Sheet2!A:B,2,FALSE))</f>
        <v>5</v>
      </c>
      <c r="T242" s="39">
        <f t="shared" si="112"/>
        <v>9777094</v>
      </c>
      <c r="U242" s="13">
        <f t="shared" si="110"/>
        <v>2.0230650371807308</v>
      </c>
      <c r="W242" s="11"/>
    </row>
    <row r="243" spans="1:23">
      <c r="B243" s="1" t="s">
        <v>292</v>
      </c>
      <c r="C243" s="1">
        <v>12</v>
      </c>
      <c r="D243" s="1">
        <v>529</v>
      </c>
      <c r="E243" s="2">
        <v>43144</v>
      </c>
      <c r="F243" s="26">
        <v>0.56597222222222221</v>
      </c>
      <c r="G243" s="17">
        <v>0.02</v>
      </c>
      <c r="H243" s="52">
        <v>0.5</v>
      </c>
      <c r="I243" s="17">
        <f t="shared" si="102"/>
        <v>0.01</v>
      </c>
      <c r="J243" s="1">
        <v>534.5</v>
      </c>
      <c r="K243" s="2">
        <v>43153</v>
      </c>
      <c r="L243" s="26">
        <v>0.47222222222222227</v>
      </c>
      <c r="M243" s="16">
        <f t="shared" ref="M243" si="117">IF(J243="","",C243*(J243-D243)*S243)+IF(J243="","",N243*(J243-O243)*S243)</f>
        <v>13800</v>
      </c>
      <c r="N243" s="1">
        <v>12</v>
      </c>
      <c r="O243" s="1">
        <v>528.5</v>
      </c>
      <c r="S243">
        <f>IF(B243="","",VLOOKUP(Cmt(B243),Sheet2!A:B,2,FALSE))</f>
        <v>100</v>
      </c>
      <c r="T243" s="39">
        <f t="shared" si="112"/>
        <v>9777094</v>
      </c>
      <c r="U243" s="13">
        <f t="shared" si="110"/>
        <v>12.32147952110901</v>
      </c>
      <c r="W243" s="11"/>
    </row>
    <row r="244" spans="1:23" ht="14.25" thickBot="1">
      <c r="A244" s="34"/>
      <c r="B244" s="34" t="s">
        <v>293</v>
      </c>
      <c r="C244" s="34">
        <v>-1</v>
      </c>
      <c r="D244" s="34">
        <v>2846.8</v>
      </c>
      <c r="E244" s="38">
        <v>43144</v>
      </c>
      <c r="F244" s="35">
        <v>0.56597222222222221</v>
      </c>
      <c r="G244" s="36">
        <v>1.7000000000000001E-2</v>
      </c>
      <c r="H244" s="53">
        <v>1</v>
      </c>
      <c r="I244" s="36">
        <f t="shared" si="102"/>
        <v>1.7000000000000001E-2</v>
      </c>
      <c r="J244" s="34">
        <v>2907.8</v>
      </c>
      <c r="K244" s="38">
        <v>43153</v>
      </c>
      <c r="L244" s="35">
        <v>0.39861111111111108</v>
      </c>
      <c r="M244" s="40">
        <f t="shared" si="103"/>
        <v>-18300</v>
      </c>
      <c r="N244" s="34"/>
      <c r="O244" s="34"/>
      <c r="P244" s="37"/>
      <c r="Q244" s="37"/>
      <c r="R244" s="37"/>
      <c r="S244">
        <f>IF(B244="","",VLOOKUP(Cmt(B244),Sheet2!A:B,2,FALSE))</f>
        <v>300</v>
      </c>
      <c r="T244" s="39">
        <f t="shared" si="112"/>
        <v>9777094</v>
      </c>
      <c r="U244" s="13">
        <f t="shared" si="110"/>
        <v>1.2974458495308572</v>
      </c>
      <c r="W244" s="11"/>
    </row>
    <row r="245" spans="1:23">
      <c r="A245" s="2">
        <v>43153</v>
      </c>
      <c r="B245" s="1" t="s">
        <v>294</v>
      </c>
      <c r="C245" s="1">
        <v>-8</v>
      </c>
      <c r="D245" s="1">
        <v>2728</v>
      </c>
      <c r="E245" s="2">
        <v>43153</v>
      </c>
      <c r="F245" s="26">
        <v>0.37847222222222227</v>
      </c>
      <c r="G245" s="17">
        <v>0.01</v>
      </c>
      <c r="H245" s="52">
        <v>0.33333333333333331</v>
      </c>
      <c r="I245" s="17">
        <f t="shared" si="102"/>
        <v>3.3333333333333331E-3</v>
      </c>
      <c r="J245" s="1">
        <v>2723</v>
      </c>
      <c r="K245" s="2">
        <v>43153</v>
      </c>
      <c r="L245" s="26">
        <v>0.61944444444444446</v>
      </c>
      <c r="M245" s="16">
        <f t="shared" si="103"/>
        <v>400</v>
      </c>
      <c r="S245">
        <f>IF(B245="","",VLOOKUP(Cmt(B245),Sheet2!A:B,2,FALSE))</f>
        <v>10</v>
      </c>
      <c r="T245" s="39">
        <v>9670000</v>
      </c>
      <c r="U245" s="13">
        <f t="shared" si="110"/>
        <v>7.877158683610296</v>
      </c>
      <c r="W245" s="11"/>
    </row>
    <row r="246" spans="1:23">
      <c r="B246" s="1" t="s">
        <v>295</v>
      </c>
      <c r="C246" s="1">
        <v>4</v>
      </c>
      <c r="D246" s="1">
        <v>2165</v>
      </c>
      <c r="E246" s="2">
        <v>43153</v>
      </c>
      <c r="F246" s="26">
        <v>0.37847222222222227</v>
      </c>
      <c r="G246" s="17">
        <v>1.4999999999999999E-2</v>
      </c>
      <c r="H246" s="52">
        <v>1</v>
      </c>
      <c r="I246" s="17">
        <f t="shared" si="102"/>
        <v>1.4999999999999999E-2</v>
      </c>
      <c r="J246" s="1">
        <v>2268.5</v>
      </c>
      <c r="K246" s="2">
        <v>43158</v>
      </c>
      <c r="L246" s="26">
        <v>0.38055555555555554</v>
      </c>
      <c r="M246" s="16">
        <f t="shared" si="103"/>
        <v>41400</v>
      </c>
      <c r="S246">
        <f>IF(B246="","",VLOOKUP(Cmt(B246),Sheet2!A:B,2,FALSE))</f>
        <v>100</v>
      </c>
      <c r="T246" s="39">
        <f t="shared" si="112"/>
        <v>9670000</v>
      </c>
      <c r="U246" s="13">
        <f t="shared" si="110"/>
        <v>4.4665127020785222</v>
      </c>
      <c r="W246" s="11"/>
    </row>
    <row r="247" spans="1:23">
      <c r="B247" s="1" t="s">
        <v>296</v>
      </c>
      <c r="C247" s="1">
        <v>18</v>
      </c>
      <c r="D247" s="1">
        <v>1382</v>
      </c>
      <c r="E247" s="2">
        <v>43153</v>
      </c>
      <c r="F247" s="26">
        <v>0.37847222222222227</v>
      </c>
      <c r="G247" s="17">
        <v>2.4E-2</v>
      </c>
      <c r="H247" s="52">
        <v>1</v>
      </c>
      <c r="I247" s="17">
        <f t="shared" si="102"/>
        <v>2.4E-2</v>
      </c>
      <c r="J247" s="1">
        <v>1366.5</v>
      </c>
      <c r="K247" s="2">
        <v>43153</v>
      </c>
      <c r="L247" s="26">
        <v>0.47222222222222227</v>
      </c>
      <c r="M247" s="16">
        <f t="shared" si="103"/>
        <v>-16740</v>
      </c>
      <c r="S247">
        <f>IF(B247="","",VLOOKUP(Cmt(B247),Sheet2!A:B,2,FALSE))</f>
        <v>60</v>
      </c>
      <c r="T247" s="39">
        <f t="shared" si="112"/>
        <v>9670000</v>
      </c>
      <c r="U247" s="13">
        <f t="shared" si="110"/>
        <v>18.658948383984562</v>
      </c>
      <c r="W247" s="11"/>
    </row>
    <row r="248" spans="1:23">
      <c r="B248" s="1" t="s">
        <v>297</v>
      </c>
      <c r="C248" s="1">
        <v>43</v>
      </c>
      <c r="D248" s="1">
        <v>6782</v>
      </c>
      <c r="E248" s="2">
        <v>43153</v>
      </c>
      <c r="F248" s="26">
        <v>0.37847222222222227</v>
      </c>
      <c r="G248" s="17">
        <v>2.3E-2</v>
      </c>
      <c r="H248" s="52">
        <v>1</v>
      </c>
      <c r="I248" s="17">
        <f t="shared" si="102"/>
        <v>2.3E-2</v>
      </c>
      <c r="J248" s="1">
        <v>6768</v>
      </c>
      <c r="K248" s="2">
        <v>43154</v>
      </c>
      <c r="L248" s="26">
        <v>0.39930555555555558</v>
      </c>
      <c r="M248" s="16">
        <f t="shared" si="103"/>
        <v>-3010</v>
      </c>
      <c r="S248">
        <f>IF(B248="","",VLOOKUP(Cmt(B248),Sheet2!A:B,2,FALSE))</f>
        <v>5</v>
      </c>
      <c r="T248" s="39">
        <f t="shared" si="112"/>
        <v>9670000</v>
      </c>
      <c r="U248" s="13">
        <f t="shared" si="110"/>
        <v>43.725548019266689</v>
      </c>
      <c r="W248" s="11"/>
    </row>
    <row r="249" spans="1:23">
      <c r="B249" s="1" t="s">
        <v>298</v>
      </c>
      <c r="C249" s="1">
        <v>40</v>
      </c>
      <c r="D249" s="1">
        <v>2941</v>
      </c>
      <c r="E249" s="2">
        <v>43153</v>
      </c>
      <c r="F249" s="26">
        <v>0.37847222222222227</v>
      </c>
      <c r="G249" s="17">
        <v>1.7999999999999999E-2</v>
      </c>
      <c r="H249" s="52">
        <v>1</v>
      </c>
      <c r="I249" s="17">
        <f t="shared" si="102"/>
        <v>1.7999999999999999E-2</v>
      </c>
      <c r="J249" s="1">
        <v>2949</v>
      </c>
      <c r="K249" s="2">
        <v>43154</v>
      </c>
      <c r="L249" s="26">
        <v>0.38472222222222219</v>
      </c>
      <c r="M249" s="16">
        <f t="shared" si="103"/>
        <v>3200</v>
      </c>
      <c r="S249">
        <f>IF(B249="","",VLOOKUP(Cmt(B249),Sheet2!A:B,2,FALSE))</f>
        <v>10</v>
      </c>
      <c r="T249" s="39">
        <f t="shared" si="112"/>
        <v>9670000</v>
      </c>
      <c r="U249" s="13">
        <f t="shared" si="110"/>
        <v>39.455967358041484</v>
      </c>
      <c r="W249" s="11"/>
    </row>
    <row r="250" spans="1:23">
      <c r="B250" s="1" t="s">
        <v>299</v>
      </c>
      <c r="C250" s="1">
        <v>31</v>
      </c>
      <c r="D250" s="1">
        <v>2455</v>
      </c>
      <c r="E250" s="2">
        <v>43153</v>
      </c>
      <c r="F250" s="26">
        <v>0.37847222222222227</v>
      </c>
      <c r="G250" s="17">
        <v>1.2E-2</v>
      </c>
      <c r="H250" s="52">
        <v>1</v>
      </c>
      <c r="I250" s="17">
        <f t="shared" si="102"/>
        <v>1.2E-2</v>
      </c>
      <c r="J250" s="1">
        <v>2458</v>
      </c>
      <c r="K250" s="2">
        <v>43154</v>
      </c>
      <c r="L250" s="26">
        <v>0.38472222222222219</v>
      </c>
      <c r="M250" s="16">
        <f t="shared" si="103"/>
        <v>930</v>
      </c>
      <c r="S250">
        <f>IF(B250="","",VLOOKUP(Cmt(B250),Sheet2!A:B,2,FALSE))</f>
        <v>10</v>
      </c>
      <c r="T250" s="39">
        <f t="shared" si="112"/>
        <v>9670000</v>
      </c>
      <c r="U250" s="13">
        <f t="shared" si="110"/>
        <v>31.511201629327903</v>
      </c>
      <c r="W250" s="11"/>
    </row>
    <row r="251" spans="1:23">
      <c r="A251" s="3"/>
      <c r="B251" s="3" t="s">
        <v>300</v>
      </c>
      <c r="C251" s="3">
        <v>-10</v>
      </c>
      <c r="D251" s="3">
        <v>14250</v>
      </c>
      <c r="E251" s="19">
        <v>43153</v>
      </c>
      <c r="F251" s="31">
        <v>0.3979166666666667</v>
      </c>
      <c r="G251" s="18">
        <v>2.3E-2</v>
      </c>
      <c r="H251" s="51">
        <v>0.5</v>
      </c>
      <c r="I251" s="18">
        <f t="shared" si="102"/>
        <v>1.15E-2</v>
      </c>
      <c r="J251" s="3">
        <v>14315</v>
      </c>
      <c r="K251" s="19">
        <v>43153</v>
      </c>
      <c r="L251" s="31">
        <v>0.92152777777777783</v>
      </c>
      <c r="M251" s="14">
        <f t="shared" si="103"/>
        <v>-3250</v>
      </c>
      <c r="N251" s="3"/>
      <c r="O251" s="3"/>
      <c r="P251" s="4"/>
      <c r="Q251" s="4"/>
      <c r="R251" s="4"/>
      <c r="S251">
        <f>IF(B251="","",VLOOKUP(Cmt(B251),Sheet2!A:B,2,FALSE))</f>
        <v>5</v>
      </c>
      <c r="T251" s="39">
        <f t="shared" si="112"/>
        <v>9670000</v>
      </c>
      <c r="U251" s="13">
        <f t="shared" si="110"/>
        <v>10.40514619883041</v>
      </c>
      <c r="W251" s="11"/>
    </row>
    <row r="252" spans="1:23">
      <c r="A252" s="2">
        <v>43154</v>
      </c>
      <c r="B252" s="1" t="s">
        <v>301</v>
      </c>
      <c r="C252" s="1">
        <v>11</v>
      </c>
      <c r="D252" s="1">
        <v>542</v>
      </c>
      <c r="E252" s="2">
        <v>43153</v>
      </c>
      <c r="F252" s="26">
        <v>0.92361111111111116</v>
      </c>
      <c r="G252" s="17">
        <v>1.9E-2</v>
      </c>
      <c r="H252" s="52">
        <v>0.5</v>
      </c>
      <c r="I252" s="17">
        <f t="shared" si="102"/>
        <v>9.4999999999999998E-3</v>
      </c>
      <c r="J252" s="1">
        <v>547</v>
      </c>
      <c r="K252" s="2">
        <v>43157</v>
      </c>
      <c r="L252" s="26">
        <v>0.60069444444444442</v>
      </c>
      <c r="M252" s="16">
        <f t="shared" si="103"/>
        <v>5500</v>
      </c>
      <c r="S252">
        <f>IF(B252="","",VLOOKUP(Cmt(B252),Sheet2!A:B,2,FALSE))</f>
        <v>100</v>
      </c>
      <c r="T252" s="39">
        <f t="shared" si="112"/>
        <v>9670000</v>
      </c>
      <c r="U252" s="13">
        <f t="shared" si="110"/>
        <v>11.299507995079951</v>
      </c>
      <c r="W252" s="11"/>
    </row>
    <row r="253" spans="1:23">
      <c r="B253" s="3" t="s">
        <v>13</v>
      </c>
      <c r="C253" s="3">
        <v>-19</v>
      </c>
      <c r="D253" s="3">
        <v>3865</v>
      </c>
      <c r="E253" s="19">
        <v>43153</v>
      </c>
      <c r="F253" s="31">
        <v>0.92708333333333337</v>
      </c>
      <c r="G253" s="18">
        <v>2.3E-2</v>
      </c>
      <c r="H253" s="51">
        <v>0.5</v>
      </c>
      <c r="I253" s="18">
        <f t="shared" si="102"/>
        <v>1.15E-2</v>
      </c>
      <c r="J253" s="3">
        <v>3926</v>
      </c>
      <c r="K253" s="19">
        <v>43154</v>
      </c>
      <c r="L253" s="31">
        <v>0.58819444444444446</v>
      </c>
      <c r="M253" s="14">
        <f t="shared" si="103"/>
        <v>-11590</v>
      </c>
      <c r="N253" s="3"/>
      <c r="O253" s="3"/>
      <c r="P253" s="4"/>
      <c r="Q253" s="4"/>
      <c r="R253" s="4"/>
      <c r="S253">
        <f>IF(B253="","",VLOOKUP(Cmt(B253),Sheet2!A:B,2,FALSE))</f>
        <v>10</v>
      </c>
      <c r="T253" s="39">
        <f t="shared" si="112"/>
        <v>9670000</v>
      </c>
      <c r="U253" s="13">
        <f t="shared" si="110"/>
        <v>19.18154376886589</v>
      </c>
      <c r="W253" s="11"/>
    </row>
    <row r="254" spans="1:23">
      <c r="B254" s="1" t="s">
        <v>302</v>
      </c>
      <c r="C254" s="1">
        <v>22</v>
      </c>
      <c r="D254" s="1">
        <v>6774</v>
      </c>
      <c r="E254" s="2">
        <v>43154</v>
      </c>
      <c r="F254" s="26">
        <v>0.4375</v>
      </c>
      <c r="G254" s="17">
        <v>2.3E-2</v>
      </c>
      <c r="H254" s="52">
        <v>0.5</v>
      </c>
      <c r="I254" s="17">
        <f t="shared" si="102"/>
        <v>1.15E-2</v>
      </c>
      <c r="J254" s="1">
        <v>6768</v>
      </c>
      <c r="K254" s="2">
        <v>43158</v>
      </c>
      <c r="L254" s="26">
        <v>0.38055555555555554</v>
      </c>
      <c r="M254" s="16">
        <f t="shared" si="103"/>
        <v>-660</v>
      </c>
      <c r="S254">
        <f>IF(B254="","",VLOOKUP(Cmt(B254),Sheet2!A:B,2,FALSE))</f>
        <v>5</v>
      </c>
      <c r="T254" s="39">
        <f t="shared" si="112"/>
        <v>9670000</v>
      </c>
      <c r="U254" s="13">
        <f t="shared" si="110"/>
        <v>21.888593642358035</v>
      </c>
      <c r="W254" s="11"/>
    </row>
    <row r="255" spans="1:23">
      <c r="B255" s="1" t="s">
        <v>303</v>
      </c>
      <c r="C255" s="1">
        <v>13</v>
      </c>
      <c r="D255" s="1">
        <v>3746</v>
      </c>
      <c r="E255" s="2">
        <v>43154</v>
      </c>
      <c r="F255" s="26">
        <v>0.56666666666666665</v>
      </c>
      <c r="G255" s="17">
        <v>1.0999999999999999E-2</v>
      </c>
      <c r="H255" s="52">
        <v>0.33333333333333331</v>
      </c>
      <c r="I255" s="17">
        <f t="shared" si="102"/>
        <v>3.6666666666666662E-3</v>
      </c>
      <c r="J255" s="1">
        <v>3778</v>
      </c>
      <c r="K255" s="2">
        <v>43158</v>
      </c>
      <c r="L255" s="26">
        <v>0.38055555555555554</v>
      </c>
      <c r="M255" s="16">
        <f t="shared" si="103"/>
        <v>2080</v>
      </c>
      <c r="S255">
        <f>IF(B255="","",VLOOKUP(Cmt(B255),Sheet2!A:B,2,FALSE))</f>
        <v>5</v>
      </c>
      <c r="T255" s="39">
        <f t="shared" si="112"/>
        <v>9670000</v>
      </c>
      <c r="U255" s="13">
        <f t="shared" si="110"/>
        <v>12.620276443020703</v>
      </c>
      <c r="W255" s="11"/>
    </row>
    <row r="256" spans="1:23" ht="14.25" thickBot="1">
      <c r="A256" s="34"/>
      <c r="B256" s="34" t="s">
        <v>304</v>
      </c>
      <c r="C256" s="34">
        <v>8</v>
      </c>
      <c r="D256" s="34">
        <v>105100</v>
      </c>
      <c r="E256" s="38">
        <v>43154</v>
      </c>
      <c r="F256" s="35">
        <v>0.58750000000000002</v>
      </c>
      <c r="G256" s="36">
        <v>2.7E-2</v>
      </c>
      <c r="H256" s="53">
        <v>0.5</v>
      </c>
      <c r="I256" s="36">
        <f t="shared" si="102"/>
        <v>1.35E-2</v>
      </c>
      <c r="J256" s="34">
        <v>105010</v>
      </c>
      <c r="K256" s="38">
        <v>43157</v>
      </c>
      <c r="L256" s="35">
        <v>0.37847222222222227</v>
      </c>
      <c r="M256" s="40">
        <f>IF(J256="","",C256*(J256-D256)*S256)</f>
        <v>-720</v>
      </c>
      <c r="N256" s="34"/>
      <c r="O256" s="34"/>
      <c r="P256" s="37"/>
      <c r="Q256" s="37"/>
      <c r="R256" s="37"/>
      <c r="S256">
        <f>IF(B256="","",VLOOKUP(Cmt(B256),Sheet2!A:B,2,FALSE))</f>
        <v>1</v>
      </c>
      <c r="T256" s="39">
        <f t="shared" si="112"/>
        <v>9670000</v>
      </c>
      <c r="U256" s="13">
        <f t="shared" si="110"/>
        <v>8.2806850618458618</v>
      </c>
      <c r="W256" s="11"/>
    </row>
    <row r="257" spans="1:23">
      <c r="A257" s="2">
        <v>43157</v>
      </c>
      <c r="B257" s="1" t="s">
        <v>305</v>
      </c>
      <c r="C257" s="1">
        <v>12</v>
      </c>
      <c r="D257" s="1">
        <v>2984</v>
      </c>
      <c r="E257" s="2">
        <v>43154</v>
      </c>
      <c r="F257" s="26">
        <v>0.88611111111111107</v>
      </c>
      <c r="G257" s="17">
        <v>1.7000000000000001E-2</v>
      </c>
      <c r="H257" s="52">
        <v>0.33333333333333331</v>
      </c>
      <c r="I257" s="17">
        <f t="shared" si="102"/>
        <v>5.6666666666666671E-3</v>
      </c>
      <c r="J257" s="1">
        <v>2971</v>
      </c>
      <c r="K257" s="2">
        <v>43158</v>
      </c>
      <c r="L257" s="26">
        <v>0.46388888888888885</v>
      </c>
      <c r="M257" s="16">
        <f t="shared" si="103"/>
        <v>-1560</v>
      </c>
      <c r="S257">
        <f>IF(B257="","",VLOOKUP(Cmt(B257),Sheet2!A:B,2,FALSE))</f>
        <v>10</v>
      </c>
      <c r="T257" s="39">
        <f t="shared" si="112"/>
        <v>9670000</v>
      </c>
      <c r="U257" s="13">
        <f t="shared" si="110"/>
        <v>12.242329460828122</v>
      </c>
      <c r="W257" s="11"/>
    </row>
    <row r="258" spans="1:23">
      <c r="B258" s="1" t="s">
        <v>306</v>
      </c>
      <c r="C258" s="1">
        <v>20</v>
      </c>
      <c r="D258" s="1">
        <v>2479</v>
      </c>
      <c r="E258" s="2">
        <v>43154</v>
      </c>
      <c r="F258" s="26">
        <v>0.88611111111111107</v>
      </c>
      <c r="G258" s="17">
        <v>8.0000000000000002E-3</v>
      </c>
      <c r="H258" s="52">
        <v>1</v>
      </c>
      <c r="I258" s="17">
        <f t="shared" si="102"/>
        <v>8.0000000000000002E-3</v>
      </c>
      <c r="J258" s="1">
        <v>2461</v>
      </c>
      <c r="K258" s="2">
        <v>43158</v>
      </c>
      <c r="L258" s="26">
        <v>0.38055555555555554</v>
      </c>
      <c r="M258" s="16">
        <f t="shared" si="103"/>
        <v>-3600</v>
      </c>
      <c r="S258">
        <f>IF(B258="","",VLOOKUP(Cmt(B258),Sheet2!A:B,2,FALSE))</f>
        <v>10</v>
      </c>
      <c r="T258" s="39">
        <f t="shared" si="112"/>
        <v>9670000</v>
      </c>
      <c r="U258" s="13">
        <f t="shared" si="110"/>
        <v>20.804087669759312</v>
      </c>
      <c r="W258" s="11"/>
    </row>
    <row r="259" spans="1:23">
      <c r="B259" s="3" t="s">
        <v>307</v>
      </c>
      <c r="C259" s="3">
        <v>9</v>
      </c>
      <c r="D259" s="3">
        <v>1419</v>
      </c>
      <c r="E259" s="19">
        <v>43154</v>
      </c>
      <c r="F259" s="31">
        <v>0.93194444444444446</v>
      </c>
      <c r="G259" s="18">
        <v>2.4E-2</v>
      </c>
      <c r="H259" s="51">
        <v>0.5</v>
      </c>
      <c r="I259" s="18">
        <f t="shared" si="102"/>
        <v>1.2E-2</v>
      </c>
      <c r="J259" s="3">
        <v>1409</v>
      </c>
      <c r="K259" s="19">
        <v>43157</v>
      </c>
      <c r="L259" s="31">
        <v>0.88750000000000007</v>
      </c>
      <c r="M259" s="14">
        <f t="shared" si="103"/>
        <v>-5400</v>
      </c>
      <c r="N259" s="3"/>
      <c r="O259" s="3"/>
      <c r="P259" s="4"/>
      <c r="Q259" s="4"/>
      <c r="R259" s="4"/>
      <c r="S259">
        <f>IF(B259="","",VLOOKUP(Cmt(B259),Sheet2!A:B,2,FALSE))</f>
        <v>60</v>
      </c>
      <c r="T259" s="39">
        <f t="shared" si="112"/>
        <v>9670000</v>
      </c>
      <c r="U259" s="13">
        <f t="shared" si="110"/>
        <v>9.0862109466760632</v>
      </c>
      <c r="W259" s="11"/>
    </row>
    <row r="260" spans="1:23">
      <c r="B260" s="1" t="s">
        <v>308</v>
      </c>
      <c r="C260" s="1">
        <v>4</v>
      </c>
      <c r="D260" s="1">
        <v>53550</v>
      </c>
      <c r="E260" s="2">
        <v>43157</v>
      </c>
      <c r="F260" s="26">
        <v>0.37986111111111115</v>
      </c>
      <c r="G260" s="17">
        <v>3.1E-2</v>
      </c>
      <c r="H260" s="52">
        <v>0.5</v>
      </c>
      <c r="I260" s="17">
        <f t="shared" si="102"/>
        <v>1.55E-2</v>
      </c>
      <c r="J260" s="1">
        <v>53390</v>
      </c>
      <c r="K260" s="2">
        <v>43158</v>
      </c>
      <c r="L260" s="26">
        <v>0.38125000000000003</v>
      </c>
      <c r="M260" s="16">
        <f t="shared" si="103"/>
        <v>-3200</v>
      </c>
      <c r="S260">
        <f>IF(B260="","",VLOOKUP(Cmt(B260),Sheet2!A:B,2,FALSE))</f>
        <v>5</v>
      </c>
      <c r="T260" s="39">
        <f t="shared" si="112"/>
        <v>9670000</v>
      </c>
      <c r="U260" s="13">
        <f t="shared" si="110"/>
        <v>3.7319638966697792</v>
      </c>
      <c r="W260" s="11"/>
    </row>
    <row r="261" spans="1:23">
      <c r="B261" s="1" t="s">
        <v>309</v>
      </c>
      <c r="C261" s="1">
        <v>21</v>
      </c>
      <c r="D261" s="1">
        <v>2143</v>
      </c>
      <c r="E261" s="2">
        <v>43157</v>
      </c>
      <c r="F261" s="26">
        <v>0.37986111111111115</v>
      </c>
      <c r="G261" s="17">
        <v>2.1000000000000001E-2</v>
      </c>
      <c r="H261" s="52">
        <v>0.33333333333333331</v>
      </c>
      <c r="I261" s="17">
        <f t="shared" si="102"/>
        <v>7.0000000000000001E-3</v>
      </c>
      <c r="J261" s="1">
        <v>2170</v>
      </c>
      <c r="K261" s="2">
        <v>43158</v>
      </c>
      <c r="L261" s="26">
        <v>0.56666666666666665</v>
      </c>
      <c r="M261" s="16">
        <f t="shared" si="103"/>
        <v>5670</v>
      </c>
      <c r="S261">
        <f>IF(B261="","",VLOOKUP(Cmt(B261),Sheet2!A:B,2,FALSE))</f>
        <v>10</v>
      </c>
      <c r="T261" s="39">
        <f t="shared" si="112"/>
        <v>9670000</v>
      </c>
      <c r="U261" s="13">
        <f t="shared" si="110"/>
        <v>21.057707263960179</v>
      </c>
      <c r="W261" s="11"/>
    </row>
    <row r="262" spans="1:23">
      <c r="B262" s="1" t="s">
        <v>310</v>
      </c>
      <c r="C262" s="1">
        <v>21</v>
      </c>
      <c r="D262" s="1">
        <v>4038</v>
      </c>
      <c r="E262" s="2">
        <v>43157</v>
      </c>
      <c r="F262" s="26">
        <v>0.37986111111111115</v>
      </c>
      <c r="G262" s="17">
        <v>2.7E-2</v>
      </c>
      <c r="H262" s="52">
        <v>0.5</v>
      </c>
      <c r="I262" s="17">
        <f t="shared" si="102"/>
        <v>1.35E-2</v>
      </c>
      <c r="J262" s="1">
        <v>4019</v>
      </c>
      <c r="K262" s="2">
        <v>43158</v>
      </c>
      <c r="L262" s="26">
        <v>0.38125000000000003</v>
      </c>
      <c r="M262" s="16">
        <f t="shared" si="103"/>
        <v>-3990</v>
      </c>
      <c r="S262">
        <f>IF(B262="","",VLOOKUP(Cmt(B262),Sheet2!A:B,2,FALSE))</f>
        <v>10</v>
      </c>
      <c r="T262" s="39">
        <f t="shared" si="112"/>
        <v>9670000</v>
      </c>
      <c r="U262" s="13">
        <f t="shared" si="110"/>
        <v>21.552748885586926</v>
      </c>
      <c r="W262" s="11"/>
    </row>
    <row r="263" spans="1:23">
      <c r="B263" s="1" t="s">
        <v>311</v>
      </c>
      <c r="C263" s="1">
        <v>9</v>
      </c>
      <c r="D263" s="1">
        <v>5838</v>
      </c>
      <c r="E263" s="2">
        <v>43157</v>
      </c>
      <c r="F263" s="26">
        <v>0.37986111111111115</v>
      </c>
      <c r="G263" s="17">
        <v>1.2E-2</v>
      </c>
      <c r="H263" s="52">
        <v>0.33333333333333331</v>
      </c>
      <c r="I263" s="17">
        <f t="shared" si="102"/>
        <v>4.0000000000000001E-3</v>
      </c>
      <c r="M263" s="16" t="str">
        <f t="shared" si="103"/>
        <v/>
      </c>
      <c r="S263">
        <f>IF(B263="","",VLOOKUP(Cmt(B263),Sheet2!A:B,2,FALSE))</f>
        <v>5</v>
      </c>
      <c r="T263" s="39">
        <f t="shared" si="112"/>
        <v>9670000</v>
      </c>
      <c r="U263" s="13">
        <f t="shared" si="110"/>
        <v>8.8340755966655244</v>
      </c>
      <c r="W263" s="11"/>
    </row>
    <row r="264" spans="1:23">
      <c r="B264" s="1" t="s">
        <v>312</v>
      </c>
      <c r="C264" s="1">
        <v>20</v>
      </c>
      <c r="D264" s="1">
        <v>4074</v>
      </c>
      <c r="E264" s="2">
        <v>43157</v>
      </c>
      <c r="F264" s="26">
        <v>0.42152777777777778</v>
      </c>
      <c r="G264" s="17">
        <v>2.5999999999999999E-2</v>
      </c>
      <c r="H264" s="52">
        <v>0.5</v>
      </c>
      <c r="I264" s="17">
        <f t="shared" si="102"/>
        <v>1.2999999999999999E-2</v>
      </c>
      <c r="J264" s="1">
        <v>4056</v>
      </c>
      <c r="K264" s="2">
        <v>43158</v>
      </c>
      <c r="L264" s="26">
        <v>0.46388888888888885</v>
      </c>
      <c r="M264" s="16">
        <f t="shared" si="103"/>
        <v>-3600</v>
      </c>
      <c r="S264">
        <f>IF(B264="","",VLOOKUP(Cmt(B264),Sheet2!A:B,2,FALSE))</f>
        <v>10</v>
      </c>
      <c r="T264" s="39">
        <f t="shared" si="112"/>
        <v>9670000</v>
      </c>
      <c r="U264" s="13">
        <f t="shared" si="110"/>
        <v>20.571101292750779</v>
      </c>
      <c r="W264" s="11"/>
    </row>
    <row r="265" spans="1:23">
      <c r="B265" s="1" t="s">
        <v>313</v>
      </c>
      <c r="C265" s="1">
        <v>7</v>
      </c>
      <c r="D265" s="1">
        <v>105400</v>
      </c>
      <c r="E265" s="2">
        <v>43157</v>
      </c>
      <c r="F265" s="26">
        <v>0.59722222222222221</v>
      </c>
      <c r="G265" s="17">
        <v>2.5000000000000001E-2</v>
      </c>
      <c r="H265" s="52">
        <v>0.5</v>
      </c>
      <c r="I265" s="17">
        <f t="shared" si="102"/>
        <v>1.2500000000000001E-2</v>
      </c>
      <c r="J265" s="1">
        <v>105290</v>
      </c>
      <c r="K265" s="2">
        <v>43158</v>
      </c>
      <c r="L265" s="26">
        <v>0.38055555555555554</v>
      </c>
      <c r="M265" s="16">
        <f>IF(J265="","",C265*(J265-D265)*S265)</f>
        <v>-770</v>
      </c>
      <c r="S265">
        <f>IF(B265="","",VLOOKUP(Cmt(B265),Sheet2!A:B,2,FALSE))</f>
        <v>1</v>
      </c>
      <c r="T265" s="39">
        <f t="shared" si="112"/>
        <v>9670000</v>
      </c>
      <c r="U265" s="13">
        <f t="shared" si="110"/>
        <v>7.6454775458570525</v>
      </c>
      <c r="W265" s="11"/>
    </row>
    <row r="266" spans="1:23">
      <c r="A266" s="3"/>
      <c r="B266" s="3" t="s">
        <v>314</v>
      </c>
      <c r="C266" s="3">
        <v>-13</v>
      </c>
      <c r="D266" s="3">
        <v>2708</v>
      </c>
      <c r="E266" s="19">
        <v>43157</v>
      </c>
      <c r="F266" s="31">
        <v>0.61944444444444446</v>
      </c>
      <c r="G266" s="18">
        <v>1.7000000000000001E-2</v>
      </c>
      <c r="H266" s="51">
        <v>0.33333333333333331</v>
      </c>
      <c r="I266" s="18">
        <f t="shared" si="102"/>
        <v>5.6666666666666671E-3</v>
      </c>
      <c r="J266" s="3">
        <v>2676</v>
      </c>
      <c r="K266" s="19">
        <v>43159</v>
      </c>
      <c r="L266" s="31">
        <v>0.38541666666666669</v>
      </c>
      <c r="M266" s="14">
        <f t="shared" si="103"/>
        <v>4160</v>
      </c>
      <c r="N266" s="3"/>
      <c r="O266" s="3"/>
      <c r="P266" s="4"/>
      <c r="Q266" s="4"/>
      <c r="R266" s="4"/>
      <c r="S266">
        <f>IF(B266="","",VLOOKUP(Cmt(B266),Sheet2!A:B,2,FALSE))</f>
        <v>10</v>
      </c>
      <c r="T266" s="39">
        <f t="shared" si="112"/>
        <v>9670000</v>
      </c>
      <c r="U266" s="13">
        <f t="shared" si="110"/>
        <v>13.490070572788447</v>
      </c>
      <c r="W266" s="11"/>
    </row>
    <row r="267" spans="1:23">
      <c r="A267" s="21">
        <v>43159</v>
      </c>
      <c r="B267" s="13" t="s">
        <v>315</v>
      </c>
      <c r="C267" s="13">
        <v>-2</v>
      </c>
      <c r="D267" s="13">
        <v>272.3</v>
      </c>
      <c r="E267" s="21">
        <v>43159</v>
      </c>
      <c r="F267" s="33">
        <v>0.40069444444444446</v>
      </c>
      <c r="G267" s="20">
        <v>1.2E-2</v>
      </c>
      <c r="H267" s="54">
        <v>0.5</v>
      </c>
      <c r="I267" s="20">
        <f t="shared" si="102"/>
        <v>6.0000000000000001E-3</v>
      </c>
      <c r="J267" s="13">
        <v>272.3</v>
      </c>
      <c r="K267" s="21">
        <v>43159</v>
      </c>
      <c r="L267" s="33">
        <v>0.8833333333333333</v>
      </c>
      <c r="M267" s="16">
        <f t="shared" si="103"/>
        <v>0</v>
      </c>
      <c r="N267" s="13"/>
      <c r="O267" s="13"/>
      <c r="P267" s="22"/>
      <c r="Q267" s="22"/>
      <c r="R267" s="22"/>
      <c r="S267">
        <f>IF(B267="","",VLOOKUP(Cmt(B267),Sheet2!A:B,2,FALSE))</f>
        <v>1000</v>
      </c>
      <c r="T267" s="39">
        <f t="shared" si="112"/>
        <v>9670000</v>
      </c>
      <c r="U267" s="13">
        <f t="shared" si="110"/>
        <v>1.4204921042967316</v>
      </c>
      <c r="W267" s="11"/>
    </row>
    <row r="268" spans="1:23">
      <c r="A268" s="19"/>
      <c r="B268" s="3" t="s">
        <v>325</v>
      </c>
      <c r="C268" s="3">
        <v>-13</v>
      </c>
      <c r="D268" s="3">
        <v>2661</v>
      </c>
      <c r="E268" s="19">
        <v>43160</v>
      </c>
      <c r="F268" s="31">
        <v>0.56597222222222221</v>
      </c>
      <c r="G268" s="18">
        <v>1.7000000000000001E-2</v>
      </c>
      <c r="H268" s="51">
        <v>0.33333333333333331</v>
      </c>
      <c r="I268" s="18">
        <f t="shared" si="102"/>
        <v>5.6666666666666671E-3</v>
      </c>
      <c r="J268" s="3"/>
      <c r="K268" s="3"/>
      <c r="L268" s="3"/>
      <c r="M268" s="14" t="str">
        <f t="shared" si="103"/>
        <v/>
      </c>
      <c r="N268" s="3"/>
      <c r="O268" s="3"/>
      <c r="P268" s="4"/>
      <c r="Q268" s="4"/>
      <c r="R268" s="4"/>
      <c r="S268">
        <f>IF(B268="","",VLOOKUP(Cmt(B268),Sheet2!A:B,2,FALSE))</f>
        <v>10</v>
      </c>
      <c r="T268" s="39">
        <f>IF(S268="","",T267)</f>
        <v>9670000</v>
      </c>
      <c r="U268" s="13">
        <f t="shared" si="110"/>
        <v>13.728339387865883</v>
      </c>
      <c r="W268" s="11"/>
    </row>
    <row r="269" spans="1:23">
      <c r="A269" s="2">
        <v>43160</v>
      </c>
      <c r="B269" s="1" t="s">
        <v>326</v>
      </c>
      <c r="C269" s="1">
        <v>-2</v>
      </c>
      <c r="D269" s="1">
        <v>272.10000000000002</v>
      </c>
      <c r="E269" s="2">
        <v>43160</v>
      </c>
      <c r="F269" s="26">
        <v>0.37847222222222227</v>
      </c>
      <c r="G269" s="17">
        <v>1.2E-2</v>
      </c>
      <c r="H269" s="52">
        <v>0.5</v>
      </c>
      <c r="I269" s="17">
        <f t="shared" si="102"/>
        <v>6.0000000000000001E-3</v>
      </c>
      <c r="M269" s="16" t="str">
        <f t="shared" si="103"/>
        <v/>
      </c>
      <c r="S269">
        <f>IF(B269="","",VLOOKUP(Cmt(B269),Sheet2!A:B,2,FALSE))</f>
        <v>1000</v>
      </c>
      <c r="T269" s="39">
        <f t="shared" si="112"/>
        <v>9670000</v>
      </c>
      <c r="U269" s="13">
        <f t="shared" si="110"/>
        <v>1.4215361999264977</v>
      </c>
      <c r="W269" s="11"/>
    </row>
    <row r="270" spans="1:23">
      <c r="I270" s="17" t="str">
        <f t="shared" si="102"/>
        <v/>
      </c>
      <c r="M270" s="16" t="str">
        <f t="shared" si="103"/>
        <v/>
      </c>
      <c r="S270" t="str">
        <f>IF(B270="","",VLOOKUP(Cmt(B270),Sheet2!A:B,2,FALSE))</f>
        <v/>
      </c>
      <c r="T270" s="39" t="str">
        <f t="shared" si="112"/>
        <v/>
      </c>
      <c r="U270" s="13" t="str">
        <f t="shared" si="110"/>
        <v/>
      </c>
      <c r="W270" s="11"/>
    </row>
    <row r="271" spans="1:23">
      <c r="I271" s="17" t="str">
        <f t="shared" si="102"/>
        <v/>
      </c>
      <c r="M271" s="16" t="str">
        <f t="shared" si="103"/>
        <v/>
      </c>
      <c r="S271" t="str">
        <f>IF(B271="","",VLOOKUP(Cmt(B271),Sheet2!A:B,2,FALSE))</f>
        <v/>
      </c>
      <c r="T271" s="39" t="str">
        <f t="shared" si="112"/>
        <v/>
      </c>
      <c r="U271" s="13" t="str">
        <f t="shared" si="110"/>
        <v/>
      </c>
      <c r="W271" s="11"/>
    </row>
    <row r="272" spans="1:23">
      <c r="I272" s="17" t="str">
        <f t="shared" si="102"/>
        <v/>
      </c>
      <c r="M272" s="16" t="str">
        <f t="shared" si="103"/>
        <v/>
      </c>
      <c r="S272" t="str">
        <f>IF(B272="","",VLOOKUP(Cmt(B272),Sheet2!A:B,2,FALSE))</f>
        <v/>
      </c>
      <c r="T272" s="39" t="str">
        <f t="shared" si="112"/>
        <v/>
      </c>
      <c r="U272" s="13" t="str">
        <f t="shared" si="110"/>
        <v/>
      </c>
      <c r="W272" s="11"/>
    </row>
    <row r="273" spans="9:23">
      <c r="I273" s="17" t="str">
        <f t="shared" si="102"/>
        <v/>
      </c>
      <c r="M273" s="16" t="str">
        <f t="shared" si="103"/>
        <v/>
      </c>
      <c r="S273" t="str">
        <f>IF(B273="","",VLOOKUP(Cmt(B273),Sheet2!A:B,2,FALSE))</f>
        <v/>
      </c>
      <c r="T273" s="39" t="str">
        <f t="shared" si="112"/>
        <v/>
      </c>
      <c r="U273" s="13" t="str">
        <f t="shared" si="110"/>
        <v/>
      </c>
      <c r="W273" s="11"/>
    </row>
    <row r="274" spans="9:23">
      <c r="I274" s="17" t="str">
        <f t="shared" si="102"/>
        <v/>
      </c>
      <c r="M274" s="16" t="str">
        <f t="shared" si="103"/>
        <v/>
      </c>
      <c r="S274" t="str">
        <f>IF(B274="","",VLOOKUP(Cmt(B274),Sheet2!A:B,2,FALSE))</f>
        <v/>
      </c>
      <c r="T274" s="39" t="str">
        <f t="shared" si="112"/>
        <v/>
      </c>
      <c r="U274" s="13" t="str">
        <f t="shared" si="110"/>
        <v/>
      </c>
      <c r="W274" s="11"/>
    </row>
    <row r="275" spans="9:23">
      <c r="I275" s="17" t="str">
        <f t="shared" ref="I275:I338" si="118">IF(G275="","",G275*H275)</f>
        <v/>
      </c>
      <c r="M275" s="16" t="str">
        <f t="shared" si="103"/>
        <v/>
      </c>
      <c r="S275" t="str">
        <f>IF(B275="","",VLOOKUP(Cmt(B275),Sheet2!A:B,2,FALSE))</f>
        <v/>
      </c>
      <c r="T275" s="39" t="str">
        <f t="shared" si="112"/>
        <v/>
      </c>
      <c r="U275" s="13" t="str">
        <f t="shared" si="110"/>
        <v/>
      </c>
      <c r="W275" s="11"/>
    </row>
    <row r="276" spans="9:23">
      <c r="I276" s="17" t="str">
        <f t="shared" si="118"/>
        <v/>
      </c>
      <c r="M276" s="16" t="str">
        <f t="shared" ref="M276:M339" si="119">IF(J276="","",C276*(J276-D276)*S276)</f>
        <v/>
      </c>
      <c r="S276" t="str">
        <f>IF(B276="","",VLOOKUP(Cmt(B276),Sheet2!A:B,2,FALSE))</f>
        <v/>
      </c>
      <c r="T276" s="39" t="str">
        <f t="shared" si="112"/>
        <v/>
      </c>
      <c r="U276" s="13" t="str">
        <f t="shared" si="110"/>
        <v/>
      </c>
      <c r="W276" s="11"/>
    </row>
    <row r="277" spans="9:23">
      <c r="I277" s="17" t="str">
        <f t="shared" si="118"/>
        <v/>
      </c>
      <c r="M277" s="16" t="str">
        <f t="shared" si="119"/>
        <v/>
      </c>
      <c r="S277" t="str">
        <f>IF(B277="","",VLOOKUP(Cmt(B277),Sheet2!A:B,2,FALSE))</f>
        <v/>
      </c>
      <c r="T277" s="39" t="str">
        <f t="shared" si="112"/>
        <v/>
      </c>
      <c r="U277" s="13" t="str">
        <f t="shared" si="110"/>
        <v/>
      </c>
      <c r="W277" s="11"/>
    </row>
    <row r="278" spans="9:23">
      <c r="I278" s="17" t="str">
        <f t="shared" si="118"/>
        <v/>
      </c>
      <c r="M278" s="16" t="str">
        <f t="shared" si="119"/>
        <v/>
      </c>
      <c r="S278" t="str">
        <f>IF(B278="","",VLOOKUP(Cmt(B278),Sheet2!A:B,2,FALSE))</f>
        <v/>
      </c>
      <c r="T278" s="39" t="str">
        <f t="shared" si="112"/>
        <v/>
      </c>
      <c r="U278" s="13" t="str">
        <f t="shared" si="110"/>
        <v/>
      </c>
      <c r="W278" s="11"/>
    </row>
    <row r="279" spans="9:23">
      <c r="I279" s="17" t="str">
        <f t="shared" si="118"/>
        <v/>
      </c>
      <c r="M279" s="16" t="str">
        <f t="shared" si="119"/>
        <v/>
      </c>
      <c r="S279" t="str">
        <f>IF(B279="","",VLOOKUP(Cmt(B279),Sheet2!A:B,2,FALSE))</f>
        <v/>
      </c>
      <c r="T279" s="39" t="str">
        <f t="shared" si="112"/>
        <v/>
      </c>
      <c r="U279" s="13" t="str">
        <f t="shared" si="110"/>
        <v/>
      </c>
      <c r="W279" s="11"/>
    </row>
    <row r="280" spans="9:23">
      <c r="I280" s="17" t="str">
        <f t="shared" si="118"/>
        <v/>
      </c>
      <c r="M280" s="16" t="str">
        <f t="shared" si="119"/>
        <v/>
      </c>
      <c r="S280" t="str">
        <f>IF(B280="","",VLOOKUP(Cmt(B280),Sheet2!A:B,2,FALSE))</f>
        <v/>
      </c>
      <c r="T280" s="39" t="str">
        <f t="shared" si="112"/>
        <v/>
      </c>
      <c r="U280" s="13" t="str">
        <f t="shared" si="110"/>
        <v/>
      </c>
      <c r="W280" s="11"/>
    </row>
    <row r="281" spans="9:23">
      <c r="I281" s="17" t="str">
        <f t="shared" si="118"/>
        <v/>
      </c>
      <c r="M281" s="16" t="str">
        <f t="shared" si="119"/>
        <v/>
      </c>
      <c r="S281" t="str">
        <f>IF(B281="","",VLOOKUP(Cmt(B281),Sheet2!A:B,2,FALSE))</f>
        <v/>
      </c>
      <c r="T281" s="39" t="str">
        <f t="shared" si="112"/>
        <v/>
      </c>
      <c r="U281" s="13" t="str">
        <f t="shared" si="110"/>
        <v/>
      </c>
      <c r="W281" s="11"/>
    </row>
    <row r="282" spans="9:23">
      <c r="I282" s="17" t="str">
        <f t="shared" si="118"/>
        <v/>
      </c>
      <c r="M282" s="16" t="str">
        <f t="shared" si="119"/>
        <v/>
      </c>
      <c r="S282" t="str">
        <f>IF(B282="","",VLOOKUP(Cmt(B282),Sheet2!A:B,2,FALSE))</f>
        <v/>
      </c>
      <c r="T282" s="39" t="str">
        <f t="shared" si="112"/>
        <v/>
      </c>
      <c r="U282" s="13" t="str">
        <f t="shared" si="110"/>
        <v/>
      </c>
      <c r="W282" s="11"/>
    </row>
    <row r="283" spans="9:23">
      <c r="I283" s="17" t="str">
        <f t="shared" si="118"/>
        <v/>
      </c>
      <c r="M283" s="16" t="str">
        <f t="shared" si="119"/>
        <v/>
      </c>
      <c r="S283" t="str">
        <f>IF(B283="","",VLOOKUP(Cmt(B283),Sheet2!A:B,2,FALSE))</f>
        <v/>
      </c>
      <c r="T283" s="39" t="str">
        <f t="shared" si="112"/>
        <v/>
      </c>
      <c r="U283" s="13" t="str">
        <f t="shared" si="110"/>
        <v/>
      </c>
      <c r="W283" s="11"/>
    </row>
    <row r="284" spans="9:23">
      <c r="I284" s="17" t="str">
        <f t="shared" si="118"/>
        <v/>
      </c>
      <c r="M284" s="16" t="str">
        <f t="shared" si="119"/>
        <v/>
      </c>
      <c r="S284" t="str">
        <f>IF(B284="","",VLOOKUP(Cmt(B284),Sheet2!A:B,2,FALSE))</f>
        <v/>
      </c>
      <c r="T284" s="39" t="str">
        <f t="shared" si="112"/>
        <v/>
      </c>
      <c r="U284" s="13" t="str">
        <f t="shared" ref="U284:U347" si="120">IF(S284="","",T284*I284/(D284*S284*0.15))</f>
        <v/>
      </c>
      <c r="W284" s="11"/>
    </row>
    <row r="285" spans="9:23">
      <c r="I285" s="17" t="str">
        <f t="shared" si="118"/>
        <v/>
      </c>
      <c r="M285" s="16" t="str">
        <f t="shared" si="119"/>
        <v/>
      </c>
      <c r="S285" t="str">
        <f>IF(B285="","",VLOOKUP(Cmt(B285),Sheet2!A:B,2,FALSE))</f>
        <v/>
      </c>
      <c r="T285" s="39" t="str">
        <f t="shared" si="112"/>
        <v/>
      </c>
      <c r="U285" s="13" t="str">
        <f t="shared" si="120"/>
        <v/>
      </c>
      <c r="W285" s="11"/>
    </row>
    <row r="286" spans="9:23">
      <c r="I286" s="17" t="str">
        <f t="shared" si="118"/>
        <v/>
      </c>
      <c r="M286" s="16" t="str">
        <f t="shared" si="119"/>
        <v/>
      </c>
      <c r="S286" t="str">
        <f>IF(B286="","",VLOOKUP(Cmt(B286),Sheet2!A:B,2,FALSE))</f>
        <v/>
      </c>
      <c r="T286" s="39" t="str">
        <f t="shared" ref="T286:T349" si="121">IF(S286="","",T285)</f>
        <v/>
      </c>
      <c r="U286" s="13" t="str">
        <f t="shared" si="120"/>
        <v/>
      </c>
      <c r="W286" s="11"/>
    </row>
    <row r="287" spans="9:23">
      <c r="I287" s="17" t="str">
        <f t="shared" si="118"/>
        <v/>
      </c>
      <c r="M287" s="16" t="str">
        <f t="shared" si="119"/>
        <v/>
      </c>
      <c r="S287" t="str">
        <f>IF(B287="","",VLOOKUP(Cmt(B287),Sheet2!A:B,2,FALSE))</f>
        <v/>
      </c>
      <c r="T287" s="39" t="str">
        <f t="shared" si="121"/>
        <v/>
      </c>
      <c r="U287" s="13" t="str">
        <f t="shared" si="120"/>
        <v/>
      </c>
      <c r="W287" s="11"/>
    </row>
    <row r="288" spans="9:23">
      <c r="I288" s="17" t="str">
        <f t="shared" si="118"/>
        <v/>
      </c>
      <c r="M288" s="16" t="str">
        <f t="shared" si="119"/>
        <v/>
      </c>
      <c r="S288" t="str">
        <f>IF(B288="","",VLOOKUP(Cmt(B288),Sheet2!A:B,2,FALSE))</f>
        <v/>
      </c>
      <c r="T288" s="39" t="str">
        <f t="shared" si="121"/>
        <v/>
      </c>
      <c r="U288" s="13" t="str">
        <f t="shared" si="120"/>
        <v/>
      </c>
      <c r="W288" s="11"/>
    </row>
    <row r="289" spans="9:23">
      <c r="I289" s="17" t="str">
        <f t="shared" si="118"/>
        <v/>
      </c>
      <c r="M289" s="16" t="str">
        <f t="shared" si="119"/>
        <v/>
      </c>
      <c r="S289" t="str">
        <f>IF(B289="","",VLOOKUP(Cmt(B289),Sheet2!A:B,2,FALSE))</f>
        <v/>
      </c>
      <c r="T289" s="39" t="str">
        <f t="shared" si="121"/>
        <v/>
      </c>
      <c r="U289" s="13" t="str">
        <f t="shared" si="120"/>
        <v/>
      </c>
      <c r="W289" s="11"/>
    </row>
    <row r="290" spans="9:23">
      <c r="I290" s="17" t="str">
        <f t="shared" si="118"/>
        <v/>
      </c>
      <c r="M290" s="16" t="str">
        <f t="shared" si="119"/>
        <v/>
      </c>
      <c r="S290" t="str">
        <f>IF(B290="","",VLOOKUP(Cmt(B290),Sheet2!A:B,2,FALSE))</f>
        <v/>
      </c>
      <c r="T290" s="39" t="str">
        <f t="shared" si="121"/>
        <v/>
      </c>
      <c r="U290" s="13" t="str">
        <f t="shared" si="120"/>
        <v/>
      </c>
      <c r="W290" s="11"/>
    </row>
    <row r="291" spans="9:23">
      <c r="I291" s="17" t="str">
        <f t="shared" si="118"/>
        <v/>
      </c>
      <c r="M291" s="16" t="str">
        <f t="shared" si="119"/>
        <v/>
      </c>
      <c r="S291" t="str">
        <f>IF(B291="","",VLOOKUP(Cmt(B291),Sheet2!A:B,2,FALSE))</f>
        <v/>
      </c>
      <c r="T291" s="39" t="str">
        <f t="shared" si="121"/>
        <v/>
      </c>
      <c r="U291" s="13" t="str">
        <f t="shared" si="120"/>
        <v/>
      </c>
      <c r="W291" s="11"/>
    </row>
    <row r="292" spans="9:23">
      <c r="I292" s="17" t="str">
        <f t="shared" si="118"/>
        <v/>
      </c>
      <c r="M292" s="16" t="str">
        <f t="shared" si="119"/>
        <v/>
      </c>
      <c r="S292" t="str">
        <f>IF(B292="","",VLOOKUP(Cmt(B292),Sheet2!A:B,2,FALSE))</f>
        <v/>
      </c>
      <c r="T292" s="39" t="str">
        <f t="shared" si="121"/>
        <v/>
      </c>
      <c r="U292" s="13" t="str">
        <f t="shared" si="120"/>
        <v/>
      </c>
      <c r="W292" s="11"/>
    </row>
    <row r="293" spans="9:23">
      <c r="I293" s="17" t="str">
        <f t="shared" si="118"/>
        <v/>
      </c>
      <c r="M293" s="16" t="str">
        <f t="shared" si="119"/>
        <v/>
      </c>
      <c r="S293" t="str">
        <f>IF(B293="","",VLOOKUP(Cmt(B293),Sheet2!A:B,2,FALSE))</f>
        <v/>
      </c>
      <c r="T293" s="39" t="str">
        <f t="shared" si="121"/>
        <v/>
      </c>
      <c r="U293" s="13" t="str">
        <f t="shared" si="120"/>
        <v/>
      </c>
      <c r="W293" s="11"/>
    </row>
    <row r="294" spans="9:23">
      <c r="I294" s="17" t="str">
        <f t="shared" si="118"/>
        <v/>
      </c>
      <c r="M294" s="16" t="str">
        <f t="shared" si="119"/>
        <v/>
      </c>
      <c r="S294" t="str">
        <f>IF(B294="","",VLOOKUP(Cmt(B294),Sheet2!A:B,2,FALSE))</f>
        <v/>
      </c>
      <c r="T294" s="39" t="str">
        <f t="shared" si="121"/>
        <v/>
      </c>
      <c r="U294" s="13" t="str">
        <f t="shared" si="120"/>
        <v/>
      </c>
      <c r="W294" s="11"/>
    </row>
    <row r="295" spans="9:23">
      <c r="I295" s="17" t="str">
        <f t="shared" si="118"/>
        <v/>
      </c>
      <c r="M295" s="16" t="str">
        <f t="shared" si="119"/>
        <v/>
      </c>
      <c r="S295" t="str">
        <f>IF(B295="","",VLOOKUP(Cmt(B295),Sheet2!A:B,2,FALSE))</f>
        <v/>
      </c>
      <c r="T295" s="39" t="str">
        <f t="shared" si="121"/>
        <v/>
      </c>
      <c r="U295" s="13" t="str">
        <f t="shared" si="120"/>
        <v/>
      </c>
      <c r="W295" s="11"/>
    </row>
    <row r="296" spans="9:23">
      <c r="I296" s="17" t="str">
        <f t="shared" si="118"/>
        <v/>
      </c>
      <c r="M296" s="16" t="str">
        <f t="shared" si="119"/>
        <v/>
      </c>
      <c r="S296" t="str">
        <f>IF(B296="","",VLOOKUP(Cmt(B296),Sheet2!A:B,2,FALSE))</f>
        <v/>
      </c>
      <c r="T296" s="39" t="str">
        <f t="shared" si="121"/>
        <v/>
      </c>
      <c r="U296" s="13" t="str">
        <f t="shared" si="120"/>
        <v/>
      </c>
      <c r="W296" s="11"/>
    </row>
    <row r="297" spans="9:23">
      <c r="I297" s="17" t="str">
        <f t="shared" si="118"/>
        <v/>
      </c>
      <c r="M297" s="16" t="str">
        <f t="shared" si="119"/>
        <v/>
      </c>
      <c r="S297" t="str">
        <f>IF(B297="","",VLOOKUP(Cmt(B297),Sheet2!A:B,2,FALSE))</f>
        <v/>
      </c>
      <c r="T297" s="39" t="str">
        <f t="shared" si="121"/>
        <v/>
      </c>
      <c r="U297" s="13" t="str">
        <f t="shared" si="120"/>
        <v/>
      </c>
      <c r="W297" s="11"/>
    </row>
    <row r="298" spans="9:23">
      <c r="I298" s="17" t="str">
        <f t="shared" si="118"/>
        <v/>
      </c>
      <c r="M298" s="16" t="str">
        <f t="shared" si="119"/>
        <v/>
      </c>
      <c r="S298" t="str">
        <f>IF(B298="","",VLOOKUP(Cmt(B298),Sheet2!A:B,2,FALSE))</f>
        <v/>
      </c>
      <c r="T298" s="39" t="str">
        <f t="shared" si="121"/>
        <v/>
      </c>
      <c r="U298" s="13" t="str">
        <f t="shared" si="120"/>
        <v/>
      </c>
      <c r="W298" s="11"/>
    </row>
    <row r="299" spans="9:23">
      <c r="I299" s="17" t="str">
        <f t="shared" si="118"/>
        <v/>
      </c>
      <c r="M299" s="16" t="str">
        <f t="shared" si="119"/>
        <v/>
      </c>
      <c r="S299" t="str">
        <f>IF(B299="","",VLOOKUP(Cmt(B299),Sheet2!A:B,2,FALSE))</f>
        <v/>
      </c>
      <c r="T299" s="39" t="str">
        <f t="shared" si="121"/>
        <v/>
      </c>
      <c r="U299" s="13" t="str">
        <f t="shared" si="120"/>
        <v/>
      </c>
      <c r="W299" s="11"/>
    </row>
    <row r="300" spans="9:23">
      <c r="I300" s="17" t="str">
        <f t="shared" si="118"/>
        <v/>
      </c>
      <c r="M300" s="16" t="str">
        <f t="shared" si="119"/>
        <v/>
      </c>
      <c r="S300" t="str">
        <f>IF(B300="","",VLOOKUP(Cmt(B300),Sheet2!A:B,2,FALSE))</f>
        <v/>
      </c>
      <c r="T300" s="39" t="str">
        <f t="shared" si="121"/>
        <v/>
      </c>
      <c r="U300" s="13" t="str">
        <f t="shared" si="120"/>
        <v/>
      </c>
      <c r="W300" s="11"/>
    </row>
    <row r="301" spans="9:23">
      <c r="I301" s="17" t="str">
        <f t="shared" si="118"/>
        <v/>
      </c>
      <c r="M301" s="16" t="str">
        <f t="shared" si="119"/>
        <v/>
      </c>
      <c r="S301" t="str">
        <f>IF(B301="","",VLOOKUP(Cmt(B301),Sheet2!A:B,2,FALSE))</f>
        <v/>
      </c>
      <c r="T301" s="39" t="str">
        <f t="shared" si="121"/>
        <v/>
      </c>
      <c r="U301" s="13" t="str">
        <f t="shared" si="120"/>
        <v/>
      </c>
      <c r="W301" s="11"/>
    </row>
    <row r="302" spans="9:23">
      <c r="I302" s="17" t="str">
        <f t="shared" si="118"/>
        <v/>
      </c>
      <c r="M302" s="16" t="str">
        <f t="shared" si="119"/>
        <v/>
      </c>
      <c r="S302" t="str">
        <f>IF(B302="","",VLOOKUP(Cmt(B302),Sheet2!A:B,2,FALSE))</f>
        <v/>
      </c>
      <c r="T302" s="39" t="str">
        <f t="shared" si="121"/>
        <v/>
      </c>
      <c r="U302" s="13" t="str">
        <f t="shared" si="120"/>
        <v/>
      </c>
      <c r="W302" s="11"/>
    </row>
    <row r="303" spans="9:23">
      <c r="I303" s="17" t="str">
        <f t="shared" si="118"/>
        <v/>
      </c>
      <c r="M303" s="16" t="str">
        <f t="shared" si="119"/>
        <v/>
      </c>
      <c r="S303" t="str">
        <f>IF(B303="","",VLOOKUP(Cmt(B303),Sheet2!A:B,2,FALSE))</f>
        <v/>
      </c>
      <c r="T303" s="39" t="str">
        <f t="shared" si="121"/>
        <v/>
      </c>
      <c r="U303" s="13" t="str">
        <f t="shared" si="120"/>
        <v/>
      </c>
      <c r="W303" s="11"/>
    </row>
    <row r="304" spans="9:23">
      <c r="I304" s="17" t="str">
        <f t="shared" si="118"/>
        <v/>
      </c>
      <c r="M304" s="16" t="str">
        <f t="shared" si="119"/>
        <v/>
      </c>
      <c r="S304" t="str">
        <f>IF(B304="","",VLOOKUP(Cmt(B304),Sheet2!A:B,2,FALSE))</f>
        <v/>
      </c>
      <c r="T304" s="39" t="str">
        <f t="shared" si="121"/>
        <v/>
      </c>
      <c r="U304" s="13" t="str">
        <f t="shared" si="120"/>
        <v/>
      </c>
      <c r="W304" s="11"/>
    </row>
    <row r="305" spans="9:23">
      <c r="I305" s="17" t="str">
        <f t="shared" si="118"/>
        <v/>
      </c>
      <c r="M305" s="16" t="str">
        <f t="shared" si="119"/>
        <v/>
      </c>
      <c r="S305" t="str">
        <f>IF(B305="","",VLOOKUP(Cmt(B305),Sheet2!A:B,2,FALSE))</f>
        <v/>
      </c>
      <c r="T305" s="39" t="str">
        <f t="shared" si="121"/>
        <v/>
      </c>
      <c r="U305" s="13" t="str">
        <f t="shared" si="120"/>
        <v/>
      </c>
      <c r="W305" s="11"/>
    </row>
    <row r="306" spans="9:23">
      <c r="I306" s="17" t="str">
        <f t="shared" si="118"/>
        <v/>
      </c>
      <c r="M306" s="16" t="str">
        <f t="shared" si="119"/>
        <v/>
      </c>
      <c r="S306" t="str">
        <f>IF(B306="","",VLOOKUP(Cmt(B306),Sheet2!A:B,2,FALSE))</f>
        <v/>
      </c>
      <c r="T306" s="39" t="str">
        <f t="shared" si="121"/>
        <v/>
      </c>
      <c r="U306" s="13" t="str">
        <f t="shared" si="120"/>
        <v/>
      </c>
      <c r="W306" s="11"/>
    </row>
    <row r="307" spans="9:23">
      <c r="I307" s="17" t="str">
        <f t="shared" si="118"/>
        <v/>
      </c>
      <c r="M307" s="16" t="str">
        <f t="shared" si="119"/>
        <v/>
      </c>
      <c r="S307" t="str">
        <f>IF(B307="","",VLOOKUP(Cmt(B307),Sheet2!A:B,2,FALSE))</f>
        <v/>
      </c>
      <c r="T307" s="39" t="str">
        <f t="shared" si="121"/>
        <v/>
      </c>
      <c r="U307" s="13" t="str">
        <f t="shared" si="120"/>
        <v/>
      </c>
      <c r="W307" s="11"/>
    </row>
    <row r="308" spans="9:23">
      <c r="I308" s="17" t="str">
        <f t="shared" si="118"/>
        <v/>
      </c>
      <c r="M308" s="16" t="str">
        <f t="shared" si="119"/>
        <v/>
      </c>
      <c r="S308" t="str">
        <f>IF(B308="","",VLOOKUP(Cmt(B308),Sheet2!A:B,2,FALSE))</f>
        <v/>
      </c>
      <c r="T308" s="39" t="str">
        <f t="shared" si="121"/>
        <v/>
      </c>
      <c r="U308" s="13" t="str">
        <f t="shared" si="120"/>
        <v/>
      </c>
      <c r="W308" s="11"/>
    </row>
    <row r="309" spans="9:23">
      <c r="I309" s="17" t="str">
        <f t="shared" si="118"/>
        <v/>
      </c>
      <c r="M309" s="16" t="str">
        <f t="shared" si="119"/>
        <v/>
      </c>
      <c r="S309" t="str">
        <f>IF(B309="","",VLOOKUP(Cmt(B309),Sheet2!A:B,2,FALSE))</f>
        <v/>
      </c>
      <c r="T309" s="39" t="str">
        <f t="shared" si="121"/>
        <v/>
      </c>
      <c r="U309" s="13" t="str">
        <f t="shared" si="120"/>
        <v/>
      </c>
      <c r="W309" s="11"/>
    </row>
    <row r="310" spans="9:23">
      <c r="I310" s="17" t="str">
        <f t="shared" si="118"/>
        <v/>
      </c>
      <c r="M310" s="16" t="str">
        <f t="shared" si="119"/>
        <v/>
      </c>
      <c r="S310" t="str">
        <f>IF(B310="","",VLOOKUP(Cmt(B310),Sheet2!A:B,2,FALSE))</f>
        <v/>
      </c>
      <c r="T310" s="39" t="str">
        <f t="shared" si="121"/>
        <v/>
      </c>
      <c r="U310" s="13" t="str">
        <f t="shared" si="120"/>
        <v/>
      </c>
      <c r="W310" s="11"/>
    </row>
    <row r="311" spans="9:23">
      <c r="I311" s="17" t="str">
        <f t="shared" si="118"/>
        <v/>
      </c>
      <c r="M311" s="16" t="str">
        <f t="shared" si="119"/>
        <v/>
      </c>
      <c r="S311" t="str">
        <f>IF(B311="","",VLOOKUP(Cmt(B311),Sheet2!A:B,2,FALSE))</f>
        <v/>
      </c>
      <c r="T311" s="39" t="str">
        <f t="shared" si="121"/>
        <v/>
      </c>
      <c r="U311" s="13" t="str">
        <f t="shared" si="120"/>
        <v/>
      </c>
      <c r="W311" s="11"/>
    </row>
    <row r="312" spans="9:23">
      <c r="I312" s="17" t="str">
        <f t="shared" si="118"/>
        <v/>
      </c>
      <c r="M312" s="16" t="str">
        <f t="shared" si="119"/>
        <v/>
      </c>
      <c r="S312" t="str">
        <f>IF(B312="","",VLOOKUP(Cmt(B312),Sheet2!A:B,2,FALSE))</f>
        <v/>
      </c>
      <c r="T312" s="39" t="str">
        <f t="shared" si="121"/>
        <v/>
      </c>
      <c r="U312" s="13" t="str">
        <f t="shared" si="120"/>
        <v/>
      </c>
      <c r="W312" s="11"/>
    </row>
    <row r="313" spans="9:23">
      <c r="I313" s="17" t="str">
        <f t="shared" si="118"/>
        <v/>
      </c>
      <c r="M313" s="16" t="str">
        <f t="shared" si="119"/>
        <v/>
      </c>
      <c r="S313" t="str">
        <f>IF(B313="","",VLOOKUP(Cmt(B313),Sheet2!A:B,2,FALSE))</f>
        <v/>
      </c>
      <c r="T313" s="39" t="str">
        <f t="shared" si="121"/>
        <v/>
      </c>
      <c r="U313" s="13" t="str">
        <f t="shared" si="120"/>
        <v/>
      </c>
      <c r="W313" s="11"/>
    </row>
    <row r="314" spans="9:23">
      <c r="I314" s="17" t="str">
        <f t="shared" si="118"/>
        <v/>
      </c>
      <c r="M314" s="16" t="str">
        <f t="shared" si="119"/>
        <v/>
      </c>
      <c r="S314" t="str">
        <f>IF(B314="","",VLOOKUP(Cmt(B314),Sheet2!A:B,2,FALSE))</f>
        <v/>
      </c>
      <c r="T314" s="39" t="str">
        <f t="shared" si="121"/>
        <v/>
      </c>
      <c r="U314" s="13" t="str">
        <f t="shared" si="120"/>
        <v/>
      </c>
      <c r="W314" s="11"/>
    </row>
    <row r="315" spans="9:23">
      <c r="I315" s="17" t="str">
        <f t="shared" si="118"/>
        <v/>
      </c>
      <c r="M315" s="16" t="str">
        <f t="shared" si="119"/>
        <v/>
      </c>
      <c r="S315" t="str">
        <f>IF(B315="","",VLOOKUP(Cmt(B315),Sheet2!A:B,2,FALSE))</f>
        <v/>
      </c>
      <c r="T315" s="39" t="str">
        <f t="shared" si="121"/>
        <v/>
      </c>
      <c r="U315" s="13" t="str">
        <f t="shared" si="120"/>
        <v/>
      </c>
      <c r="W315" s="11"/>
    </row>
    <row r="316" spans="9:23">
      <c r="I316" s="17" t="str">
        <f t="shared" si="118"/>
        <v/>
      </c>
      <c r="M316" s="16" t="str">
        <f t="shared" si="119"/>
        <v/>
      </c>
      <c r="S316" t="str">
        <f>IF(B316="","",VLOOKUP(Cmt(B316),Sheet2!A:B,2,FALSE))</f>
        <v/>
      </c>
      <c r="T316" s="39" t="str">
        <f t="shared" si="121"/>
        <v/>
      </c>
      <c r="U316" s="13" t="str">
        <f t="shared" si="120"/>
        <v/>
      </c>
      <c r="W316" s="11"/>
    </row>
    <row r="317" spans="9:23">
      <c r="I317" s="17" t="str">
        <f t="shared" si="118"/>
        <v/>
      </c>
      <c r="M317" s="16" t="str">
        <f t="shared" si="119"/>
        <v/>
      </c>
      <c r="S317" t="str">
        <f>IF(B317="","",VLOOKUP(Cmt(B317),Sheet2!A:B,2,FALSE))</f>
        <v/>
      </c>
      <c r="T317" s="39" t="str">
        <f t="shared" si="121"/>
        <v/>
      </c>
      <c r="U317" s="13" t="str">
        <f t="shared" si="120"/>
        <v/>
      </c>
      <c r="W317" s="11"/>
    </row>
    <row r="318" spans="9:23">
      <c r="I318" s="17" t="str">
        <f t="shared" si="118"/>
        <v/>
      </c>
      <c r="M318" s="16" t="str">
        <f t="shared" si="119"/>
        <v/>
      </c>
      <c r="S318" t="str">
        <f>IF(B318="","",VLOOKUP(Cmt(B318),Sheet2!A:B,2,FALSE))</f>
        <v/>
      </c>
      <c r="T318" s="39" t="str">
        <f t="shared" si="121"/>
        <v/>
      </c>
      <c r="U318" s="13" t="str">
        <f t="shared" si="120"/>
        <v/>
      </c>
      <c r="W318" s="11"/>
    </row>
    <row r="319" spans="9:23">
      <c r="I319" s="17" t="str">
        <f t="shared" si="118"/>
        <v/>
      </c>
      <c r="M319" s="16" t="str">
        <f t="shared" si="119"/>
        <v/>
      </c>
      <c r="S319" t="str">
        <f>IF(B319="","",VLOOKUP(Cmt(B319),Sheet2!A:B,2,FALSE))</f>
        <v/>
      </c>
      <c r="T319" s="39" t="str">
        <f t="shared" si="121"/>
        <v/>
      </c>
      <c r="U319" s="13" t="str">
        <f t="shared" si="120"/>
        <v/>
      </c>
      <c r="W319" s="11"/>
    </row>
    <row r="320" spans="9:23">
      <c r="I320" s="17" t="str">
        <f t="shared" si="118"/>
        <v/>
      </c>
      <c r="M320" s="16" t="str">
        <f t="shared" si="119"/>
        <v/>
      </c>
      <c r="S320" t="str">
        <f>IF(B320="","",VLOOKUP(Cmt(B320),Sheet2!A:B,2,FALSE))</f>
        <v/>
      </c>
      <c r="T320" s="39" t="str">
        <f t="shared" si="121"/>
        <v/>
      </c>
      <c r="U320" s="13" t="str">
        <f t="shared" si="120"/>
        <v/>
      </c>
      <c r="W320" s="11"/>
    </row>
    <row r="321" spans="9:23">
      <c r="I321" s="17" t="str">
        <f t="shared" si="118"/>
        <v/>
      </c>
      <c r="M321" s="16" t="str">
        <f t="shared" si="119"/>
        <v/>
      </c>
      <c r="S321" t="str">
        <f>IF(B321="","",VLOOKUP(Cmt(B321),Sheet2!A:B,2,FALSE))</f>
        <v/>
      </c>
      <c r="T321" s="39" t="str">
        <f t="shared" si="121"/>
        <v/>
      </c>
      <c r="U321" s="13" t="str">
        <f t="shared" si="120"/>
        <v/>
      </c>
      <c r="W321" s="11"/>
    </row>
    <row r="322" spans="9:23">
      <c r="I322" s="17" t="str">
        <f t="shared" si="118"/>
        <v/>
      </c>
      <c r="M322" s="16" t="str">
        <f t="shared" si="119"/>
        <v/>
      </c>
      <c r="S322" t="str">
        <f>IF(B322="","",VLOOKUP(Cmt(B322),Sheet2!A:B,2,FALSE))</f>
        <v/>
      </c>
      <c r="T322" s="39" t="str">
        <f t="shared" si="121"/>
        <v/>
      </c>
      <c r="U322" s="13" t="str">
        <f t="shared" si="120"/>
        <v/>
      </c>
      <c r="W322" s="11"/>
    </row>
    <row r="323" spans="9:23">
      <c r="I323" s="17" t="str">
        <f t="shared" si="118"/>
        <v/>
      </c>
      <c r="M323" s="16" t="str">
        <f t="shared" si="119"/>
        <v/>
      </c>
      <c r="S323" t="str">
        <f>IF(B323="","",VLOOKUP(Cmt(B323),Sheet2!A:B,2,FALSE))</f>
        <v/>
      </c>
      <c r="T323" s="39" t="str">
        <f t="shared" si="121"/>
        <v/>
      </c>
      <c r="U323" s="13" t="str">
        <f t="shared" si="120"/>
        <v/>
      </c>
      <c r="W323" s="11"/>
    </row>
    <row r="324" spans="9:23">
      <c r="I324" s="17" t="str">
        <f t="shared" si="118"/>
        <v/>
      </c>
      <c r="M324" s="16" t="str">
        <f t="shared" si="119"/>
        <v/>
      </c>
      <c r="S324" t="str">
        <f>IF(B324="","",VLOOKUP(Cmt(B324),Sheet2!A:B,2,FALSE))</f>
        <v/>
      </c>
      <c r="T324" s="39" t="str">
        <f t="shared" si="121"/>
        <v/>
      </c>
      <c r="U324" s="13" t="str">
        <f t="shared" si="120"/>
        <v/>
      </c>
      <c r="W324" s="11"/>
    </row>
    <row r="325" spans="9:23">
      <c r="I325" s="17" t="str">
        <f t="shared" si="118"/>
        <v/>
      </c>
      <c r="M325" s="16" t="str">
        <f t="shared" si="119"/>
        <v/>
      </c>
      <c r="S325" t="str">
        <f>IF(B325="","",VLOOKUP(Cmt(B325),Sheet2!A:B,2,FALSE))</f>
        <v/>
      </c>
      <c r="T325" s="39" t="str">
        <f t="shared" si="121"/>
        <v/>
      </c>
      <c r="U325" s="13" t="str">
        <f t="shared" si="120"/>
        <v/>
      </c>
      <c r="W325" s="11"/>
    </row>
    <row r="326" spans="9:23">
      <c r="I326" s="17" t="str">
        <f t="shared" si="118"/>
        <v/>
      </c>
      <c r="M326" s="16" t="str">
        <f t="shared" si="119"/>
        <v/>
      </c>
      <c r="S326" t="str">
        <f>IF(B326="","",VLOOKUP(Cmt(B326),Sheet2!A:B,2,FALSE))</f>
        <v/>
      </c>
      <c r="T326" s="39" t="str">
        <f t="shared" si="121"/>
        <v/>
      </c>
      <c r="U326" s="13" t="str">
        <f t="shared" si="120"/>
        <v/>
      </c>
      <c r="W326" s="11"/>
    </row>
    <row r="327" spans="9:23">
      <c r="I327" s="17" t="str">
        <f t="shared" si="118"/>
        <v/>
      </c>
      <c r="M327" s="16" t="str">
        <f t="shared" si="119"/>
        <v/>
      </c>
      <c r="S327" t="str">
        <f>IF(B327="","",VLOOKUP(Cmt(B327),Sheet2!A:B,2,FALSE))</f>
        <v/>
      </c>
      <c r="T327" s="39" t="str">
        <f t="shared" si="121"/>
        <v/>
      </c>
      <c r="U327" s="13" t="str">
        <f t="shared" si="120"/>
        <v/>
      </c>
      <c r="W327" s="11"/>
    </row>
    <row r="328" spans="9:23">
      <c r="I328" s="17" t="str">
        <f t="shared" si="118"/>
        <v/>
      </c>
      <c r="M328" s="16" t="str">
        <f t="shared" si="119"/>
        <v/>
      </c>
      <c r="S328" t="str">
        <f>IF(B328="","",VLOOKUP(Cmt(B328),Sheet2!A:B,2,FALSE))</f>
        <v/>
      </c>
      <c r="T328" s="39" t="str">
        <f t="shared" si="121"/>
        <v/>
      </c>
      <c r="U328" s="13" t="str">
        <f t="shared" si="120"/>
        <v/>
      </c>
      <c r="W328" s="11"/>
    </row>
    <row r="329" spans="9:23">
      <c r="I329" s="17" t="str">
        <f t="shared" si="118"/>
        <v/>
      </c>
      <c r="M329" s="16" t="str">
        <f t="shared" si="119"/>
        <v/>
      </c>
      <c r="S329" t="str">
        <f>IF(B329="","",VLOOKUP(Cmt(B329),Sheet2!A:B,2,FALSE))</f>
        <v/>
      </c>
      <c r="T329" s="39" t="str">
        <f t="shared" si="121"/>
        <v/>
      </c>
      <c r="U329" s="13" t="str">
        <f t="shared" si="120"/>
        <v/>
      </c>
      <c r="W329" s="11"/>
    </row>
    <row r="330" spans="9:23">
      <c r="I330" s="17" t="str">
        <f t="shared" si="118"/>
        <v/>
      </c>
      <c r="M330" s="16" t="str">
        <f t="shared" si="119"/>
        <v/>
      </c>
      <c r="S330" t="str">
        <f>IF(B330="","",VLOOKUP(Cmt(B330),Sheet2!A:B,2,FALSE))</f>
        <v/>
      </c>
      <c r="T330" s="39" t="str">
        <f t="shared" si="121"/>
        <v/>
      </c>
      <c r="U330" s="13" t="str">
        <f t="shared" si="120"/>
        <v/>
      </c>
      <c r="W330" s="11"/>
    </row>
    <row r="331" spans="9:23">
      <c r="I331" s="17" t="str">
        <f t="shared" si="118"/>
        <v/>
      </c>
      <c r="M331" s="16" t="str">
        <f t="shared" si="119"/>
        <v/>
      </c>
      <c r="S331" t="str">
        <f>IF(B331="","",VLOOKUP(Cmt(B331),Sheet2!A:B,2,FALSE))</f>
        <v/>
      </c>
      <c r="T331" s="39" t="str">
        <f t="shared" si="121"/>
        <v/>
      </c>
      <c r="U331" s="13" t="str">
        <f t="shared" si="120"/>
        <v/>
      </c>
      <c r="W331" s="11"/>
    </row>
    <row r="332" spans="9:23">
      <c r="I332" s="17" t="str">
        <f t="shared" si="118"/>
        <v/>
      </c>
      <c r="M332" s="16" t="str">
        <f t="shared" si="119"/>
        <v/>
      </c>
      <c r="S332" t="str">
        <f>IF(B332="","",VLOOKUP(Cmt(B332),Sheet2!A:B,2,FALSE))</f>
        <v/>
      </c>
      <c r="T332" s="39" t="str">
        <f t="shared" si="121"/>
        <v/>
      </c>
      <c r="U332" s="13" t="str">
        <f t="shared" si="120"/>
        <v/>
      </c>
      <c r="W332" s="11"/>
    </row>
    <row r="333" spans="9:23">
      <c r="I333" s="17" t="str">
        <f t="shared" si="118"/>
        <v/>
      </c>
      <c r="M333" s="16" t="str">
        <f t="shared" si="119"/>
        <v/>
      </c>
      <c r="S333" t="str">
        <f>IF(B333="","",VLOOKUP(Cmt(B333),Sheet2!A:B,2,FALSE))</f>
        <v/>
      </c>
      <c r="T333" s="39" t="str">
        <f t="shared" si="121"/>
        <v/>
      </c>
      <c r="U333" s="13" t="str">
        <f t="shared" si="120"/>
        <v/>
      </c>
      <c r="W333" s="11"/>
    </row>
    <row r="334" spans="9:23">
      <c r="I334" s="17" t="str">
        <f t="shared" si="118"/>
        <v/>
      </c>
      <c r="M334" s="16" t="str">
        <f t="shared" si="119"/>
        <v/>
      </c>
      <c r="S334" t="str">
        <f>IF(B334="","",VLOOKUP(Cmt(B334),Sheet2!A:B,2,FALSE))</f>
        <v/>
      </c>
      <c r="T334" s="39" t="str">
        <f t="shared" si="121"/>
        <v/>
      </c>
      <c r="U334" s="13" t="str">
        <f t="shared" si="120"/>
        <v/>
      </c>
      <c r="W334" s="11"/>
    </row>
    <row r="335" spans="9:23">
      <c r="I335" s="17" t="str">
        <f t="shared" si="118"/>
        <v/>
      </c>
      <c r="M335" s="16" t="str">
        <f t="shared" si="119"/>
        <v/>
      </c>
      <c r="S335" t="str">
        <f>IF(B335="","",VLOOKUP(Cmt(B335),Sheet2!A:B,2,FALSE))</f>
        <v/>
      </c>
      <c r="T335" s="39" t="str">
        <f t="shared" si="121"/>
        <v/>
      </c>
      <c r="U335" s="13" t="str">
        <f t="shared" si="120"/>
        <v/>
      </c>
      <c r="W335" s="11"/>
    </row>
    <row r="336" spans="9:23">
      <c r="I336" s="17" t="str">
        <f t="shared" si="118"/>
        <v/>
      </c>
      <c r="M336" s="16" t="str">
        <f t="shared" si="119"/>
        <v/>
      </c>
      <c r="S336" t="str">
        <f>IF(B336="","",VLOOKUP(Cmt(B336),Sheet2!A:B,2,FALSE))</f>
        <v/>
      </c>
      <c r="T336" s="39" t="str">
        <f t="shared" si="121"/>
        <v/>
      </c>
      <c r="U336" s="13" t="str">
        <f t="shared" si="120"/>
        <v/>
      </c>
      <c r="W336" s="11"/>
    </row>
    <row r="337" spans="9:23">
      <c r="I337" s="17" t="str">
        <f t="shared" si="118"/>
        <v/>
      </c>
      <c r="M337" s="16" t="str">
        <f t="shared" si="119"/>
        <v/>
      </c>
      <c r="S337" t="str">
        <f>IF(B337="","",VLOOKUP(Cmt(B337),Sheet2!A:B,2,FALSE))</f>
        <v/>
      </c>
      <c r="T337" s="39" t="str">
        <f t="shared" si="121"/>
        <v/>
      </c>
      <c r="U337" s="13" t="str">
        <f t="shared" si="120"/>
        <v/>
      </c>
      <c r="W337" s="11"/>
    </row>
    <row r="338" spans="9:23">
      <c r="I338" s="17" t="str">
        <f t="shared" si="118"/>
        <v/>
      </c>
      <c r="M338" s="16" t="str">
        <f t="shared" si="119"/>
        <v/>
      </c>
      <c r="S338" t="str">
        <f>IF(B338="","",VLOOKUP(Cmt(B338),Sheet2!A:B,2,FALSE))</f>
        <v/>
      </c>
      <c r="T338" s="39" t="str">
        <f t="shared" si="121"/>
        <v/>
      </c>
      <c r="U338" s="13" t="str">
        <f t="shared" si="120"/>
        <v/>
      </c>
      <c r="W338" s="11"/>
    </row>
    <row r="339" spans="9:23">
      <c r="I339" s="17" t="str">
        <f t="shared" ref="I339:I370" si="122">IF(G339="","",G339*H339)</f>
        <v/>
      </c>
      <c r="M339" s="16" t="str">
        <f t="shared" si="119"/>
        <v/>
      </c>
      <c r="S339" t="str">
        <f>IF(B339="","",VLOOKUP(Cmt(B339),Sheet2!A:B,2,FALSE))</f>
        <v/>
      </c>
      <c r="T339" s="39" t="str">
        <f t="shared" si="121"/>
        <v/>
      </c>
      <c r="U339" s="13" t="str">
        <f t="shared" si="120"/>
        <v/>
      </c>
      <c r="W339" s="11"/>
    </row>
    <row r="340" spans="9:23">
      <c r="I340" s="17" t="str">
        <f t="shared" si="122"/>
        <v/>
      </c>
      <c r="M340" s="16" t="str">
        <f t="shared" ref="M340:M370" si="123">IF(J340="","",C340*(J340-D340)*S340)</f>
        <v/>
      </c>
      <c r="S340" t="str">
        <f>IF(B340="","",VLOOKUP(Cmt(B340),Sheet2!A:B,2,FALSE))</f>
        <v/>
      </c>
      <c r="T340" s="39" t="str">
        <f t="shared" si="121"/>
        <v/>
      </c>
      <c r="U340" s="13" t="str">
        <f t="shared" si="120"/>
        <v/>
      </c>
      <c r="W340" s="11"/>
    </row>
    <row r="341" spans="9:23">
      <c r="I341" s="17" t="str">
        <f t="shared" si="122"/>
        <v/>
      </c>
      <c r="M341" s="16" t="str">
        <f t="shared" si="123"/>
        <v/>
      </c>
      <c r="S341" t="str">
        <f>IF(B341="","",VLOOKUP(Cmt(B341),Sheet2!A:B,2,FALSE))</f>
        <v/>
      </c>
      <c r="T341" s="39" t="str">
        <f t="shared" si="121"/>
        <v/>
      </c>
      <c r="U341" s="13" t="str">
        <f t="shared" si="120"/>
        <v/>
      </c>
      <c r="W341" s="11"/>
    </row>
    <row r="342" spans="9:23">
      <c r="I342" s="17" t="str">
        <f t="shared" si="122"/>
        <v/>
      </c>
      <c r="M342" s="16" t="str">
        <f t="shared" si="123"/>
        <v/>
      </c>
      <c r="S342" t="str">
        <f>IF(B342="","",VLOOKUP(Cmt(B342),Sheet2!A:B,2,FALSE))</f>
        <v/>
      </c>
      <c r="T342" s="39" t="str">
        <f t="shared" si="121"/>
        <v/>
      </c>
      <c r="U342" s="13" t="str">
        <f t="shared" si="120"/>
        <v/>
      </c>
      <c r="W342" s="11"/>
    </row>
    <row r="343" spans="9:23">
      <c r="I343" s="17" t="str">
        <f t="shared" si="122"/>
        <v/>
      </c>
      <c r="M343" s="16" t="str">
        <f t="shared" si="123"/>
        <v/>
      </c>
      <c r="S343" t="str">
        <f>IF(B343="","",VLOOKUP(Cmt(B343),Sheet2!A:B,2,FALSE))</f>
        <v/>
      </c>
      <c r="T343" s="39" t="str">
        <f t="shared" si="121"/>
        <v/>
      </c>
      <c r="U343" s="13" t="str">
        <f t="shared" si="120"/>
        <v/>
      </c>
      <c r="W343" s="11"/>
    </row>
    <row r="344" spans="9:23">
      <c r="I344" s="17" t="str">
        <f t="shared" si="122"/>
        <v/>
      </c>
      <c r="M344" s="16" t="str">
        <f t="shared" si="123"/>
        <v/>
      </c>
      <c r="S344" t="str">
        <f>IF(B344="","",VLOOKUP(Cmt(B344),Sheet2!A:B,2,FALSE))</f>
        <v/>
      </c>
      <c r="T344" s="39" t="str">
        <f t="shared" si="121"/>
        <v/>
      </c>
      <c r="U344" s="13" t="str">
        <f t="shared" si="120"/>
        <v/>
      </c>
      <c r="W344" s="11"/>
    </row>
    <row r="345" spans="9:23">
      <c r="I345" s="17" t="str">
        <f t="shared" si="122"/>
        <v/>
      </c>
      <c r="M345" s="16" t="str">
        <f t="shared" si="123"/>
        <v/>
      </c>
      <c r="S345" t="str">
        <f>IF(B345="","",VLOOKUP(Cmt(B345),Sheet2!A:B,2,FALSE))</f>
        <v/>
      </c>
      <c r="T345" s="39" t="str">
        <f t="shared" si="121"/>
        <v/>
      </c>
      <c r="U345" s="13" t="str">
        <f t="shared" si="120"/>
        <v/>
      </c>
      <c r="W345" s="11"/>
    </row>
    <row r="346" spans="9:23">
      <c r="I346" s="17" t="str">
        <f t="shared" si="122"/>
        <v/>
      </c>
      <c r="M346" s="16" t="str">
        <f t="shared" si="123"/>
        <v/>
      </c>
      <c r="S346" t="str">
        <f>IF(B346="","",VLOOKUP(Cmt(B346),Sheet2!A:B,2,FALSE))</f>
        <v/>
      </c>
      <c r="T346" s="39" t="str">
        <f t="shared" si="121"/>
        <v/>
      </c>
      <c r="U346" s="13" t="str">
        <f t="shared" si="120"/>
        <v/>
      </c>
      <c r="W346" s="11"/>
    </row>
    <row r="347" spans="9:23">
      <c r="I347" s="17" t="str">
        <f t="shared" si="122"/>
        <v/>
      </c>
      <c r="M347" s="16" t="str">
        <f t="shared" si="123"/>
        <v/>
      </c>
      <c r="S347" t="str">
        <f>IF(B347="","",VLOOKUP(Cmt(B347),Sheet2!A:B,2,FALSE))</f>
        <v/>
      </c>
      <c r="T347" s="39" t="str">
        <f t="shared" si="121"/>
        <v/>
      </c>
      <c r="U347" s="13" t="str">
        <f t="shared" si="120"/>
        <v/>
      </c>
      <c r="W347" s="11"/>
    </row>
    <row r="348" spans="9:23">
      <c r="I348" s="17" t="str">
        <f t="shared" si="122"/>
        <v/>
      </c>
      <c r="M348" s="16" t="str">
        <f t="shared" si="123"/>
        <v/>
      </c>
      <c r="S348" t="str">
        <f>IF(B348="","",VLOOKUP(Cmt(B348),Sheet2!A:B,2,FALSE))</f>
        <v/>
      </c>
      <c r="T348" s="39" t="str">
        <f t="shared" si="121"/>
        <v/>
      </c>
      <c r="U348" s="13" t="str">
        <f t="shared" ref="U348:U370" si="124">IF(S348="","",T348*I348/(D348*S348*0.15))</f>
        <v/>
      </c>
      <c r="W348" s="11"/>
    </row>
    <row r="349" spans="9:23">
      <c r="I349" s="17" t="str">
        <f t="shared" si="122"/>
        <v/>
      </c>
      <c r="M349" s="16" t="str">
        <f t="shared" si="123"/>
        <v/>
      </c>
      <c r="S349" t="str">
        <f>IF(B349="","",VLOOKUP(Cmt(B349),Sheet2!A:B,2,FALSE))</f>
        <v/>
      </c>
      <c r="T349" s="39" t="str">
        <f t="shared" si="121"/>
        <v/>
      </c>
      <c r="U349" s="13" t="str">
        <f t="shared" si="124"/>
        <v/>
      </c>
      <c r="W349" s="11"/>
    </row>
    <row r="350" spans="9:23">
      <c r="I350" s="17" t="str">
        <f t="shared" si="122"/>
        <v/>
      </c>
      <c r="M350" s="16" t="str">
        <f t="shared" si="123"/>
        <v/>
      </c>
      <c r="S350" t="str">
        <f>IF(B350="","",VLOOKUP(Cmt(B350),Sheet2!A:B,2,FALSE))</f>
        <v/>
      </c>
      <c r="T350" s="39" t="str">
        <f t="shared" ref="T350:T370" si="125">IF(S350="","",T349)</f>
        <v/>
      </c>
      <c r="U350" s="13" t="str">
        <f t="shared" si="124"/>
        <v/>
      </c>
      <c r="W350" s="11"/>
    </row>
    <row r="351" spans="9:23">
      <c r="I351" s="17" t="str">
        <f t="shared" si="122"/>
        <v/>
      </c>
      <c r="M351" s="16" t="str">
        <f t="shared" si="123"/>
        <v/>
      </c>
      <c r="S351" t="str">
        <f>IF(B351="","",VLOOKUP(Cmt(B351),Sheet2!A:B,2,FALSE))</f>
        <v/>
      </c>
      <c r="T351" s="39" t="str">
        <f t="shared" si="125"/>
        <v/>
      </c>
      <c r="U351" s="13" t="str">
        <f t="shared" si="124"/>
        <v/>
      </c>
      <c r="W351" s="11"/>
    </row>
    <row r="352" spans="9:23">
      <c r="I352" s="17" t="str">
        <f t="shared" si="122"/>
        <v/>
      </c>
      <c r="M352" s="16" t="str">
        <f t="shared" si="123"/>
        <v/>
      </c>
      <c r="S352" t="str">
        <f>IF(B352="","",VLOOKUP(Cmt(B352),Sheet2!A:B,2,FALSE))</f>
        <v/>
      </c>
      <c r="T352" s="39" t="str">
        <f t="shared" si="125"/>
        <v/>
      </c>
      <c r="U352" s="13" t="str">
        <f t="shared" si="124"/>
        <v/>
      </c>
      <c r="W352" s="11"/>
    </row>
    <row r="353" spans="9:23">
      <c r="I353" s="17" t="str">
        <f t="shared" si="122"/>
        <v/>
      </c>
      <c r="M353" s="16" t="str">
        <f t="shared" si="123"/>
        <v/>
      </c>
      <c r="S353" t="str">
        <f>IF(B353="","",VLOOKUP(Cmt(B353),Sheet2!A:B,2,FALSE))</f>
        <v/>
      </c>
      <c r="T353" s="39" t="str">
        <f t="shared" si="125"/>
        <v/>
      </c>
      <c r="U353" s="13" t="str">
        <f t="shared" si="124"/>
        <v/>
      </c>
      <c r="W353" s="11"/>
    </row>
    <row r="354" spans="9:23">
      <c r="I354" s="17" t="str">
        <f t="shared" si="122"/>
        <v/>
      </c>
      <c r="M354" s="16" t="str">
        <f t="shared" si="123"/>
        <v/>
      </c>
      <c r="S354" t="str">
        <f>IF(B354="","",VLOOKUP(Cmt(B354),Sheet2!A:B,2,FALSE))</f>
        <v/>
      </c>
      <c r="T354" s="39" t="str">
        <f t="shared" si="125"/>
        <v/>
      </c>
      <c r="U354" s="13" t="str">
        <f t="shared" si="124"/>
        <v/>
      </c>
      <c r="W354" s="11"/>
    </row>
    <row r="355" spans="9:23">
      <c r="I355" s="17" t="str">
        <f t="shared" si="122"/>
        <v/>
      </c>
      <c r="M355" s="16" t="str">
        <f t="shared" si="123"/>
        <v/>
      </c>
      <c r="S355" t="str">
        <f>IF(B355="","",VLOOKUP(Cmt(B355),Sheet2!A:B,2,FALSE))</f>
        <v/>
      </c>
      <c r="T355" s="39" t="str">
        <f t="shared" si="125"/>
        <v/>
      </c>
      <c r="U355" s="13" t="str">
        <f t="shared" si="124"/>
        <v/>
      </c>
      <c r="W355" s="11"/>
    </row>
    <row r="356" spans="9:23">
      <c r="I356" s="17" t="str">
        <f t="shared" si="122"/>
        <v/>
      </c>
      <c r="M356" s="16" t="str">
        <f t="shared" si="123"/>
        <v/>
      </c>
      <c r="S356" t="str">
        <f>IF(B356="","",VLOOKUP(Cmt(B356),Sheet2!A:B,2,FALSE))</f>
        <v/>
      </c>
      <c r="T356" s="39" t="str">
        <f t="shared" si="125"/>
        <v/>
      </c>
      <c r="U356" s="13" t="str">
        <f t="shared" si="124"/>
        <v/>
      </c>
      <c r="W356" s="11"/>
    </row>
    <row r="357" spans="9:23">
      <c r="I357" s="17" t="str">
        <f t="shared" si="122"/>
        <v/>
      </c>
      <c r="M357" s="16" t="str">
        <f t="shared" si="123"/>
        <v/>
      </c>
      <c r="S357" t="str">
        <f>IF(B357="","",VLOOKUP(Cmt(B357),Sheet2!A:B,2,FALSE))</f>
        <v/>
      </c>
      <c r="T357" s="39" t="str">
        <f t="shared" si="125"/>
        <v/>
      </c>
      <c r="U357" s="13" t="str">
        <f t="shared" si="124"/>
        <v/>
      </c>
      <c r="W357" s="11"/>
    </row>
    <row r="358" spans="9:23">
      <c r="I358" s="17" t="str">
        <f t="shared" si="122"/>
        <v/>
      </c>
      <c r="M358" s="16" t="str">
        <f t="shared" si="123"/>
        <v/>
      </c>
      <c r="S358" t="str">
        <f>IF(B358="","",VLOOKUP(Cmt(B358),Sheet2!A:B,2,FALSE))</f>
        <v/>
      </c>
      <c r="T358" s="39" t="str">
        <f t="shared" si="125"/>
        <v/>
      </c>
      <c r="U358" s="13" t="str">
        <f t="shared" si="124"/>
        <v/>
      </c>
      <c r="W358" s="11"/>
    </row>
    <row r="359" spans="9:23">
      <c r="I359" s="17" t="str">
        <f t="shared" si="122"/>
        <v/>
      </c>
      <c r="M359" s="16" t="str">
        <f t="shared" si="123"/>
        <v/>
      </c>
      <c r="S359" t="str">
        <f>IF(B359="","",VLOOKUP(Cmt(B359),Sheet2!A:B,2,FALSE))</f>
        <v/>
      </c>
      <c r="T359" s="39" t="str">
        <f t="shared" si="125"/>
        <v/>
      </c>
      <c r="U359" s="13" t="str">
        <f t="shared" si="124"/>
        <v/>
      </c>
      <c r="W359" s="11"/>
    </row>
    <row r="360" spans="9:23">
      <c r="I360" s="17" t="str">
        <f t="shared" si="122"/>
        <v/>
      </c>
      <c r="M360" s="16" t="str">
        <f t="shared" si="123"/>
        <v/>
      </c>
      <c r="S360" t="str">
        <f>IF(B360="","",VLOOKUP(Cmt(B360),Sheet2!A:B,2,FALSE))</f>
        <v/>
      </c>
      <c r="T360" s="39" t="str">
        <f t="shared" si="125"/>
        <v/>
      </c>
      <c r="U360" s="13" t="str">
        <f t="shared" si="124"/>
        <v/>
      </c>
      <c r="W360" s="11"/>
    </row>
    <row r="361" spans="9:23">
      <c r="I361" s="17" t="str">
        <f t="shared" si="122"/>
        <v/>
      </c>
      <c r="M361" s="16" t="str">
        <f t="shared" si="123"/>
        <v/>
      </c>
      <c r="S361" t="str">
        <f>IF(B361="","",VLOOKUP(Cmt(B361),Sheet2!A:B,2,FALSE))</f>
        <v/>
      </c>
      <c r="T361" s="39" t="str">
        <f t="shared" si="125"/>
        <v/>
      </c>
      <c r="U361" s="13" t="str">
        <f t="shared" si="124"/>
        <v/>
      </c>
      <c r="W361" s="11"/>
    </row>
    <row r="362" spans="9:23">
      <c r="I362" s="17" t="str">
        <f t="shared" si="122"/>
        <v/>
      </c>
      <c r="M362" s="16" t="str">
        <f t="shared" si="123"/>
        <v/>
      </c>
      <c r="S362" t="str">
        <f>IF(B362="","",VLOOKUP(Cmt(B362),Sheet2!A:B,2,FALSE))</f>
        <v/>
      </c>
      <c r="T362" s="39" t="str">
        <f t="shared" si="125"/>
        <v/>
      </c>
      <c r="U362" s="13" t="str">
        <f t="shared" si="124"/>
        <v/>
      </c>
      <c r="W362" s="11"/>
    </row>
    <row r="363" spans="9:23">
      <c r="I363" s="17" t="str">
        <f t="shared" si="122"/>
        <v/>
      </c>
      <c r="M363" s="16" t="str">
        <f t="shared" si="123"/>
        <v/>
      </c>
      <c r="S363" t="str">
        <f>IF(B363="","",VLOOKUP(Cmt(B363),Sheet2!A:B,2,FALSE))</f>
        <v/>
      </c>
      <c r="T363" s="39" t="str">
        <f t="shared" si="125"/>
        <v/>
      </c>
      <c r="U363" s="13" t="str">
        <f t="shared" si="124"/>
        <v/>
      </c>
      <c r="W363" s="11"/>
    </row>
    <row r="364" spans="9:23">
      <c r="I364" s="17" t="str">
        <f t="shared" si="122"/>
        <v/>
      </c>
      <c r="M364" s="16" t="str">
        <f t="shared" si="123"/>
        <v/>
      </c>
      <c r="S364" t="str">
        <f>IF(B364="","",VLOOKUP(Cmt(B364),Sheet2!A:B,2,FALSE))</f>
        <v/>
      </c>
      <c r="T364" s="39" t="str">
        <f t="shared" si="125"/>
        <v/>
      </c>
      <c r="U364" s="13" t="str">
        <f t="shared" si="124"/>
        <v/>
      </c>
      <c r="W364" s="11"/>
    </row>
    <row r="365" spans="9:23">
      <c r="I365" s="17" t="str">
        <f t="shared" si="122"/>
        <v/>
      </c>
      <c r="M365" s="16" t="str">
        <f t="shared" si="123"/>
        <v/>
      </c>
      <c r="S365" t="str">
        <f>IF(B365="","",VLOOKUP(Cmt(B365),Sheet2!A:B,2,FALSE))</f>
        <v/>
      </c>
      <c r="T365" s="39" t="str">
        <f t="shared" si="125"/>
        <v/>
      </c>
      <c r="U365" s="13" t="str">
        <f t="shared" si="124"/>
        <v/>
      </c>
      <c r="W365" s="11"/>
    </row>
    <row r="366" spans="9:23">
      <c r="I366" s="17" t="str">
        <f t="shared" si="122"/>
        <v/>
      </c>
      <c r="M366" s="16" t="str">
        <f t="shared" si="123"/>
        <v/>
      </c>
      <c r="S366" t="str">
        <f>IF(B366="","",VLOOKUP(Cmt(B366),Sheet2!A:B,2,FALSE))</f>
        <v/>
      </c>
      <c r="T366" s="39" t="str">
        <f t="shared" si="125"/>
        <v/>
      </c>
      <c r="U366" s="13" t="str">
        <f t="shared" si="124"/>
        <v/>
      </c>
      <c r="W366" s="11"/>
    </row>
    <row r="367" spans="9:23">
      <c r="I367" s="17" t="str">
        <f t="shared" si="122"/>
        <v/>
      </c>
      <c r="M367" s="16" t="str">
        <f t="shared" si="123"/>
        <v/>
      </c>
      <c r="S367" t="str">
        <f>IF(B367="","",VLOOKUP(Cmt(B367),Sheet2!A:B,2,FALSE))</f>
        <v/>
      </c>
      <c r="T367" s="39" t="str">
        <f t="shared" si="125"/>
        <v/>
      </c>
      <c r="U367" s="13" t="str">
        <f t="shared" si="124"/>
        <v/>
      </c>
      <c r="W367" s="11"/>
    </row>
    <row r="368" spans="9:23">
      <c r="I368" s="17" t="str">
        <f t="shared" si="122"/>
        <v/>
      </c>
      <c r="M368" s="16" t="str">
        <f t="shared" si="123"/>
        <v/>
      </c>
      <c r="S368" t="str">
        <f>IF(B368="","",VLOOKUP(Cmt(B368),Sheet2!A:B,2,FALSE))</f>
        <v/>
      </c>
      <c r="T368" s="39" t="str">
        <f t="shared" si="125"/>
        <v/>
      </c>
      <c r="U368" s="13" t="str">
        <f t="shared" si="124"/>
        <v/>
      </c>
      <c r="W368" s="11"/>
    </row>
    <row r="369" spans="9:23">
      <c r="I369" s="17" t="str">
        <f t="shared" si="122"/>
        <v/>
      </c>
      <c r="M369" s="16" t="str">
        <f t="shared" si="123"/>
        <v/>
      </c>
      <c r="S369" t="str">
        <f>IF(B369="","",VLOOKUP(Cmt(B369),Sheet2!A:B,2,FALSE))</f>
        <v/>
      </c>
      <c r="T369" s="39" t="str">
        <f t="shared" si="125"/>
        <v/>
      </c>
      <c r="U369" s="13" t="str">
        <f t="shared" si="124"/>
        <v/>
      </c>
      <c r="W369" s="11"/>
    </row>
    <row r="370" spans="9:23">
      <c r="I370" s="17" t="str">
        <f t="shared" si="122"/>
        <v/>
      </c>
      <c r="M370" s="16" t="str">
        <f t="shared" si="123"/>
        <v/>
      </c>
      <c r="S370" t="str">
        <f>IF(B370="","",VLOOKUP(Cmt(B370),Sheet2!A:B,2,FALSE))</f>
        <v/>
      </c>
      <c r="T370" s="39" t="str">
        <f t="shared" si="125"/>
        <v/>
      </c>
      <c r="U370" s="13" t="str">
        <f t="shared" si="124"/>
        <v/>
      </c>
      <c r="W370" s="11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Q91"/>
  <sheetViews>
    <sheetView workbookViewId="0">
      <pane ySplit="1" topLeftCell="A58" activePane="bottomLeft" state="frozen"/>
      <selection pane="bottomLeft" activeCell="A64" sqref="A64:K90"/>
    </sheetView>
  </sheetViews>
  <sheetFormatPr defaultRowHeight="13.5"/>
  <cols>
    <col min="2" max="3" width="9.125" bestFit="1" customWidth="1"/>
    <col min="4" max="4" width="10.625" bestFit="1" customWidth="1"/>
    <col min="5" max="5" width="9.125" bestFit="1" customWidth="1"/>
    <col min="6" max="7" width="10.5" style="67" customWidth="1"/>
    <col min="8" max="8" width="9.5" bestFit="1" customWidth="1"/>
    <col min="9" max="9" width="10.625" bestFit="1" customWidth="1"/>
    <col min="10" max="10" width="13.125" bestFit="1" customWidth="1"/>
    <col min="11" max="11" width="13.25" customWidth="1"/>
    <col min="12" max="15" width="9" hidden="1" customWidth="1"/>
    <col min="17" max="17" width="9.125" bestFit="1" customWidth="1"/>
  </cols>
  <sheetData>
    <row r="1" spans="1:17">
      <c r="A1" s="66" t="s">
        <v>1</v>
      </c>
      <c r="B1" s="66" t="s">
        <v>2</v>
      </c>
      <c r="C1" s="66" t="s">
        <v>3</v>
      </c>
      <c r="D1" s="66" t="s">
        <v>89</v>
      </c>
      <c r="E1" s="76" t="s">
        <v>280</v>
      </c>
      <c r="F1" s="77" t="s">
        <v>323</v>
      </c>
      <c r="G1" s="77" t="s">
        <v>324</v>
      </c>
      <c r="H1" s="66" t="s">
        <v>5</v>
      </c>
      <c r="I1" s="66" t="s">
        <v>19</v>
      </c>
      <c r="J1" s="78" t="s">
        <v>281</v>
      </c>
      <c r="K1" s="78" t="s">
        <v>282</v>
      </c>
      <c r="L1" s="66" t="s">
        <v>183</v>
      </c>
      <c r="M1" s="66" t="s">
        <v>186</v>
      </c>
      <c r="N1" s="79" t="s">
        <v>184</v>
      </c>
      <c r="O1" s="79" t="s">
        <v>185</v>
      </c>
      <c r="P1" s="80" t="s">
        <v>277</v>
      </c>
      <c r="Q1" s="80" t="s">
        <v>283</v>
      </c>
    </row>
    <row r="2" spans="1:17">
      <c r="A2" s="78" t="s">
        <v>52</v>
      </c>
      <c r="B2" s="78">
        <v>-19</v>
      </c>
      <c r="C2" s="78">
        <v>3865</v>
      </c>
      <c r="D2" s="81">
        <v>43153</v>
      </c>
      <c r="E2" s="76">
        <v>2.3E-2</v>
      </c>
      <c r="F2" s="76">
        <v>1.15E-2</v>
      </c>
      <c r="G2" s="77">
        <f>E2/F2*B2</f>
        <v>-38</v>
      </c>
      <c r="H2" s="78">
        <v>3926</v>
      </c>
      <c r="I2" s="81">
        <v>43154</v>
      </c>
      <c r="J2" s="80">
        <v>-11590</v>
      </c>
      <c r="K2" s="80">
        <f>(H2-C2)*G2*Q2</f>
        <v>-23180</v>
      </c>
      <c r="L2" s="78"/>
      <c r="M2" s="78"/>
      <c r="N2" s="82"/>
      <c r="O2" s="83"/>
      <c r="P2" s="79" t="s">
        <v>320</v>
      </c>
      <c r="Q2" s="79">
        <f>VLOOKUP(Cmt(A2),Sheet2!A:B,2,FALSE)</f>
        <v>10</v>
      </c>
    </row>
    <row r="3" spans="1:17">
      <c r="A3" s="85" t="s">
        <v>93</v>
      </c>
      <c r="B3" s="85">
        <v>1</v>
      </c>
      <c r="C3" s="85">
        <v>3175.2</v>
      </c>
      <c r="D3" s="86">
        <v>43138</v>
      </c>
      <c r="E3" s="87">
        <v>1.9E-2</v>
      </c>
      <c r="F3" s="87">
        <v>1.9E-2</v>
      </c>
      <c r="G3" s="85">
        <v>1</v>
      </c>
      <c r="H3" s="85">
        <v>3107.2</v>
      </c>
      <c r="I3" s="86">
        <v>43138</v>
      </c>
      <c r="J3" s="85">
        <v>-20400</v>
      </c>
      <c r="K3" s="85">
        <v>-20400</v>
      </c>
      <c r="L3" s="78"/>
      <c r="M3" s="78"/>
      <c r="N3" s="79"/>
      <c r="O3" s="79"/>
      <c r="P3" s="79"/>
      <c r="Q3" s="79"/>
    </row>
    <row r="4" spans="1:17">
      <c r="A4" s="85" t="s">
        <v>151</v>
      </c>
      <c r="B4" s="85">
        <v>13</v>
      </c>
      <c r="C4" s="85">
        <v>1373</v>
      </c>
      <c r="D4" s="86">
        <v>43138</v>
      </c>
      <c r="E4" s="87">
        <v>3.3000000000000002E-2</v>
      </c>
      <c r="F4" s="87">
        <v>1.7000000000000001E-2</v>
      </c>
      <c r="G4" s="85">
        <v>26</v>
      </c>
      <c r="H4" s="85">
        <v>1360</v>
      </c>
      <c r="I4" s="86">
        <v>43139</v>
      </c>
      <c r="J4" s="85">
        <v>-14820</v>
      </c>
      <c r="K4" s="85">
        <v>-20280</v>
      </c>
      <c r="L4" s="79"/>
      <c r="M4" s="79"/>
      <c r="N4" s="79"/>
      <c r="O4" s="79"/>
      <c r="P4" s="79"/>
      <c r="Q4" s="79"/>
    </row>
    <row r="5" spans="1:17">
      <c r="A5" s="85" t="s">
        <v>64</v>
      </c>
      <c r="B5" s="85">
        <v>29</v>
      </c>
      <c r="C5" s="85">
        <v>4032.14</v>
      </c>
      <c r="D5" s="86">
        <v>43139</v>
      </c>
      <c r="E5" s="87">
        <v>3.5999999999999997E-2</v>
      </c>
      <c r="F5" s="87">
        <v>1.7999999999999999E-2</v>
      </c>
      <c r="G5" s="85">
        <v>58</v>
      </c>
      <c r="H5" s="85">
        <v>3998</v>
      </c>
      <c r="I5" s="86">
        <v>43140</v>
      </c>
      <c r="J5" s="85">
        <v>-16860.599999999999</v>
      </c>
      <c r="K5" s="85">
        <v>-19801.2</v>
      </c>
      <c r="L5" s="78"/>
      <c r="M5" s="78"/>
      <c r="N5" s="82"/>
      <c r="O5" s="83"/>
      <c r="P5" s="79"/>
      <c r="Q5" s="79"/>
    </row>
    <row r="6" spans="1:17">
      <c r="A6" s="85" t="s">
        <v>59</v>
      </c>
      <c r="B6" s="85">
        <v>20</v>
      </c>
      <c r="C6" s="85">
        <v>6778</v>
      </c>
      <c r="D6" s="86">
        <v>43138</v>
      </c>
      <c r="E6" s="87">
        <v>2.1000000000000001E-2</v>
      </c>
      <c r="F6" s="87">
        <v>1.0999999999999999E-2</v>
      </c>
      <c r="G6" s="85">
        <v>40</v>
      </c>
      <c r="H6" s="85">
        <v>6684</v>
      </c>
      <c r="I6" s="86">
        <v>43139</v>
      </c>
      <c r="J6" s="85">
        <v>-14000</v>
      </c>
      <c r="K6" s="85">
        <v>-18800</v>
      </c>
      <c r="L6" s="78"/>
      <c r="M6" s="78"/>
      <c r="N6" s="79"/>
      <c r="O6" s="79"/>
      <c r="P6" s="79"/>
      <c r="Q6" s="79"/>
    </row>
    <row r="7" spans="1:17">
      <c r="A7" s="78" t="s">
        <v>93</v>
      </c>
      <c r="B7" s="78">
        <v>-1</v>
      </c>
      <c r="C7" s="78">
        <v>2846.8</v>
      </c>
      <c r="D7" s="81">
        <v>43144</v>
      </c>
      <c r="E7" s="76">
        <v>1.7000000000000001E-2</v>
      </c>
      <c r="F7" s="76">
        <v>1.7000000000000001E-2</v>
      </c>
      <c r="G7" s="77">
        <f>E7/F7*B7</f>
        <v>-1</v>
      </c>
      <c r="H7" s="78">
        <v>2907.8</v>
      </c>
      <c r="I7" s="81">
        <v>43153</v>
      </c>
      <c r="J7" s="80">
        <v>-18300</v>
      </c>
      <c r="K7" s="80">
        <f>(H7-C7)*G7*Q7</f>
        <v>-18300</v>
      </c>
      <c r="L7" s="78"/>
      <c r="M7" s="78"/>
      <c r="N7" s="79"/>
      <c r="O7" s="79"/>
      <c r="P7" s="79" t="s">
        <v>321</v>
      </c>
      <c r="Q7" s="79">
        <f>VLOOKUP(Cmt(A7),Sheet2!A:B,2,FALSE)</f>
        <v>300</v>
      </c>
    </row>
    <row r="8" spans="1:17">
      <c r="A8" s="78" t="s">
        <v>151</v>
      </c>
      <c r="B8" s="78">
        <v>18</v>
      </c>
      <c r="C8" s="78">
        <v>1382</v>
      </c>
      <c r="D8" s="81">
        <v>43153</v>
      </c>
      <c r="E8" s="76">
        <v>2.4E-2</v>
      </c>
      <c r="F8" s="76">
        <v>2.4E-2</v>
      </c>
      <c r="G8" s="77">
        <f>E8/F8*B8</f>
        <v>18</v>
      </c>
      <c r="H8" s="78">
        <v>1366.5</v>
      </c>
      <c r="I8" s="81">
        <v>43153</v>
      </c>
      <c r="J8" s="80">
        <v>-16740</v>
      </c>
      <c r="K8" s="80">
        <f>(H8-C8)*G8*Q8</f>
        <v>-16740</v>
      </c>
      <c r="L8" s="78"/>
      <c r="M8" s="78"/>
      <c r="N8" s="82"/>
      <c r="O8" s="83"/>
      <c r="P8" s="79" t="s">
        <v>320</v>
      </c>
      <c r="Q8" s="79">
        <f>VLOOKUP(Cmt(A8),Sheet2!A:B,2,FALSE)</f>
        <v>60</v>
      </c>
    </row>
    <row r="9" spans="1:17">
      <c r="A9" s="85" t="s">
        <v>273</v>
      </c>
      <c r="B9" s="85">
        <v>20</v>
      </c>
      <c r="C9" s="85">
        <v>527.5</v>
      </c>
      <c r="D9" s="86">
        <v>43138</v>
      </c>
      <c r="E9" s="87">
        <v>3.2000000000000001E-2</v>
      </c>
      <c r="F9" s="87">
        <v>1.6E-2</v>
      </c>
      <c r="G9" s="85">
        <v>40</v>
      </c>
      <c r="H9" s="85">
        <v>523.5</v>
      </c>
      <c r="I9" s="86">
        <v>43139</v>
      </c>
      <c r="J9" s="85">
        <v>-12000</v>
      </c>
      <c r="K9" s="85">
        <v>-16000</v>
      </c>
      <c r="L9" s="79"/>
      <c r="M9" s="79"/>
      <c r="N9" s="79"/>
      <c r="O9" s="79"/>
      <c r="P9" s="79"/>
      <c r="Q9" s="79"/>
    </row>
    <row r="10" spans="1:17">
      <c r="A10" s="85" t="s">
        <v>57</v>
      </c>
      <c r="B10" s="85">
        <v>8</v>
      </c>
      <c r="C10" s="85">
        <v>105220</v>
      </c>
      <c r="D10" s="86">
        <v>43133</v>
      </c>
      <c r="E10" s="87">
        <v>2.5999999999999999E-2</v>
      </c>
      <c r="F10" s="87">
        <v>1.2999999999999999E-2</v>
      </c>
      <c r="G10" s="85">
        <v>16</v>
      </c>
      <c r="H10" s="85">
        <v>104320</v>
      </c>
      <c r="I10" s="86">
        <v>43133</v>
      </c>
      <c r="J10" s="85">
        <v>-7200</v>
      </c>
      <c r="K10" s="85">
        <v>-14400</v>
      </c>
      <c r="L10" s="78"/>
      <c r="M10" s="78"/>
      <c r="N10" s="79"/>
      <c r="O10" s="79"/>
      <c r="P10" s="79"/>
      <c r="Q10" s="79"/>
    </row>
    <row r="11" spans="1:17">
      <c r="A11" s="85" t="s">
        <v>87</v>
      </c>
      <c r="B11" s="85">
        <v>-8</v>
      </c>
      <c r="C11" s="85">
        <v>5082</v>
      </c>
      <c r="D11" s="86">
        <v>43139</v>
      </c>
      <c r="E11" s="87">
        <v>1.7999999999999999E-2</v>
      </c>
      <c r="F11" s="87">
        <v>6.0000000000000001E-3</v>
      </c>
      <c r="G11" s="85">
        <v>-24</v>
      </c>
      <c r="H11" s="85">
        <v>5140</v>
      </c>
      <c r="I11" s="86">
        <v>43139</v>
      </c>
      <c r="J11" s="85">
        <v>-4640</v>
      </c>
      <c r="K11" s="85">
        <v>-13920</v>
      </c>
      <c r="L11" s="78"/>
      <c r="M11" s="78"/>
      <c r="N11" s="79"/>
      <c r="O11" s="79"/>
      <c r="P11" s="79"/>
      <c r="Q11" s="79"/>
    </row>
    <row r="12" spans="1:17">
      <c r="A12" s="85" t="s">
        <v>163</v>
      </c>
      <c r="B12" s="85">
        <v>2</v>
      </c>
      <c r="C12" s="85">
        <v>2157</v>
      </c>
      <c r="D12" s="86">
        <v>43139</v>
      </c>
      <c r="E12" s="87">
        <v>1.4E-2</v>
      </c>
      <c r="F12" s="87">
        <v>7.0000000000000001E-3</v>
      </c>
      <c r="G12" s="85">
        <v>4</v>
      </c>
      <c r="H12" s="85">
        <v>2122.5</v>
      </c>
      <c r="I12" s="86">
        <v>43140</v>
      </c>
      <c r="J12" s="85">
        <v>-6900</v>
      </c>
      <c r="K12" s="85">
        <v>-13800</v>
      </c>
      <c r="L12" s="79"/>
      <c r="M12" s="79"/>
      <c r="N12" s="79"/>
      <c r="O12" s="79"/>
      <c r="P12" s="79"/>
      <c r="Q12" s="79"/>
    </row>
    <row r="13" spans="1:17">
      <c r="A13" s="85" t="s">
        <v>64</v>
      </c>
      <c r="B13" s="85">
        <v>30</v>
      </c>
      <c r="C13" s="85">
        <v>4035</v>
      </c>
      <c r="D13" s="86">
        <v>43136</v>
      </c>
      <c r="E13" s="87">
        <v>3.7999999999999999E-2</v>
      </c>
      <c r="F13" s="87">
        <v>1.9E-2</v>
      </c>
      <c r="G13" s="85">
        <v>60</v>
      </c>
      <c r="H13" s="85">
        <v>4012.3330000000001</v>
      </c>
      <c r="I13" s="86">
        <v>43137</v>
      </c>
      <c r="J13" s="85">
        <v>-11200.2</v>
      </c>
      <c r="K13" s="85">
        <v>-13600.2</v>
      </c>
      <c r="L13" s="78"/>
      <c r="M13" s="78"/>
      <c r="N13" s="82"/>
      <c r="O13" s="83"/>
      <c r="P13" s="79"/>
      <c r="Q13" s="79"/>
    </row>
    <row r="14" spans="1:17">
      <c r="A14" s="85" t="s">
        <v>52</v>
      </c>
      <c r="B14" s="85">
        <v>18</v>
      </c>
      <c r="C14" s="85">
        <v>3965</v>
      </c>
      <c r="D14" s="86">
        <v>43133</v>
      </c>
      <c r="E14" s="87">
        <v>2.1999999999999999E-2</v>
      </c>
      <c r="F14" s="87">
        <v>1.0999999999999999E-2</v>
      </c>
      <c r="G14" s="85">
        <v>36</v>
      </c>
      <c r="H14" s="85">
        <v>3928</v>
      </c>
      <c r="I14" s="86">
        <v>43133</v>
      </c>
      <c r="J14" s="85">
        <v>-6660</v>
      </c>
      <c r="K14" s="85">
        <v>-13320</v>
      </c>
      <c r="L14" s="78"/>
      <c r="M14" s="78"/>
      <c r="N14" s="79"/>
      <c r="O14" s="79"/>
      <c r="P14" s="79"/>
      <c r="Q14" s="79"/>
    </row>
    <row r="15" spans="1:17">
      <c r="A15" s="85" t="s">
        <v>273</v>
      </c>
      <c r="B15" s="85">
        <v>12</v>
      </c>
      <c r="C15" s="85">
        <v>533.5</v>
      </c>
      <c r="D15" s="86">
        <v>43139</v>
      </c>
      <c r="E15" s="87">
        <v>0.02</v>
      </c>
      <c r="F15" s="87">
        <v>0.01</v>
      </c>
      <c r="G15" s="85">
        <v>24</v>
      </c>
      <c r="H15" s="85">
        <v>528.5</v>
      </c>
      <c r="I15" s="86">
        <v>43140</v>
      </c>
      <c r="J15" s="85">
        <v>-6000</v>
      </c>
      <c r="K15" s="85">
        <v>-12000</v>
      </c>
      <c r="L15" s="78"/>
      <c r="M15" s="78"/>
      <c r="N15" s="79"/>
      <c r="O15" s="79"/>
      <c r="P15" s="79"/>
      <c r="Q15" s="79"/>
    </row>
    <row r="16" spans="1:17">
      <c r="A16" s="85" t="s">
        <v>53</v>
      </c>
      <c r="B16" s="85">
        <v>-4</v>
      </c>
      <c r="C16" s="85">
        <v>52800</v>
      </c>
      <c r="D16" s="86">
        <v>43137</v>
      </c>
      <c r="E16" s="87">
        <v>0.03</v>
      </c>
      <c r="F16" s="87">
        <v>1.4999999999999999E-2</v>
      </c>
      <c r="G16" s="85">
        <v>-8</v>
      </c>
      <c r="H16" s="85">
        <v>53090</v>
      </c>
      <c r="I16" s="86">
        <v>43138</v>
      </c>
      <c r="J16" s="85">
        <v>-13400</v>
      </c>
      <c r="K16" s="85">
        <v>-11600</v>
      </c>
      <c r="L16" s="78"/>
      <c r="M16" s="78"/>
      <c r="N16" s="82"/>
      <c r="O16" s="83"/>
      <c r="P16" s="79"/>
      <c r="Q16" s="79"/>
    </row>
    <row r="17" spans="1:17">
      <c r="A17" s="85" t="s">
        <v>161</v>
      </c>
      <c r="B17" s="85">
        <v>-14</v>
      </c>
      <c r="C17" s="85">
        <v>3612</v>
      </c>
      <c r="D17" s="86">
        <v>43133</v>
      </c>
      <c r="E17" s="87">
        <v>2.4E-2</v>
      </c>
      <c r="F17" s="87">
        <v>8.0000000000000002E-3</v>
      </c>
      <c r="G17" s="85">
        <v>-42</v>
      </c>
      <c r="H17" s="85">
        <v>3665</v>
      </c>
      <c r="I17" s="86">
        <v>43136</v>
      </c>
      <c r="J17" s="85">
        <v>-3710</v>
      </c>
      <c r="K17" s="85">
        <v>-11130</v>
      </c>
      <c r="L17" s="78"/>
      <c r="M17" s="78"/>
      <c r="N17" s="79"/>
      <c r="O17" s="79"/>
      <c r="P17" s="79"/>
      <c r="Q17" s="79"/>
    </row>
    <row r="18" spans="1:17">
      <c r="A18" s="78" t="s">
        <v>151</v>
      </c>
      <c r="B18" s="78">
        <v>9</v>
      </c>
      <c r="C18" s="78">
        <v>1419</v>
      </c>
      <c r="D18" s="81">
        <v>43154</v>
      </c>
      <c r="E18" s="76">
        <v>2.4E-2</v>
      </c>
      <c r="F18" s="76">
        <v>1.2E-2</v>
      </c>
      <c r="G18" s="77">
        <f>E18/F18*B18</f>
        <v>18</v>
      </c>
      <c r="H18" s="78">
        <v>1409</v>
      </c>
      <c r="I18" s="81">
        <v>43157</v>
      </c>
      <c r="J18" s="80">
        <v>-5400</v>
      </c>
      <c r="K18" s="80">
        <f>(H18-C18)*G18*Q18</f>
        <v>-10800</v>
      </c>
      <c r="L18" s="78"/>
      <c r="M18" s="78"/>
      <c r="N18" s="79"/>
      <c r="O18" s="79"/>
      <c r="P18" s="79" t="s">
        <v>320</v>
      </c>
      <c r="Q18" s="79">
        <f>VLOOKUP(Cmt(A18),Sheet2!A:B,2,FALSE)</f>
        <v>60</v>
      </c>
    </row>
    <row r="19" spans="1:17">
      <c r="A19" s="85" t="s">
        <v>164</v>
      </c>
      <c r="B19" s="85">
        <v>1</v>
      </c>
      <c r="C19" s="85">
        <v>4282</v>
      </c>
      <c r="D19" s="86">
        <v>43133</v>
      </c>
      <c r="E19" s="87">
        <v>1.2999999999999999E-2</v>
      </c>
      <c r="F19" s="87">
        <v>1.2999999999999999E-2</v>
      </c>
      <c r="G19" s="85">
        <v>1</v>
      </c>
      <c r="H19" s="85">
        <v>4247.2</v>
      </c>
      <c r="I19" s="86">
        <v>43136</v>
      </c>
      <c r="J19" s="85">
        <v>-10440</v>
      </c>
      <c r="K19" s="85">
        <v>-10440</v>
      </c>
      <c r="L19" s="79"/>
      <c r="M19" s="79"/>
      <c r="N19" s="79"/>
      <c r="O19" s="79"/>
      <c r="P19" s="79"/>
      <c r="Q19" s="79"/>
    </row>
    <row r="20" spans="1:17">
      <c r="A20" s="78" t="s">
        <v>151</v>
      </c>
      <c r="B20" s="78">
        <v>10</v>
      </c>
      <c r="C20" s="78">
        <v>1360.5</v>
      </c>
      <c r="D20" s="81">
        <v>43143</v>
      </c>
      <c r="E20" s="76">
        <v>2.4E-2</v>
      </c>
      <c r="F20" s="76">
        <v>1.2E-2</v>
      </c>
      <c r="G20" s="77">
        <f>E20/F20*B20</f>
        <v>20</v>
      </c>
      <c r="H20" s="78">
        <v>1353.5</v>
      </c>
      <c r="I20" s="81">
        <v>43143</v>
      </c>
      <c r="J20" s="80">
        <v>-4200</v>
      </c>
      <c r="K20" s="80">
        <f>(H20-C20)*G20*Q20</f>
        <v>-8400</v>
      </c>
      <c r="L20" s="78"/>
      <c r="M20" s="78"/>
      <c r="N20" s="82"/>
      <c r="O20" s="83"/>
      <c r="P20" s="79" t="s">
        <v>320</v>
      </c>
      <c r="Q20" s="79">
        <f>VLOOKUP(Cmt(A20),Sheet2!A:B,2,FALSE)</f>
        <v>60</v>
      </c>
    </row>
    <row r="21" spans="1:17">
      <c r="A21" s="85" t="s">
        <v>273</v>
      </c>
      <c r="B21" s="85">
        <v>20</v>
      </c>
      <c r="C21" s="85">
        <v>518.5</v>
      </c>
      <c r="D21" s="86">
        <v>43133</v>
      </c>
      <c r="E21" s="87">
        <v>3.2000000000000001E-2</v>
      </c>
      <c r="F21" s="87">
        <v>1.6E-2</v>
      </c>
      <c r="G21" s="85">
        <v>40</v>
      </c>
      <c r="H21" s="85">
        <v>516.5</v>
      </c>
      <c r="I21" s="86">
        <v>43136</v>
      </c>
      <c r="J21" s="85">
        <v>-4000</v>
      </c>
      <c r="K21" s="85">
        <v>-8000</v>
      </c>
      <c r="L21" s="79"/>
      <c r="M21" s="79"/>
      <c r="N21" s="79"/>
      <c r="O21" s="79"/>
      <c r="P21" s="79"/>
      <c r="Q21" s="79"/>
    </row>
    <row r="22" spans="1:17">
      <c r="A22" s="85" t="s">
        <v>59</v>
      </c>
      <c r="B22" s="85">
        <v>20</v>
      </c>
      <c r="C22" s="85">
        <v>6694</v>
      </c>
      <c r="D22" s="86">
        <v>43136</v>
      </c>
      <c r="E22" s="87">
        <v>2.1000000000000001E-2</v>
      </c>
      <c r="F22" s="87">
        <v>1.0999999999999999E-2</v>
      </c>
      <c r="G22" s="85">
        <v>40</v>
      </c>
      <c r="H22" s="85">
        <v>6654</v>
      </c>
      <c r="I22" s="86">
        <v>43137</v>
      </c>
      <c r="J22" s="85">
        <v>-16000</v>
      </c>
      <c r="K22" s="85">
        <v>-8000</v>
      </c>
      <c r="L22" s="79"/>
      <c r="M22" s="79"/>
      <c r="N22" s="79"/>
      <c r="O22" s="79"/>
      <c r="P22" s="79"/>
      <c r="Q22" s="79"/>
    </row>
    <row r="23" spans="1:17">
      <c r="A23" s="78" t="s">
        <v>52</v>
      </c>
      <c r="B23" s="78">
        <v>21</v>
      </c>
      <c r="C23" s="78">
        <v>4038</v>
      </c>
      <c r="D23" s="81">
        <v>43157</v>
      </c>
      <c r="E23" s="76">
        <v>2.7E-2</v>
      </c>
      <c r="F23" s="76">
        <v>1.35E-2</v>
      </c>
      <c r="G23" s="77">
        <f>E23/F23*B23</f>
        <v>42</v>
      </c>
      <c r="H23" s="78">
        <v>4019</v>
      </c>
      <c r="I23" s="81">
        <v>43158</v>
      </c>
      <c r="J23" s="80">
        <v>-3990</v>
      </c>
      <c r="K23" s="80">
        <f>(H23-C23)*G23*Q23</f>
        <v>-7980</v>
      </c>
      <c r="L23" s="79"/>
      <c r="M23" s="79"/>
      <c r="N23" s="79"/>
      <c r="O23" s="79"/>
      <c r="P23" s="79" t="s">
        <v>320</v>
      </c>
      <c r="Q23" s="79">
        <f>VLOOKUP(Cmt(A23),Sheet2!A:B,2,FALSE)</f>
        <v>10</v>
      </c>
    </row>
    <row r="24" spans="1:17">
      <c r="A24" s="85" t="s">
        <v>87</v>
      </c>
      <c r="B24" s="85">
        <v>-7</v>
      </c>
      <c r="C24" s="85">
        <v>5096</v>
      </c>
      <c r="D24" s="86">
        <v>43137</v>
      </c>
      <c r="E24" s="87">
        <v>1.7999999999999999E-2</v>
      </c>
      <c r="F24" s="87">
        <v>6.0000000000000001E-3</v>
      </c>
      <c r="G24" s="85">
        <v>-21</v>
      </c>
      <c r="H24" s="85">
        <v>5134</v>
      </c>
      <c r="I24" s="86">
        <v>43138</v>
      </c>
      <c r="J24" s="85">
        <v>-2660</v>
      </c>
      <c r="K24" s="85">
        <v>-7980</v>
      </c>
      <c r="L24" s="79"/>
      <c r="M24" s="79"/>
      <c r="N24" s="79"/>
      <c r="O24" s="79"/>
      <c r="P24" s="79"/>
      <c r="Q24" s="79"/>
    </row>
    <row r="25" spans="1:17">
      <c r="A25" s="85" t="s">
        <v>57</v>
      </c>
      <c r="B25" s="85">
        <v>-7</v>
      </c>
      <c r="C25" s="85">
        <v>100340</v>
      </c>
      <c r="D25" s="86">
        <v>43139</v>
      </c>
      <c r="E25" s="87">
        <v>2.1000000000000001E-2</v>
      </c>
      <c r="F25" s="87">
        <v>1.0999999999999999E-2</v>
      </c>
      <c r="G25" s="85">
        <v>-14</v>
      </c>
      <c r="H25" s="85">
        <v>100874.3</v>
      </c>
      <c r="I25" s="86">
        <v>43139</v>
      </c>
      <c r="J25" s="85">
        <v>-3740</v>
      </c>
      <c r="K25" s="85">
        <v>-7480</v>
      </c>
      <c r="L25" s="79"/>
      <c r="M25" s="79"/>
      <c r="N25" s="79"/>
      <c r="O25" s="79"/>
      <c r="P25" s="79"/>
      <c r="Q25" s="79"/>
    </row>
    <row r="26" spans="1:17">
      <c r="A26" s="78" t="s">
        <v>64</v>
      </c>
      <c r="B26" s="78">
        <v>20</v>
      </c>
      <c r="C26" s="78">
        <v>4074</v>
      </c>
      <c r="D26" s="81">
        <v>43157</v>
      </c>
      <c r="E26" s="76">
        <v>2.5999999999999999E-2</v>
      </c>
      <c r="F26" s="76">
        <v>1.2999999999999999E-2</v>
      </c>
      <c r="G26" s="77">
        <f>E26/F26*B26</f>
        <v>40</v>
      </c>
      <c r="H26" s="78">
        <v>4056</v>
      </c>
      <c r="I26" s="81">
        <v>43158</v>
      </c>
      <c r="J26" s="80">
        <v>-3600</v>
      </c>
      <c r="K26" s="80">
        <f>(H26-C26)*G26*Q26</f>
        <v>-7200</v>
      </c>
      <c r="L26" s="78"/>
      <c r="M26" s="78"/>
      <c r="N26" s="79"/>
      <c r="O26" s="79"/>
      <c r="P26" s="79" t="s">
        <v>320</v>
      </c>
      <c r="Q26" s="79">
        <f>VLOOKUP(Cmt(A26),Sheet2!A:B,2,FALSE)</f>
        <v>10</v>
      </c>
    </row>
    <row r="27" spans="1:17">
      <c r="A27" s="85" t="s">
        <v>156</v>
      </c>
      <c r="B27" s="85">
        <v>9</v>
      </c>
      <c r="C27" s="85">
        <v>26745</v>
      </c>
      <c r="D27" s="86">
        <v>43133</v>
      </c>
      <c r="E27" s="87">
        <v>3.6999999999999998E-2</v>
      </c>
      <c r="F27" s="87">
        <v>1.9E-2</v>
      </c>
      <c r="G27" s="85">
        <v>18</v>
      </c>
      <c r="H27" s="85">
        <v>26665</v>
      </c>
      <c r="I27" s="86">
        <v>43136</v>
      </c>
      <c r="J27" s="85">
        <v>-3600</v>
      </c>
      <c r="K27" s="85">
        <v>-7200</v>
      </c>
      <c r="L27" s="79"/>
      <c r="M27" s="79"/>
      <c r="N27" s="79"/>
      <c r="O27" s="79"/>
      <c r="P27" s="79"/>
      <c r="Q27" s="79"/>
    </row>
    <row r="28" spans="1:17">
      <c r="A28" s="85" t="s">
        <v>52</v>
      </c>
      <c r="B28" s="85">
        <v>27</v>
      </c>
      <c r="C28" s="85">
        <v>3957</v>
      </c>
      <c r="D28" s="86">
        <v>43136</v>
      </c>
      <c r="E28" s="87">
        <v>3.3000000000000002E-2</v>
      </c>
      <c r="F28" s="87">
        <v>1.7000000000000001E-2</v>
      </c>
      <c r="G28" s="85">
        <v>54</v>
      </c>
      <c r="H28" s="85">
        <v>3944</v>
      </c>
      <c r="I28" s="86">
        <v>43137</v>
      </c>
      <c r="J28" s="85">
        <v>-8910</v>
      </c>
      <c r="K28" s="85">
        <v>-7020</v>
      </c>
      <c r="L28" s="79"/>
      <c r="M28" s="79"/>
      <c r="N28" s="79"/>
      <c r="O28" s="79"/>
      <c r="P28" s="79"/>
      <c r="Q28" s="79"/>
    </row>
    <row r="29" spans="1:17">
      <c r="A29" s="78" t="s">
        <v>165</v>
      </c>
      <c r="B29" s="78">
        <v>-10</v>
      </c>
      <c r="C29" s="78">
        <v>14345</v>
      </c>
      <c r="D29" s="81">
        <v>43140</v>
      </c>
      <c r="E29" s="76">
        <v>2.3E-2</v>
      </c>
      <c r="F29" s="76">
        <v>1.15E-2</v>
      </c>
      <c r="G29" s="77">
        <f>E29/F29*B29</f>
        <v>-20</v>
      </c>
      <c r="H29" s="78">
        <v>14415</v>
      </c>
      <c r="I29" s="81">
        <v>43143</v>
      </c>
      <c r="J29" s="80">
        <v>-3500</v>
      </c>
      <c r="K29" s="80">
        <f>(H29-C29)*G29*Q29</f>
        <v>-7000</v>
      </c>
      <c r="L29" s="78">
        <v>14360</v>
      </c>
      <c r="M29" s="82">
        <v>43140</v>
      </c>
      <c r="N29" s="83">
        <v>0.66388888888888886</v>
      </c>
      <c r="O29" s="83"/>
      <c r="P29" s="79" t="s">
        <v>317</v>
      </c>
      <c r="Q29" s="79">
        <f>VLOOKUP(Cmt(A29),Sheet2!A:B,2,FALSE)</f>
        <v>5</v>
      </c>
    </row>
    <row r="30" spans="1:17">
      <c r="A30" s="78" t="s">
        <v>54</v>
      </c>
      <c r="B30" s="78">
        <v>-11</v>
      </c>
      <c r="C30" s="78">
        <v>5622</v>
      </c>
      <c r="D30" s="81">
        <v>43140</v>
      </c>
      <c r="E30" s="76">
        <v>1.4E-2</v>
      </c>
      <c r="F30" s="76">
        <v>4.6666666666666662E-3</v>
      </c>
      <c r="G30" s="77">
        <f>E30/F30*B30</f>
        <v>-33.000000000000007</v>
      </c>
      <c r="H30" s="78">
        <v>5662</v>
      </c>
      <c r="I30" s="81">
        <v>43153</v>
      </c>
      <c r="J30" s="80">
        <v>-9020</v>
      </c>
      <c r="K30" s="80">
        <f>(H30-C30)*G30*Q30</f>
        <v>-6600.0000000000009</v>
      </c>
      <c r="L30" s="78">
        <v>5600</v>
      </c>
      <c r="M30" s="82">
        <v>43140</v>
      </c>
      <c r="N30" s="83">
        <v>0.66388888888888886</v>
      </c>
      <c r="O30" s="79"/>
      <c r="P30" s="79" t="s">
        <v>318</v>
      </c>
      <c r="Q30" s="79">
        <f>VLOOKUP(Cmt(A30),Sheet2!A:B,2,FALSE)</f>
        <v>5</v>
      </c>
    </row>
    <row r="31" spans="1:17">
      <c r="A31" s="78" t="s">
        <v>165</v>
      </c>
      <c r="B31" s="78">
        <v>-10</v>
      </c>
      <c r="C31" s="78">
        <v>14250</v>
      </c>
      <c r="D31" s="81">
        <v>43153</v>
      </c>
      <c r="E31" s="76">
        <v>2.3E-2</v>
      </c>
      <c r="F31" s="76">
        <v>1.15E-2</v>
      </c>
      <c r="G31" s="77">
        <f>E31/F31*B31</f>
        <v>-20</v>
      </c>
      <c r="H31" s="78">
        <v>14315</v>
      </c>
      <c r="I31" s="81">
        <v>43153</v>
      </c>
      <c r="J31" s="80">
        <v>-3250</v>
      </c>
      <c r="K31" s="80">
        <f>(H31-C31)*G31*Q31</f>
        <v>-6500</v>
      </c>
      <c r="L31" s="78"/>
      <c r="M31" s="78"/>
      <c r="N31" s="79"/>
      <c r="O31" s="79"/>
      <c r="P31" s="79" t="s">
        <v>317</v>
      </c>
      <c r="Q31" s="79">
        <f>VLOOKUP(Cmt(A31),Sheet2!A:B,2,FALSE)</f>
        <v>5</v>
      </c>
    </row>
    <row r="32" spans="1:17">
      <c r="A32" s="78" t="s">
        <v>316</v>
      </c>
      <c r="B32" s="78">
        <v>4</v>
      </c>
      <c r="C32" s="78">
        <v>53550</v>
      </c>
      <c r="D32" s="81">
        <v>43157</v>
      </c>
      <c r="E32" s="76">
        <v>3.1E-2</v>
      </c>
      <c r="F32" s="76">
        <v>1.55E-2</v>
      </c>
      <c r="G32" s="77">
        <f>E32/F32*B32</f>
        <v>8</v>
      </c>
      <c r="H32" s="78">
        <v>53390</v>
      </c>
      <c r="I32" s="81">
        <v>43158</v>
      </c>
      <c r="J32" s="80">
        <v>-3200</v>
      </c>
      <c r="K32" s="80">
        <f>(H32-C32)*G32*Q32</f>
        <v>-6400</v>
      </c>
      <c r="L32" s="78"/>
      <c r="M32" s="78"/>
      <c r="N32" s="79"/>
      <c r="O32" s="79"/>
      <c r="P32" s="84" t="s">
        <v>317</v>
      </c>
      <c r="Q32" s="79">
        <f>VLOOKUP(Cmt(A32),Sheet2!A:B,2,FALSE)</f>
        <v>5</v>
      </c>
    </row>
    <row r="33" spans="1:17">
      <c r="A33" s="85" t="s">
        <v>64</v>
      </c>
      <c r="B33" s="85">
        <v>29</v>
      </c>
      <c r="C33" s="85">
        <v>4019</v>
      </c>
      <c r="D33" s="86">
        <v>43138</v>
      </c>
      <c r="E33" s="87">
        <v>3.5999999999999997E-2</v>
      </c>
      <c r="F33" s="87">
        <v>1.7999999999999999E-2</v>
      </c>
      <c r="G33" s="85">
        <v>58</v>
      </c>
      <c r="H33" s="85">
        <v>4008</v>
      </c>
      <c r="I33" s="86">
        <v>43138</v>
      </c>
      <c r="J33" s="85">
        <v>-3480</v>
      </c>
      <c r="K33" s="85">
        <v>-6380</v>
      </c>
      <c r="L33" s="79"/>
      <c r="M33" s="79"/>
      <c r="N33" s="79"/>
      <c r="O33" s="79"/>
      <c r="P33" s="79"/>
      <c r="Q33" s="79"/>
    </row>
    <row r="34" spans="1:17">
      <c r="A34" s="78" t="s">
        <v>61</v>
      </c>
      <c r="B34" s="78">
        <v>-15</v>
      </c>
      <c r="C34" s="78">
        <v>2708.13</v>
      </c>
      <c r="D34" s="81">
        <v>43143</v>
      </c>
      <c r="E34" s="76">
        <v>1.7000000000000001E-2</v>
      </c>
      <c r="F34" s="76">
        <v>5.6666666666666671E-3</v>
      </c>
      <c r="G34" s="77">
        <f>E34/F34*B34</f>
        <v>-45</v>
      </c>
      <c r="H34" s="78">
        <v>2722</v>
      </c>
      <c r="I34" s="81">
        <v>43153</v>
      </c>
      <c r="J34" s="80">
        <v>-9880</v>
      </c>
      <c r="K34" s="80">
        <f>(H34-C34)*G34*Q34</f>
        <v>-6241.4999999999509</v>
      </c>
      <c r="L34" s="78"/>
      <c r="M34" s="78"/>
      <c r="N34" s="79"/>
      <c r="O34" s="79"/>
      <c r="P34" s="84" t="s">
        <v>318</v>
      </c>
      <c r="Q34" s="79">
        <f>VLOOKUP(Cmt(A34),Sheet2!A:B,2,FALSE)</f>
        <v>10</v>
      </c>
    </row>
    <row r="35" spans="1:17">
      <c r="A35" s="85" t="s">
        <v>62</v>
      </c>
      <c r="B35" s="85">
        <v>-12</v>
      </c>
      <c r="C35" s="85">
        <v>2769</v>
      </c>
      <c r="D35" s="86">
        <v>43139</v>
      </c>
      <c r="E35" s="87">
        <v>1.4999999999999999E-2</v>
      </c>
      <c r="F35" s="87">
        <v>5.0000000000000001E-3</v>
      </c>
      <c r="G35" s="85">
        <v>-36</v>
      </c>
      <c r="H35" s="85">
        <v>2785</v>
      </c>
      <c r="I35" s="86">
        <v>43139</v>
      </c>
      <c r="J35" s="85">
        <v>-1920</v>
      </c>
      <c r="K35" s="85">
        <v>-5760</v>
      </c>
      <c r="L35" s="79"/>
      <c r="M35" s="79"/>
      <c r="N35" s="79"/>
      <c r="O35" s="79"/>
      <c r="P35" s="79"/>
      <c r="Q35" s="79"/>
    </row>
    <row r="36" spans="1:17">
      <c r="A36" s="85" t="s">
        <v>163</v>
      </c>
      <c r="B36" s="85">
        <v>4</v>
      </c>
      <c r="C36" s="85">
        <v>2148.5</v>
      </c>
      <c r="D36" s="86">
        <v>43139</v>
      </c>
      <c r="E36" s="87">
        <v>2.5000000000000001E-2</v>
      </c>
      <c r="F36" s="87">
        <v>1.2999999999999999E-2</v>
      </c>
      <c r="G36" s="85">
        <v>8</v>
      </c>
      <c r="H36" s="85">
        <v>2141.5</v>
      </c>
      <c r="I36" s="86">
        <v>43139</v>
      </c>
      <c r="J36" s="85">
        <v>-4600</v>
      </c>
      <c r="K36" s="85">
        <v>-5600</v>
      </c>
      <c r="L36" s="79"/>
      <c r="M36" s="79"/>
      <c r="N36" s="79"/>
      <c r="O36" s="79"/>
      <c r="P36" s="79"/>
      <c r="Q36" s="79"/>
    </row>
    <row r="37" spans="1:17">
      <c r="A37" s="78" t="s">
        <v>166</v>
      </c>
      <c r="B37" s="78">
        <v>-6</v>
      </c>
      <c r="C37" s="78">
        <v>9510</v>
      </c>
      <c r="D37" s="81">
        <v>43143</v>
      </c>
      <c r="E37" s="76">
        <v>1.4E-2</v>
      </c>
      <c r="F37" s="76">
        <v>4.6666666666666662E-3</v>
      </c>
      <c r="G37" s="77">
        <f>E37/F37*B37</f>
        <v>-18.000000000000004</v>
      </c>
      <c r="H37" s="78">
        <v>9570</v>
      </c>
      <c r="I37" s="81">
        <v>43153</v>
      </c>
      <c r="J37" s="80">
        <v>-8700</v>
      </c>
      <c r="K37" s="80">
        <f>(H37-C37)*G37*Q37</f>
        <v>-5400.0000000000009</v>
      </c>
      <c r="L37" s="78"/>
      <c r="M37" s="78"/>
      <c r="N37" s="79"/>
      <c r="O37" s="79"/>
      <c r="P37" s="84" t="s">
        <v>318</v>
      </c>
      <c r="Q37" s="79">
        <f>VLOOKUP(Cmt(A37),Sheet2!A:B,2,FALSE)</f>
        <v>5</v>
      </c>
    </row>
    <row r="38" spans="1:17">
      <c r="A38" s="85" t="s">
        <v>151</v>
      </c>
      <c r="B38" s="85">
        <v>10</v>
      </c>
      <c r="C38" s="85">
        <v>1365.5</v>
      </c>
      <c r="D38" s="86">
        <v>43139</v>
      </c>
      <c r="E38" s="87">
        <v>2.4E-2</v>
      </c>
      <c r="F38" s="87">
        <v>1.2E-2</v>
      </c>
      <c r="G38" s="85">
        <v>20</v>
      </c>
      <c r="H38" s="85">
        <v>1361</v>
      </c>
      <c r="I38" s="86">
        <v>43140</v>
      </c>
      <c r="J38" s="85">
        <v>-2700</v>
      </c>
      <c r="K38" s="85">
        <v>-5400</v>
      </c>
      <c r="L38" s="79"/>
      <c r="M38" s="79"/>
      <c r="N38" s="79"/>
      <c r="O38" s="79"/>
      <c r="P38" s="79"/>
      <c r="Q38" s="79"/>
    </row>
    <row r="39" spans="1:17">
      <c r="A39" s="85" t="s">
        <v>165</v>
      </c>
      <c r="B39" s="85">
        <v>-14</v>
      </c>
      <c r="C39" s="85">
        <v>14370</v>
      </c>
      <c r="D39" s="86">
        <v>43138</v>
      </c>
      <c r="E39" s="87">
        <v>3.2000000000000001E-2</v>
      </c>
      <c r="F39" s="87">
        <v>1.6E-2</v>
      </c>
      <c r="G39" s="85">
        <v>-28</v>
      </c>
      <c r="H39" s="85">
        <v>14405</v>
      </c>
      <c r="I39" s="86">
        <v>43138</v>
      </c>
      <c r="J39" s="85">
        <v>-2450</v>
      </c>
      <c r="K39" s="85">
        <v>-4900</v>
      </c>
      <c r="L39" s="79"/>
      <c r="M39" s="79"/>
      <c r="N39" s="79"/>
      <c r="O39" s="79"/>
      <c r="P39" s="79"/>
      <c r="Q39" s="79"/>
    </row>
    <row r="40" spans="1:17">
      <c r="A40" s="78" t="s">
        <v>63</v>
      </c>
      <c r="B40" s="78">
        <v>12</v>
      </c>
      <c r="C40" s="78">
        <v>2984</v>
      </c>
      <c r="D40" s="81">
        <v>43154</v>
      </c>
      <c r="E40" s="76">
        <v>1.7000000000000001E-2</v>
      </c>
      <c r="F40" s="76">
        <v>5.6666666666666671E-3</v>
      </c>
      <c r="G40" s="77">
        <f>E40/F40*B40</f>
        <v>36</v>
      </c>
      <c r="H40" s="78">
        <v>2971</v>
      </c>
      <c r="I40" s="81">
        <v>43158</v>
      </c>
      <c r="J40" s="80">
        <v>-1560</v>
      </c>
      <c r="K40" s="80">
        <f>(H40-C40)*G40*Q40</f>
        <v>-4680</v>
      </c>
      <c r="L40" s="78"/>
      <c r="M40" s="78"/>
      <c r="N40" s="79"/>
      <c r="O40" s="79"/>
      <c r="P40" s="84" t="s">
        <v>319</v>
      </c>
      <c r="Q40" s="79">
        <f>VLOOKUP(Cmt(A40),Sheet2!A:B,2,FALSE)</f>
        <v>10</v>
      </c>
    </row>
    <row r="41" spans="1:17">
      <c r="A41" s="78" t="s">
        <v>93</v>
      </c>
      <c r="B41" s="78">
        <v>-1</v>
      </c>
      <c r="C41" s="78">
        <v>2850</v>
      </c>
      <c r="D41" s="81">
        <v>43140</v>
      </c>
      <c r="E41" s="76">
        <v>1.7000000000000001E-2</v>
      </c>
      <c r="F41" s="76">
        <v>1.7000000000000001E-2</v>
      </c>
      <c r="G41" s="77">
        <f>E41/F41*B41</f>
        <v>-1</v>
      </c>
      <c r="H41" s="78">
        <v>2863</v>
      </c>
      <c r="I41" s="81">
        <v>43144</v>
      </c>
      <c r="J41" s="80">
        <v>-3900</v>
      </c>
      <c r="K41" s="80">
        <f>(H41-C41)*G41*Q41</f>
        <v>-3900</v>
      </c>
      <c r="L41" s="78"/>
      <c r="M41" s="79"/>
      <c r="N41" s="79"/>
      <c r="O41" s="83"/>
      <c r="P41" s="79" t="s">
        <v>321</v>
      </c>
      <c r="Q41" s="79">
        <f>VLOOKUP(Cmt(A41),Sheet2!A:B,2,FALSE)</f>
        <v>300</v>
      </c>
    </row>
    <row r="42" spans="1:17">
      <c r="A42" s="78" t="s">
        <v>55</v>
      </c>
      <c r="B42" s="78">
        <v>20</v>
      </c>
      <c r="C42" s="78">
        <v>2479</v>
      </c>
      <c r="D42" s="81">
        <v>43154</v>
      </c>
      <c r="E42" s="76">
        <v>8.0000000000000002E-3</v>
      </c>
      <c r="F42" s="76">
        <v>8.0000000000000002E-3</v>
      </c>
      <c r="G42" s="77">
        <f>E42/F42*B42</f>
        <v>20</v>
      </c>
      <c r="H42" s="78">
        <v>2461</v>
      </c>
      <c r="I42" s="81">
        <v>43158</v>
      </c>
      <c r="J42" s="80">
        <v>-3600</v>
      </c>
      <c r="K42" s="80">
        <f>(H42-C42)*G42*Q42</f>
        <v>-3600</v>
      </c>
      <c r="L42" s="78"/>
      <c r="M42" s="78"/>
      <c r="N42" s="82"/>
      <c r="O42" s="83"/>
      <c r="P42" s="79" t="s">
        <v>319</v>
      </c>
      <c r="Q42" s="79">
        <f>VLOOKUP(Cmt(A42),Sheet2!A:B,2,FALSE)</f>
        <v>10</v>
      </c>
    </row>
    <row r="43" spans="1:17">
      <c r="A43" s="85" t="s">
        <v>54</v>
      </c>
      <c r="B43" s="85">
        <v>-11</v>
      </c>
      <c r="C43" s="85">
        <v>5625.82</v>
      </c>
      <c r="D43" s="86">
        <v>43139</v>
      </c>
      <c r="E43" s="87">
        <v>1.4E-2</v>
      </c>
      <c r="F43" s="87">
        <v>5.0000000000000001E-3</v>
      </c>
      <c r="G43" s="85">
        <v>-33</v>
      </c>
      <c r="H43" s="85">
        <v>5646</v>
      </c>
      <c r="I43" s="86">
        <v>43139</v>
      </c>
      <c r="J43" s="85">
        <v>-1109.9000000000001</v>
      </c>
      <c r="K43" s="85">
        <v>-3329.7</v>
      </c>
      <c r="L43" s="79"/>
      <c r="M43" s="79"/>
      <c r="N43" s="79"/>
      <c r="O43" s="79"/>
      <c r="P43" s="79"/>
      <c r="Q43" s="79"/>
    </row>
    <row r="44" spans="1:17">
      <c r="A44" s="85" t="s">
        <v>56</v>
      </c>
      <c r="B44" s="85">
        <v>27</v>
      </c>
      <c r="C44" s="85">
        <v>2121</v>
      </c>
      <c r="D44" s="86">
        <v>43136</v>
      </c>
      <c r="E44" s="87">
        <v>2.7E-2</v>
      </c>
      <c r="F44" s="87">
        <v>8.9999999999999993E-3</v>
      </c>
      <c r="G44" s="85">
        <v>81</v>
      </c>
      <c r="H44" s="85">
        <v>2117</v>
      </c>
      <c r="I44" s="86">
        <v>43137</v>
      </c>
      <c r="J44" s="85">
        <v>-1080</v>
      </c>
      <c r="K44" s="85">
        <v>-3240</v>
      </c>
      <c r="L44" s="79"/>
      <c r="M44" s="79"/>
      <c r="N44" s="79"/>
      <c r="O44" s="79"/>
      <c r="P44" s="79"/>
      <c r="Q44" s="79"/>
    </row>
    <row r="45" spans="1:17">
      <c r="A45" s="78" t="s">
        <v>60</v>
      </c>
      <c r="B45" s="78">
        <v>-2</v>
      </c>
      <c r="C45" s="78">
        <v>271.89999999999998</v>
      </c>
      <c r="D45" s="81">
        <v>43140</v>
      </c>
      <c r="E45" s="76">
        <v>1.2999999999999999E-2</v>
      </c>
      <c r="F45" s="76">
        <v>6.4999999999999997E-3</v>
      </c>
      <c r="G45" s="77">
        <f>E45/F45*B45</f>
        <v>-4</v>
      </c>
      <c r="H45" s="78">
        <v>272.7</v>
      </c>
      <c r="I45" s="81">
        <v>43143</v>
      </c>
      <c r="J45" s="80">
        <v>-1600.0000000000227</v>
      </c>
      <c r="K45" s="80">
        <f>(H45-C45)*G45*Q45</f>
        <v>-3200.0000000000455</v>
      </c>
      <c r="L45" s="78"/>
      <c r="M45" s="78"/>
      <c r="N45" s="82"/>
      <c r="O45" s="83"/>
      <c r="P45" s="79" t="s">
        <v>322</v>
      </c>
      <c r="Q45" s="79">
        <f>VLOOKUP(Cmt(A45),Sheet2!A:B,2,FALSE)</f>
        <v>1000</v>
      </c>
    </row>
    <row r="46" spans="1:17">
      <c r="A46" s="78" t="s">
        <v>59</v>
      </c>
      <c r="B46" s="78">
        <v>43</v>
      </c>
      <c r="C46" s="78">
        <v>6782</v>
      </c>
      <c r="D46" s="81">
        <v>43153</v>
      </c>
      <c r="E46" s="76">
        <v>2.3E-2</v>
      </c>
      <c r="F46" s="76">
        <v>2.3E-2</v>
      </c>
      <c r="G46" s="77">
        <f>E46/F46*B46</f>
        <v>43</v>
      </c>
      <c r="H46" s="78">
        <v>6768</v>
      </c>
      <c r="I46" s="81">
        <v>43154</v>
      </c>
      <c r="J46" s="80">
        <v>-3010</v>
      </c>
      <c r="K46" s="80">
        <f>(H46-C46)*G46*Q46</f>
        <v>-3010</v>
      </c>
      <c r="L46" s="78"/>
      <c r="M46" s="78"/>
      <c r="N46" s="79"/>
      <c r="O46" s="79"/>
      <c r="P46" s="79" t="s">
        <v>320</v>
      </c>
      <c r="Q46" s="79">
        <f>VLOOKUP(Cmt(A46),Sheet2!A:B,2,FALSE)</f>
        <v>5</v>
      </c>
    </row>
    <row r="47" spans="1:17">
      <c r="A47" s="85" t="s">
        <v>63</v>
      </c>
      <c r="B47" s="85">
        <v>-13</v>
      </c>
      <c r="C47" s="85">
        <v>2768</v>
      </c>
      <c r="D47" s="86">
        <v>43136</v>
      </c>
      <c r="E47" s="87">
        <v>1.7000000000000001E-2</v>
      </c>
      <c r="F47" s="87">
        <v>6.0000000000000001E-3</v>
      </c>
      <c r="G47" s="85">
        <v>-39</v>
      </c>
      <c r="H47" s="85">
        <v>2775</v>
      </c>
      <c r="I47" s="86">
        <v>43137</v>
      </c>
      <c r="J47" s="85">
        <v>-4030</v>
      </c>
      <c r="K47" s="85">
        <v>-2730</v>
      </c>
      <c r="L47" s="79"/>
      <c r="M47" s="79"/>
      <c r="N47" s="79"/>
      <c r="O47" s="79"/>
      <c r="P47" s="79"/>
      <c r="Q47" s="79"/>
    </row>
    <row r="48" spans="1:17">
      <c r="A48" s="85" t="s">
        <v>61</v>
      </c>
      <c r="B48" s="85">
        <v>4</v>
      </c>
      <c r="C48" s="85">
        <v>2912</v>
      </c>
      <c r="D48" s="86">
        <v>43133</v>
      </c>
      <c r="E48" s="87">
        <v>4.0000000000000001E-3</v>
      </c>
      <c r="F48" s="87">
        <v>2E-3</v>
      </c>
      <c r="G48" s="85">
        <v>8</v>
      </c>
      <c r="H48" s="85">
        <v>2878</v>
      </c>
      <c r="I48" s="86">
        <v>43133</v>
      </c>
      <c r="J48" s="85">
        <v>-1360</v>
      </c>
      <c r="K48" s="85">
        <v>-2720</v>
      </c>
      <c r="L48" s="79"/>
      <c r="M48" s="79"/>
      <c r="N48" s="79"/>
      <c r="O48" s="79"/>
      <c r="P48" s="79"/>
      <c r="Q48" s="79"/>
    </row>
    <row r="49" spans="1:17">
      <c r="A49" s="85" t="s">
        <v>63</v>
      </c>
      <c r="B49" s="85">
        <v>17</v>
      </c>
      <c r="C49" s="85">
        <v>2807</v>
      </c>
      <c r="D49" s="86">
        <v>43139</v>
      </c>
      <c r="E49" s="87">
        <v>2.1999999999999999E-2</v>
      </c>
      <c r="F49" s="87">
        <v>7.0000000000000001E-3</v>
      </c>
      <c r="G49" s="85">
        <v>51</v>
      </c>
      <c r="H49" s="85">
        <v>2802</v>
      </c>
      <c r="I49" s="86">
        <v>43140</v>
      </c>
      <c r="J49" s="85">
        <v>-2550</v>
      </c>
      <c r="K49" s="85">
        <v>-2550</v>
      </c>
      <c r="L49" s="79"/>
      <c r="M49" s="79"/>
      <c r="N49" s="79"/>
      <c r="O49" s="79"/>
      <c r="P49" s="79"/>
      <c r="Q49" s="79"/>
    </row>
    <row r="50" spans="1:17">
      <c r="A50" s="78" t="s">
        <v>56</v>
      </c>
      <c r="B50" s="78">
        <v>21</v>
      </c>
      <c r="C50" s="78">
        <v>2136</v>
      </c>
      <c r="D50" s="81">
        <v>43143</v>
      </c>
      <c r="E50" s="76">
        <v>2.1000000000000001E-2</v>
      </c>
      <c r="F50" s="76">
        <v>7.0000000000000001E-3</v>
      </c>
      <c r="G50" s="77">
        <f>E50/F50*B50</f>
        <v>63</v>
      </c>
      <c r="H50" s="78">
        <v>2132</v>
      </c>
      <c r="I50" s="81">
        <v>43143</v>
      </c>
      <c r="J50" s="80">
        <v>-840</v>
      </c>
      <c r="K50" s="80">
        <f>(H50-C50)*G50*Q50</f>
        <v>-2520</v>
      </c>
      <c r="L50" s="78"/>
      <c r="M50" s="78"/>
      <c r="N50" s="82"/>
      <c r="O50" s="83"/>
      <c r="P50" s="84" t="s">
        <v>319</v>
      </c>
      <c r="Q50" s="79">
        <f>VLOOKUP(Cmt(A50),Sheet2!A:B,2,FALSE)</f>
        <v>10</v>
      </c>
    </row>
    <row r="51" spans="1:17">
      <c r="A51" s="85" t="s">
        <v>93</v>
      </c>
      <c r="B51" s="85">
        <v>1</v>
      </c>
      <c r="C51" s="85">
        <v>3171</v>
      </c>
      <c r="D51" s="86">
        <v>43136</v>
      </c>
      <c r="E51" s="87">
        <v>1.7999999999999999E-2</v>
      </c>
      <c r="F51" s="87">
        <v>1.7999999999999999E-2</v>
      </c>
      <c r="G51" s="85">
        <v>1</v>
      </c>
      <c r="H51" s="85">
        <v>3162.8</v>
      </c>
      <c r="I51" s="86">
        <v>43137</v>
      </c>
      <c r="J51" s="85">
        <v>-2460</v>
      </c>
      <c r="K51" s="85">
        <v>-2460</v>
      </c>
      <c r="L51" s="79"/>
      <c r="M51" s="79"/>
      <c r="N51" s="79"/>
      <c r="O51" s="79"/>
      <c r="P51" s="79"/>
      <c r="Q51" s="79"/>
    </row>
    <row r="52" spans="1:17">
      <c r="A52" s="85" t="s">
        <v>165</v>
      </c>
      <c r="B52" s="85">
        <v>-15</v>
      </c>
      <c r="C52" s="85">
        <v>14430</v>
      </c>
      <c r="D52" s="86">
        <v>43137</v>
      </c>
      <c r="E52" s="87">
        <v>3.3000000000000002E-2</v>
      </c>
      <c r="F52" s="87">
        <v>1.7000000000000001E-2</v>
      </c>
      <c r="G52" s="85">
        <v>-30</v>
      </c>
      <c r="H52" s="85">
        <v>14445</v>
      </c>
      <c r="I52" s="86">
        <v>43138</v>
      </c>
      <c r="J52" s="85">
        <v>-9375</v>
      </c>
      <c r="K52" s="85">
        <v>-2250</v>
      </c>
      <c r="L52" s="79"/>
      <c r="M52" s="79"/>
      <c r="N52" s="79"/>
      <c r="O52" s="79"/>
      <c r="P52" s="79"/>
      <c r="Q52" s="79"/>
    </row>
    <row r="53" spans="1:17">
      <c r="A53" s="78" t="s">
        <v>53</v>
      </c>
      <c r="B53" s="78">
        <v>-2</v>
      </c>
      <c r="C53" s="78">
        <v>51550</v>
      </c>
      <c r="D53" s="81">
        <v>43144</v>
      </c>
      <c r="E53" s="76">
        <v>1.6E-2</v>
      </c>
      <c r="F53" s="76">
        <v>8.0000000000000002E-3</v>
      </c>
      <c r="G53" s="77">
        <f>E53/F53*B53</f>
        <v>-4</v>
      </c>
      <c r="H53" s="78">
        <v>51640</v>
      </c>
      <c r="I53" s="81">
        <v>43144</v>
      </c>
      <c r="J53" s="80">
        <v>-900</v>
      </c>
      <c r="K53" s="80">
        <f>(H53-C53)*G53*Q53</f>
        <v>-1800</v>
      </c>
      <c r="L53" s="78"/>
      <c r="M53" s="78"/>
      <c r="N53" s="82"/>
      <c r="O53" s="83"/>
      <c r="P53" s="84" t="s">
        <v>317</v>
      </c>
      <c r="Q53" s="79">
        <f>VLOOKUP(Cmt(A53),Sheet2!A:B,2,FALSE)</f>
        <v>5</v>
      </c>
    </row>
    <row r="54" spans="1:17">
      <c r="A54" s="85" t="s">
        <v>62</v>
      </c>
      <c r="B54" s="85">
        <v>-9</v>
      </c>
      <c r="C54" s="85">
        <v>2783</v>
      </c>
      <c r="D54" s="86">
        <v>43133</v>
      </c>
      <c r="E54" s="87">
        <v>1.2E-2</v>
      </c>
      <c r="F54" s="87">
        <v>4.0000000000000001E-3</v>
      </c>
      <c r="G54" s="85">
        <v>-27</v>
      </c>
      <c r="H54" s="85">
        <v>2789</v>
      </c>
      <c r="I54" s="86">
        <v>43136</v>
      </c>
      <c r="J54" s="85">
        <v>-540</v>
      </c>
      <c r="K54" s="85">
        <v>-1620</v>
      </c>
      <c r="L54" s="79"/>
      <c r="M54" s="79"/>
      <c r="N54" s="79"/>
      <c r="O54" s="79"/>
      <c r="P54" s="79"/>
      <c r="Q54" s="79"/>
    </row>
    <row r="55" spans="1:17">
      <c r="A55" s="85" t="s">
        <v>59</v>
      </c>
      <c r="B55" s="85">
        <v>20</v>
      </c>
      <c r="C55" s="85">
        <v>6696</v>
      </c>
      <c r="D55" s="86">
        <v>43137</v>
      </c>
      <c r="E55" s="87">
        <v>2.1000000000000001E-2</v>
      </c>
      <c r="F55" s="87">
        <v>1.0999999999999999E-2</v>
      </c>
      <c r="G55" s="85">
        <v>40</v>
      </c>
      <c r="H55" s="85">
        <v>6688</v>
      </c>
      <c r="I55" s="86">
        <v>43137</v>
      </c>
      <c r="J55" s="85">
        <v>-800</v>
      </c>
      <c r="K55" s="85">
        <v>-1600</v>
      </c>
      <c r="L55" s="79"/>
      <c r="M55" s="79"/>
      <c r="N55" s="79"/>
      <c r="O55" s="79"/>
      <c r="P55" s="79"/>
      <c r="Q55" s="79"/>
    </row>
    <row r="56" spans="1:17">
      <c r="A56" s="78" t="s">
        <v>57</v>
      </c>
      <c r="B56" s="78">
        <v>7</v>
      </c>
      <c r="C56" s="78">
        <v>105400</v>
      </c>
      <c r="D56" s="81">
        <v>43157</v>
      </c>
      <c r="E56" s="76">
        <v>2.5000000000000001E-2</v>
      </c>
      <c r="F56" s="76">
        <v>1.2500000000000001E-2</v>
      </c>
      <c r="G56" s="77">
        <f>E56/F56*B56</f>
        <v>14</v>
      </c>
      <c r="H56" s="78">
        <v>105290</v>
      </c>
      <c r="I56" s="81">
        <v>43158</v>
      </c>
      <c r="J56" s="80">
        <v>-770</v>
      </c>
      <c r="K56" s="80">
        <f>(H56-C56)*G56*Q56</f>
        <v>-1540</v>
      </c>
      <c r="L56" s="78"/>
      <c r="M56" s="78"/>
      <c r="N56" s="79"/>
      <c r="O56" s="79"/>
      <c r="P56" s="79" t="s">
        <v>317</v>
      </c>
      <c r="Q56" s="79">
        <f>VLOOKUP(Cmt(A56),Sheet2!A:B,2,FALSE)</f>
        <v>1</v>
      </c>
    </row>
    <row r="57" spans="1:17">
      <c r="A57" s="78" t="s">
        <v>57</v>
      </c>
      <c r="B57" s="78">
        <v>8</v>
      </c>
      <c r="C57" s="78">
        <v>105100</v>
      </c>
      <c r="D57" s="81">
        <v>43154</v>
      </c>
      <c r="E57" s="76">
        <v>2.7E-2</v>
      </c>
      <c r="F57" s="76">
        <v>1.35E-2</v>
      </c>
      <c r="G57" s="77">
        <f>E57/F57*B57</f>
        <v>16</v>
      </c>
      <c r="H57" s="78">
        <v>105010</v>
      </c>
      <c r="I57" s="81">
        <v>43157</v>
      </c>
      <c r="J57" s="80">
        <v>-720</v>
      </c>
      <c r="K57" s="80">
        <f>(H57-C57)*G57*Q57</f>
        <v>-1440</v>
      </c>
      <c r="L57" s="78"/>
      <c r="M57" s="78"/>
      <c r="N57" s="82"/>
      <c r="O57" s="83"/>
      <c r="P57" s="79" t="s">
        <v>317</v>
      </c>
      <c r="Q57" s="79">
        <f>VLOOKUP(Cmt(A57),Sheet2!A:B,2,FALSE)</f>
        <v>1</v>
      </c>
    </row>
    <row r="58" spans="1:17">
      <c r="A58" s="78" t="s">
        <v>59</v>
      </c>
      <c r="B58" s="78">
        <v>22</v>
      </c>
      <c r="C58" s="78">
        <v>6774</v>
      </c>
      <c r="D58" s="81">
        <v>43154</v>
      </c>
      <c r="E58" s="76">
        <v>2.3E-2</v>
      </c>
      <c r="F58" s="76">
        <v>1.15E-2</v>
      </c>
      <c r="G58" s="77">
        <f>E58/F58*B58</f>
        <v>44</v>
      </c>
      <c r="H58" s="78">
        <v>6768</v>
      </c>
      <c r="I58" s="81">
        <v>43158</v>
      </c>
      <c r="J58" s="80">
        <v>-660</v>
      </c>
      <c r="K58" s="80">
        <f>(H58-C58)*G58*Q58</f>
        <v>-1320</v>
      </c>
      <c r="L58" s="78"/>
      <c r="M58" s="78"/>
      <c r="N58" s="82"/>
      <c r="O58" s="83"/>
      <c r="P58" s="79" t="s">
        <v>320</v>
      </c>
      <c r="Q58" s="79">
        <f>VLOOKUP(Cmt(A58),Sheet2!A:B,2,FALSE)</f>
        <v>5</v>
      </c>
    </row>
    <row r="59" spans="1:17">
      <c r="A59" s="85" t="s">
        <v>166</v>
      </c>
      <c r="B59" s="85">
        <v>-8</v>
      </c>
      <c r="C59" s="85">
        <v>9545</v>
      </c>
      <c r="D59" s="86">
        <v>43139</v>
      </c>
      <c r="E59" s="87">
        <v>1.9E-2</v>
      </c>
      <c r="F59" s="87">
        <v>6.0000000000000001E-3</v>
      </c>
      <c r="G59" s="85">
        <v>-24</v>
      </c>
      <c r="H59" s="85">
        <v>9555</v>
      </c>
      <c r="I59" s="86">
        <v>43140</v>
      </c>
      <c r="J59" s="85">
        <v>400</v>
      </c>
      <c r="K59" s="85">
        <v>-1200</v>
      </c>
      <c r="L59" s="79"/>
      <c r="M59" s="79"/>
      <c r="N59" s="79"/>
      <c r="O59" s="79"/>
      <c r="P59" s="79"/>
      <c r="Q59" s="79"/>
    </row>
    <row r="60" spans="1:17">
      <c r="A60" s="85" t="s">
        <v>55</v>
      </c>
      <c r="B60" s="85">
        <v>29</v>
      </c>
      <c r="C60" s="85">
        <v>2327</v>
      </c>
      <c r="D60" s="86">
        <v>43138</v>
      </c>
      <c r="E60" s="87">
        <v>2.1000000000000001E-2</v>
      </c>
      <c r="F60" s="87">
        <v>1.0999999999999999E-2</v>
      </c>
      <c r="G60" s="85">
        <v>58</v>
      </c>
      <c r="H60" s="85">
        <v>2325</v>
      </c>
      <c r="I60" s="86">
        <v>43139</v>
      </c>
      <c r="J60" s="85">
        <v>-580</v>
      </c>
      <c r="K60" s="85">
        <v>-1160</v>
      </c>
      <c r="L60" s="79"/>
      <c r="M60" s="79"/>
      <c r="N60" s="79"/>
      <c r="O60" s="79"/>
      <c r="P60" s="79"/>
      <c r="Q60" s="79"/>
    </row>
    <row r="61" spans="1:17">
      <c r="A61" s="78" t="s">
        <v>60</v>
      </c>
      <c r="B61" s="78">
        <v>-2</v>
      </c>
      <c r="C61" s="78">
        <v>272.3</v>
      </c>
      <c r="D61" s="81">
        <v>43159</v>
      </c>
      <c r="E61" s="76">
        <v>1.2E-2</v>
      </c>
      <c r="F61" s="76">
        <v>6.0000000000000001E-3</v>
      </c>
      <c r="G61" s="77">
        <f>E61/F61*B61</f>
        <v>-4</v>
      </c>
      <c r="H61" s="78">
        <v>272.3</v>
      </c>
      <c r="I61" s="81">
        <v>43159</v>
      </c>
      <c r="J61" s="80">
        <v>0</v>
      </c>
      <c r="K61" s="80">
        <f>(H61-C61)*G61*Q61</f>
        <v>0</v>
      </c>
      <c r="L61" s="78"/>
      <c r="M61" s="78"/>
      <c r="N61" s="79"/>
      <c r="O61" s="79"/>
      <c r="P61" s="79" t="s">
        <v>322</v>
      </c>
      <c r="Q61" s="79">
        <f>VLOOKUP(Cmt(A61),Sheet2!A:B,2,FALSE)</f>
        <v>1000</v>
      </c>
    </row>
    <row r="62" spans="1:17">
      <c r="A62" s="85" t="s">
        <v>63</v>
      </c>
      <c r="B62" s="85">
        <v>25</v>
      </c>
      <c r="C62" s="85">
        <v>2796</v>
      </c>
      <c r="D62" s="86">
        <v>43138</v>
      </c>
      <c r="E62" s="87">
        <v>2.1999999999999999E-2</v>
      </c>
      <c r="F62" s="87">
        <v>1.0999999999999999E-2</v>
      </c>
      <c r="G62" s="85">
        <v>50</v>
      </c>
      <c r="H62" s="85">
        <v>2796</v>
      </c>
      <c r="I62" s="86">
        <v>43139</v>
      </c>
      <c r="J62" s="85">
        <v>0</v>
      </c>
      <c r="K62" s="85">
        <v>0</v>
      </c>
      <c r="L62" s="79"/>
      <c r="M62" s="79"/>
      <c r="N62" s="79"/>
      <c r="O62" s="79"/>
      <c r="P62" s="79"/>
      <c r="Q62" s="79"/>
    </row>
    <row r="63" spans="1:17">
      <c r="A63" s="85" t="s">
        <v>55</v>
      </c>
      <c r="B63" s="85">
        <v>19</v>
      </c>
      <c r="C63" s="85">
        <v>2338</v>
      </c>
      <c r="D63" s="86">
        <v>43139</v>
      </c>
      <c r="E63" s="87">
        <v>2.1000000000000001E-2</v>
      </c>
      <c r="F63" s="87">
        <v>7.0000000000000001E-3</v>
      </c>
      <c r="G63" s="85">
        <v>57</v>
      </c>
      <c r="H63" s="85">
        <v>2338</v>
      </c>
      <c r="I63" s="86">
        <v>43140</v>
      </c>
      <c r="J63" s="85">
        <v>0</v>
      </c>
      <c r="K63" s="85">
        <v>0</v>
      </c>
      <c r="L63" s="79"/>
      <c r="M63" s="79"/>
      <c r="N63" s="79"/>
      <c r="O63" s="79"/>
      <c r="P63" s="79"/>
      <c r="Q63" s="79"/>
    </row>
    <row r="64" spans="1:17">
      <c r="A64" s="85" t="s">
        <v>64</v>
      </c>
      <c r="B64" s="85">
        <v>21</v>
      </c>
      <c r="C64" s="85">
        <v>4015</v>
      </c>
      <c r="D64" s="86">
        <v>43133</v>
      </c>
      <c r="E64" s="87">
        <v>3.9E-2</v>
      </c>
      <c r="F64" s="87">
        <v>1.2999999999999999E-2</v>
      </c>
      <c r="G64" s="85">
        <v>63</v>
      </c>
      <c r="H64" s="85">
        <v>4016</v>
      </c>
      <c r="I64" s="86">
        <v>43136</v>
      </c>
      <c r="J64" s="85">
        <v>210</v>
      </c>
      <c r="K64" s="85">
        <v>630</v>
      </c>
      <c r="L64" s="79"/>
      <c r="M64" s="79"/>
      <c r="N64" s="79"/>
      <c r="O64" s="79"/>
      <c r="P64" s="79"/>
      <c r="Q64" s="79"/>
    </row>
    <row r="65" spans="1:17">
      <c r="A65" s="85" t="s">
        <v>60</v>
      </c>
      <c r="B65" s="85">
        <v>-2</v>
      </c>
      <c r="C65" s="85">
        <v>275.75</v>
      </c>
      <c r="D65" s="86">
        <v>43133</v>
      </c>
      <c r="E65" s="87">
        <v>1.7999999999999999E-2</v>
      </c>
      <c r="F65" s="87">
        <v>8.9999999999999993E-3</v>
      </c>
      <c r="G65" s="85">
        <v>-4</v>
      </c>
      <c r="H65" s="85">
        <v>275.55</v>
      </c>
      <c r="I65" s="86">
        <v>43137</v>
      </c>
      <c r="J65" s="85">
        <v>400</v>
      </c>
      <c r="K65" s="85">
        <v>800</v>
      </c>
      <c r="L65" s="79"/>
      <c r="M65" s="79"/>
      <c r="N65" s="79"/>
      <c r="O65" s="79"/>
      <c r="P65" s="79"/>
      <c r="Q65" s="79"/>
    </row>
    <row r="66" spans="1:17">
      <c r="A66" s="78" t="s">
        <v>55</v>
      </c>
      <c r="B66" s="78">
        <v>31</v>
      </c>
      <c r="C66" s="78">
        <v>2455</v>
      </c>
      <c r="D66" s="81">
        <v>43153</v>
      </c>
      <c r="E66" s="76">
        <v>1.2E-2</v>
      </c>
      <c r="F66" s="76">
        <v>1.2E-2</v>
      </c>
      <c r="G66" s="77">
        <f>E66/F66*B66</f>
        <v>31</v>
      </c>
      <c r="H66" s="78">
        <v>2458</v>
      </c>
      <c r="I66" s="81">
        <v>43154</v>
      </c>
      <c r="J66" s="80">
        <v>930</v>
      </c>
      <c r="K66" s="80">
        <f>(H66-C66)*G66*Q66</f>
        <v>930</v>
      </c>
      <c r="L66" s="78"/>
      <c r="M66" s="78"/>
      <c r="N66" s="82"/>
      <c r="O66" s="83"/>
      <c r="P66" s="79" t="s">
        <v>319</v>
      </c>
      <c r="Q66" s="79">
        <f>VLOOKUP(Cmt(A66),Sheet2!A:B,2,FALSE)</f>
        <v>10</v>
      </c>
    </row>
    <row r="67" spans="1:17">
      <c r="A67" s="78" t="s">
        <v>62</v>
      </c>
      <c r="B67" s="78">
        <v>-8</v>
      </c>
      <c r="C67" s="78">
        <v>2728</v>
      </c>
      <c r="D67" s="81">
        <v>43153</v>
      </c>
      <c r="E67" s="76">
        <v>0.01</v>
      </c>
      <c r="F67" s="76">
        <v>3.3333333333333331E-3</v>
      </c>
      <c r="G67" s="77">
        <f>E67/F67*B67</f>
        <v>-24.000000000000004</v>
      </c>
      <c r="H67" s="78">
        <v>2723</v>
      </c>
      <c r="I67" s="81">
        <v>43153</v>
      </c>
      <c r="J67" s="80">
        <v>400</v>
      </c>
      <c r="K67" s="80">
        <f>(H67-C67)*G67*Q67</f>
        <v>1200.0000000000002</v>
      </c>
      <c r="L67" s="78"/>
      <c r="M67" s="78"/>
      <c r="N67" s="82"/>
      <c r="O67" s="83"/>
      <c r="P67" s="79" t="s">
        <v>318</v>
      </c>
      <c r="Q67" s="79">
        <f>VLOOKUP(Cmt(A67),Sheet2!A:B,2,FALSE)</f>
        <v>10</v>
      </c>
    </row>
    <row r="68" spans="1:17">
      <c r="A68" s="78" t="s">
        <v>55</v>
      </c>
      <c r="B68" s="78">
        <v>15</v>
      </c>
      <c r="C68" s="78">
        <v>2364</v>
      </c>
      <c r="D68" s="81">
        <v>43143</v>
      </c>
      <c r="E68" s="76">
        <v>1.7000000000000001E-2</v>
      </c>
      <c r="F68" s="76">
        <v>5.6666666666666671E-3</v>
      </c>
      <c r="G68" s="77">
        <f>E68/F68*B68</f>
        <v>45</v>
      </c>
      <c r="H68" s="78">
        <v>2371</v>
      </c>
      <c r="I68" s="81">
        <v>43144</v>
      </c>
      <c r="J68" s="80">
        <v>1050</v>
      </c>
      <c r="K68" s="80">
        <f>(H68-C68)*G68*Q68</f>
        <v>3150</v>
      </c>
      <c r="L68" s="78"/>
      <c r="M68" s="78"/>
      <c r="N68" s="82"/>
      <c r="O68" s="83"/>
      <c r="P68" s="79" t="s">
        <v>319</v>
      </c>
      <c r="Q68" s="79">
        <f>VLOOKUP(Cmt(A68),Sheet2!A:B,2,FALSE)</f>
        <v>10</v>
      </c>
    </row>
    <row r="69" spans="1:17">
      <c r="A69" s="78" t="s">
        <v>63</v>
      </c>
      <c r="B69" s="78">
        <v>40</v>
      </c>
      <c r="C69" s="78">
        <v>2941</v>
      </c>
      <c r="D69" s="81">
        <v>43153</v>
      </c>
      <c r="E69" s="76">
        <v>1.7999999999999999E-2</v>
      </c>
      <c r="F69" s="76">
        <v>1.7999999999999999E-2</v>
      </c>
      <c r="G69" s="77">
        <f>E69/F69*B69</f>
        <v>40</v>
      </c>
      <c r="H69" s="78">
        <v>2949</v>
      </c>
      <c r="I69" s="81">
        <v>43154</v>
      </c>
      <c r="J69" s="80">
        <v>3200</v>
      </c>
      <c r="K69" s="80">
        <f>(H69-C69)*G69*Q69</f>
        <v>3200</v>
      </c>
      <c r="L69" s="78"/>
      <c r="M69" s="78"/>
      <c r="N69" s="82"/>
      <c r="O69" s="83"/>
      <c r="P69" s="84" t="s">
        <v>319</v>
      </c>
      <c r="Q69" s="79">
        <f>VLOOKUP(Cmt(A69),Sheet2!A:B,2,FALSE)</f>
        <v>10</v>
      </c>
    </row>
    <row r="70" spans="1:17">
      <c r="A70" s="78" t="s">
        <v>53</v>
      </c>
      <c r="B70" s="78">
        <v>-2</v>
      </c>
      <c r="C70" s="78">
        <v>51680</v>
      </c>
      <c r="D70" s="81">
        <v>43140</v>
      </c>
      <c r="E70" s="76">
        <v>1.9E-2</v>
      </c>
      <c r="F70" s="76">
        <v>9.4999999999999998E-3</v>
      </c>
      <c r="G70" s="77">
        <f>E70/F70*B70</f>
        <v>-4</v>
      </c>
      <c r="H70" s="78">
        <v>51420</v>
      </c>
      <c r="I70" s="81">
        <v>43143</v>
      </c>
      <c r="J70" s="80">
        <v>2600</v>
      </c>
      <c r="K70" s="80">
        <f>(H70-C70)*G70*Q70</f>
        <v>5200</v>
      </c>
      <c r="L70" s="78">
        <v>51340</v>
      </c>
      <c r="M70" s="82">
        <v>43140</v>
      </c>
      <c r="N70" s="83">
        <v>0.66388888888888886</v>
      </c>
      <c r="O70" s="79"/>
      <c r="P70" s="84" t="s">
        <v>317</v>
      </c>
      <c r="Q70" s="79">
        <f>VLOOKUP(Cmt(A70),Sheet2!A:B,2,FALSE)</f>
        <v>5</v>
      </c>
    </row>
    <row r="71" spans="1:17">
      <c r="A71" s="85" t="s">
        <v>163</v>
      </c>
      <c r="B71" s="85">
        <v>4</v>
      </c>
      <c r="C71" s="85">
        <v>2136.5</v>
      </c>
      <c r="D71" s="86">
        <v>43138</v>
      </c>
      <c r="E71" s="87">
        <v>2.5000000000000001E-2</v>
      </c>
      <c r="F71" s="87">
        <v>1.2999999999999999E-2</v>
      </c>
      <c r="G71" s="85">
        <v>8</v>
      </c>
      <c r="H71" s="85">
        <v>2143</v>
      </c>
      <c r="I71" s="86">
        <v>43139</v>
      </c>
      <c r="J71" s="85">
        <v>-2600</v>
      </c>
      <c r="K71" s="85">
        <v>5200</v>
      </c>
      <c r="L71" s="79"/>
      <c r="M71" s="79"/>
      <c r="N71" s="79"/>
      <c r="O71" s="79"/>
      <c r="P71" s="79"/>
      <c r="Q71" s="79"/>
    </row>
    <row r="72" spans="1:17">
      <c r="A72" s="78" t="s">
        <v>57</v>
      </c>
      <c r="B72" s="78">
        <v>-7</v>
      </c>
      <c r="C72" s="78">
        <v>100210</v>
      </c>
      <c r="D72" s="81">
        <v>43140</v>
      </c>
      <c r="E72" s="76">
        <v>2.1000000000000001E-2</v>
      </c>
      <c r="F72" s="76">
        <v>1.0500000000000001E-2</v>
      </c>
      <c r="G72" s="77">
        <f>E72/F72*B72</f>
        <v>-14</v>
      </c>
      <c r="H72" s="78">
        <v>99790</v>
      </c>
      <c r="I72" s="81">
        <v>43143</v>
      </c>
      <c r="J72" s="80">
        <v>-4130</v>
      </c>
      <c r="K72" s="80">
        <f>(H72-C72)*G72*Q72</f>
        <v>5880</v>
      </c>
      <c r="L72" s="78">
        <v>98780</v>
      </c>
      <c r="M72" s="82">
        <v>43140</v>
      </c>
      <c r="N72" s="83">
        <v>0.66388888888888886</v>
      </c>
      <c r="O72" s="79"/>
      <c r="P72" s="79" t="s">
        <v>317</v>
      </c>
      <c r="Q72" s="79">
        <f>VLOOKUP(Cmt(A72),Sheet2!A:B,2,FALSE)</f>
        <v>1</v>
      </c>
    </row>
    <row r="73" spans="1:17">
      <c r="A73" s="78" t="s">
        <v>161</v>
      </c>
      <c r="B73" s="78">
        <v>13</v>
      </c>
      <c r="C73" s="78">
        <v>3746</v>
      </c>
      <c r="D73" s="81">
        <v>43154</v>
      </c>
      <c r="E73" s="76">
        <v>1.0999999999999999E-2</v>
      </c>
      <c r="F73" s="76">
        <v>3.6666666666666662E-3</v>
      </c>
      <c r="G73" s="77">
        <f>E73/F73*B73</f>
        <v>39.000000000000007</v>
      </c>
      <c r="H73" s="78">
        <v>3778</v>
      </c>
      <c r="I73" s="81">
        <v>43158</v>
      </c>
      <c r="J73" s="80">
        <v>2080</v>
      </c>
      <c r="K73" s="80">
        <f>(H73-C73)*G73*Q73</f>
        <v>6240.0000000000009</v>
      </c>
      <c r="L73" s="78"/>
      <c r="M73" s="78"/>
      <c r="N73" s="79"/>
      <c r="O73" s="79"/>
      <c r="P73" s="79" t="s">
        <v>319</v>
      </c>
      <c r="Q73" s="79">
        <f>VLOOKUP(Cmt(A73),Sheet2!A:B,2,FALSE)</f>
        <v>5</v>
      </c>
    </row>
    <row r="74" spans="1:17">
      <c r="A74" s="85" t="s">
        <v>87</v>
      </c>
      <c r="B74" s="85">
        <v>-9</v>
      </c>
      <c r="C74" s="85">
        <v>5132</v>
      </c>
      <c r="D74" s="86">
        <v>43133</v>
      </c>
      <c r="E74" s="87">
        <v>2.1000000000000001E-2</v>
      </c>
      <c r="F74" s="87">
        <v>7.0000000000000001E-3</v>
      </c>
      <c r="G74" s="85">
        <v>-27</v>
      </c>
      <c r="H74" s="85">
        <v>5102</v>
      </c>
      <c r="I74" s="86">
        <v>43136</v>
      </c>
      <c r="J74" s="85">
        <v>2700</v>
      </c>
      <c r="K74" s="85">
        <v>8100</v>
      </c>
      <c r="L74" s="79"/>
      <c r="M74" s="79"/>
      <c r="N74" s="79"/>
      <c r="O74" s="79"/>
      <c r="P74" s="79"/>
      <c r="Q74" s="79"/>
    </row>
    <row r="75" spans="1:17">
      <c r="A75" s="85" t="s">
        <v>56</v>
      </c>
      <c r="B75" s="85">
        <v>73</v>
      </c>
      <c r="C75" s="85">
        <v>2132</v>
      </c>
      <c r="D75" s="86">
        <v>43137</v>
      </c>
      <c r="E75" s="87">
        <v>2.4E-2</v>
      </c>
      <c r="F75" s="87">
        <v>2.4E-2</v>
      </c>
      <c r="G75" s="85">
        <v>73</v>
      </c>
      <c r="H75" s="85">
        <v>2144</v>
      </c>
      <c r="I75" s="86">
        <v>43139</v>
      </c>
      <c r="J75" s="85">
        <v>8760</v>
      </c>
      <c r="K75" s="85">
        <v>8760</v>
      </c>
      <c r="L75" s="79"/>
      <c r="M75" s="79"/>
      <c r="N75" s="79"/>
      <c r="O75" s="79"/>
      <c r="P75" s="79"/>
      <c r="Q75" s="79"/>
    </row>
    <row r="76" spans="1:17">
      <c r="A76" s="85" t="s">
        <v>60</v>
      </c>
      <c r="B76" s="85">
        <v>-2</v>
      </c>
      <c r="C76" s="85">
        <v>274.35000000000002</v>
      </c>
      <c r="D76" s="86">
        <v>43137</v>
      </c>
      <c r="E76" s="87">
        <v>1.7999999999999999E-2</v>
      </c>
      <c r="F76" s="87">
        <v>8.9999999999999993E-3</v>
      </c>
      <c r="G76" s="85">
        <v>-4</v>
      </c>
      <c r="H76" s="85">
        <v>272</v>
      </c>
      <c r="I76" s="86">
        <v>43139</v>
      </c>
      <c r="J76" s="85">
        <v>5200</v>
      </c>
      <c r="K76" s="85">
        <v>9400</v>
      </c>
      <c r="L76" s="79"/>
      <c r="M76" s="79"/>
      <c r="N76" s="79"/>
      <c r="O76" s="79"/>
      <c r="P76" s="79"/>
      <c r="Q76" s="79"/>
    </row>
    <row r="77" spans="1:17">
      <c r="A77" s="78" t="s">
        <v>273</v>
      </c>
      <c r="B77" s="78">
        <v>11</v>
      </c>
      <c r="C77" s="78">
        <v>542</v>
      </c>
      <c r="D77" s="81">
        <v>43153</v>
      </c>
      <c r="E77" s="76">
        <v>1.9E-2</v>
      </c>
      <c r="F77" s="76">
        <v>9.4999999999999998E-3</v>
      </c>
      <c r="G77" s="77">
        <f>E77/F77*B77</f>
        <v>22</v>
      </c>
      <c r="H77" s="78">
        <v>547</v>
      </c>
      <c r="I77" s="81">
        <v>43157</v>
      </c>
      <c r="J77" s="80">
        <v>5500</v>
      </c>
      <c r="K77" s="80">
        <f>(H77-C77)*G77*Q77</f>
        <v>11000</v>
      </c>
      <c r="L77" s="78"/>
      <c r="M77" s="78"/>
      <c r="N77" s="79"/>
      <c r="O77" s="79"/>
      <c r="P77" s="79" t="s">
        <v>320</v>
      </c>
      <c r="Q77" s="79">
        <f>VLOOKUP(Cmt(A77),Sheet2!A:B,2,FALSE)</f>
        <v>100</v>
      </c>
    </row>
    <row r="78" spans="1:17">
      <c r="A78" s="85" t="s">
        <v>273</v>
      </c>
      <c r="B78" s="85">
        <v>20</v>
      </c>
      <c r="C78" s="85">
        <v>518.5</v>
      </c>
      <c r="D78" s="86">
        <v>43136</v>
      </c>
      <c r="E78" s="87">
        <v>3.2000000000000001E-2</v>
      </c>
      <c r="F78" s="87">
        <v>1.6E-2</v>
      </c>
      <c r="G78" s="85">
        <v>40</v>
      </c>
      <c r="H78" s="85">
        <v>521.5</v>
      </c>
      <c r="I78" s="86">
        <v>43137</v>
      </c>
      <c r="J78" s="85">
        <v>-4000</v>
      </c>
      <c r="K78" s="85">
        <v>12000</v>
      </c>
      <c r="L78" s="79"/>
      <c r="M78" s="79"/>
      <c r="N78" s="79"/>
      <c r="O78" s="79"/>
      <c r="P78" s="79"/>
      <c r="Q78" s="79"/>
    </row>
    <row r="79" spans="1:17">
      <c r="A79" s="78" t="s">
        <v>63</v>
      </c>
      <c r="B79" s="78">
        <v>14</v>
      </c>
      <c r="C79" s="78">
        <v>2826</v>
      </c>
      <c r="D79" s="81">
        <v>43143</v>
      </c>
      <c r="E79" s="76">
        <v>1.7999999999999999E-2</v>
      </c>
      <c r="F79" s="76">
        <v>5.9999999999999993E-3</v>
      </c>
      <c r="G79" s="77">
        <f>E79/F79*B79</f>
        <v>42</v>
      </c>
      <c r="H79" s="78">
        <v>2855</v>
      </c>
      <c r="I79" s="81">
        <v>43144</v>
      </c>
      <c r="J79" s="80">
        <v>4060</v>
      </c>
      <c r="K79" s="80">
        <f>(H79-C79)*G79*Q79</f>
        <v>12180</v>
      </c>
      <c r="L79" s="78"/>
      <c r="M79" s="78"/>
      <c r="N79" s="82"/>
      <c r="O79" s="83"/>
      <c r="P79" s="84" t="s">
        <v>319</v>
      </c>
      <c r="Q79" s="79">
        <f>VLOOKUP(Cmt(A79),Sheet2!A:B,2,FALSE)</f>
        <v>10</v>
      </c>
    </row>
    <row r="80" spans="1:17">
      <c r="A80" s="78" t="s">
        <v>62</v>
      </c>
      <c r="B80" s="78">
        <v>-13</v>
      </c>
      <c r="C80" s="78">
        <v>2708</v>
      </c>
      <c r="D80" s="81">
        <v>43157</v>
      </c>
      <c r="E80" s="76">
        <v>1.7000000000000001E-2</v>
      </c>
      <c r="F80" s="76">
        <v>5.6666666666666671E-3</v>
      </c>
      <c r="G80" s="77">
        <f>E80/F80*B80</f>
        <v>-39</v>
      </c>
      <c r="H80" s="78">
        <v>2676</v>
      </c>
      <c r="I80" s="81">
        <v>43159</v>
      </c>
      <c r="J80" s="80">
        <v>4160</v>
      </c>
      <c r="K80" s="80">
        <f>(H80-C80)*G80*Q80</f>
        <v>12480</v>
      </c>
      <c r="L80" s="78"/>
      <c r="M80" s="78"/>
      <c r="N80" s="82"/>
      <c r="O80" s="83"/>
      <c r="P80" s="79" t="s">
        <v>318</v>
      </c>
      <c r="Q80" s="79">
        <f>VLOOKUP(Cmt(A80),Sheet2!A:B,2,FALSE)</f>
        <v>10</v>
      </c>
    </row>
    <row r="81" spans="1:17">
      <c r="A81" s="78" t="s">
        <v>273</v>
      </c>
      <c r="B81" s="78">
        <v>12</v>
      </c>
      <c r="C81" s="78">
        <v>529</v>
      </c>
      <c r="D81" s="81">
        <v>43144</v>
      </c>
      <c r="E81" s="76">
        <v>0.02</v>
      </c>
      <c r="F81" s="76">
        <v>0.01</v>
      </c>
      <c r="G81" s="77">
        <f>E81/F81*B81</f>
        <v>24</v>
      </c>
      <c r="H81" s="78">
        <v>534.5</v>
      </c>
      <c r="I81" s="81">
        <v>43153</v>
      </c>
      <c r="J81" s="80">
        <v>6600</v>
      </c>
      <c r="K81" s="80">
        <f>(H81-C81)*G81*Q81</f>
        <v>13200</v>
      </c>
      <c r="L81" s="78"/>
      <c r="M81" s="78"/>
      <c r="N81" s="82"/>
      <c r="O81" s="83"/>
      <c r="P81" s="79" t="s">
        <v>320</v>
      </c>
      <c r="Q81" s="79">
        <f>VLOOKUP(Cmt(A81),Sheet2!A:B,2,FALSE)</f>
        <v>100</v>
      </c>
    </row>
    <row r="82" spans="1:17">
      <c r="A82" s="78" t="s">
        <v>56</v>
      </c>
      <c r="B82" s="78">
        <v>21</v>
      </c>
      <c r="C82" s="78">
        <v>2143</v>
      </c>
      <c r="D82" s="81">
        <v>43157</v>
      </c>
      <c r="E82" s="76">
        <v>2.1000000000000001E-2</v>
      </c>
      <c r="F82" s="76">
        <v>7.0000000000000001E-3</v>
      </c>
      <c r="G82" s="77">
        <f>E82/F82*B82</f>
        <v>63</v>
      </c>
      <c r="H82" s="78">
        <v>2170</v>
      </c>
      <c r="I82" s="81">
        <v>43158</v>
      </c>
      <c r="J82" s="80">
        <v>5670</v>
      </c>
      <c r="K82" s="80">
        <f>(H82-C82)*G82*Q82</f>
        <v>17010</v>
      </c>
      <c r="L82" s="78"/>
      <c r="M82" s="78"/>
      <c r="N82" s="79"/>
      <c r="O82" s="79"/>
      <c r="P82" s="84" t="s">
        <v>319</v>
      </c>
      <c r="Q82" s="79">
        <f>VLOOKUP(Cmt(A82),Sheet2!A:B,2,FALSE)</f>
        <v>10</v>
      </c>
    </row>
    <row r="83" spans="1:17">
      <c r="A83" s="85" t="s">
        <v>53</v>
      </c>
      <c r="B83" s="85">
        <v>-7</v>
      </c>
      <c r="C83" s="85">
        <v>52690</v>
      </c>
      <c r="D83" s="86">
        <v>43138</v>
      </c>
      <c r="E83" s="87">
        <v>2.9000000000000001E-2</v>
      </c>
      <c r="F83" s="87">
        <v>2.9000000000000001E-2</v>
      </c>
      <c r="G83" s="85">
        <v>-7</v>
      </c>
      <c r="H83" s="85">
        <v>52080</v>
      </c>
      <c r="I83" s="86">
        <v>43139</v>
      </c>
      <c r="J83" s="85">
        <v>21350</v>
      </c>
      <c r="K83" s="85">
        <v>21350</v>
      </c>
      <c r="L83" s="79"/>
      <c r="M83" s="79"/>
      <c r="N83" s="79"/>
      <c r="O83" s="79"/>
      <c r="P83" s="79"/>
      <c r="Q83" s="79"/>
    </row>
    <row r="84" spans="1:17">
      <c r="A84" s="85" t="s">
        <v>165</v>
      </c>
      <c r="B84" s="85">
        <v>-14</v>
      </c>
      <c r="C84" s="85">
        <v>14570</v>
      </c>
      <c r="D84" s="86">
        <v>43136</v>
      </c>
      <c r="E84" s="87">
        <v>3.2000000000000001E-2</v>
      </c>
      <c r="F84" s="87">
        <v>1.6E-2</v>
      </c>
      <c r="G84" s="85">
        <v>-28</v>
      </c>
      <c r="H84" s="85">
        <v>14400</v>
      </c>
      <c r="I84" s="86">
        <v>43137</v>
      </c>
      <c r="J84" s="85">
        <v>11900</v>
      </c>
      <c r="K84" s="85">
        <v>23800</v>
      </c>
      <c r="L84" s="79"/>
      <c r="M84" s="79"/>
      <c r="N84" s="79"/>
      <c r="O84" s="79"/>
      <c r="P84" s="79"/>
      <c r="Q84" s="79"/>
    </row>
    <row r="85" spans="1:17">
      <c r="A85" s="78" t="s">
        <v>62</v>
      </c>
      <c r="B85" s="78">
        <v>-15</v>
      </c>
      <c r="C85" s="78">
        <v>2774.33</v>
      </c>
      <c r="D85" s="81">
        <v>43140</v>
      </c>
      <c r="E85" s="76">
        <v>6.0000000000000001E-3</v>
      </c>
      <c r="F85" s="76">
        <v>2E-3</v>
      </c>
      <c r="G85" s="77">
        <f>E85/F85*B85</f>
        <v>-45</v>
      </c>
      <c r="H85" s="78">
        <v>2714</v>
      </c>
      <c r="I85" s="81">
        <v>43144</v>
      </c>
      <c r="J85" s="80">
        <v>9049.4999999999891</v>
      </c>
      <c r="K85" s="80">
        <f>(H85-C85)*G85*Q85</f>
        <v>27148.499999999967</v>
      </c>
      <c r="L85" s="78"/>
      <c r="M85" s="79"/>
      <c r="N85" s="79"/>
      <c r="O85" s="83"/>
      <c r="P85" s="79" t="s">
        <v>318</v>
      </c>
      <c r="Q85" s="79">
        <f>VLOOKUP(Cmt(A85),Sheet2!A:B,2,FALSE)</f>
        <v>10</v>
      </c>
    </row>
    <row r="86" spans="1:17">
      <c r="A86" s="78" t="s">
        <v>163</v>
      </c>
      <c r="B86" s="78">
        <v>4</v>
      </c>
      <c r="C86" s="78">
        <v>2165</v>
      </c>
      <c r="D86" s="81">
        <v>43153</v>
      </c>
      <c r="E86" s="76">
        <v>1.4999999999999999E-2</v>
      </c>
      <c r="F86" s="76">
        <v>1.4999999999999999E-2</v>
      </c>
      <c r="G86" s="77">
        <f>E86/F86*B86</f>
        <v>4</v>
      </c>
      <c r="H86" s="78">
        <v>2268.5</v>
      </c>
      <c r="I86" s="81">
        <v>43158</v>
      </c>
      <c r="J86" s="80">
        <v>41400</v>
      </c>
      <c r="K86" s="80">
        <f>(H86-C86)*G86*Q86</f>
        <v>41400</v>
      </c>
      <c r="L86" s="78"/>
      <c r="M86" s="78"/>
      <c r="N86" s="82"/>
      <c r="O86" s="83"/>
      <c r="P86" s="79" t="s">
        <v>320</v>
      </c>
      <c r="Q86" s="79">
        <f>VLOOKUP(Cmt(A86),Sheet2!A:B,2,FALSE)</f>
        <v>100</v>
      </c>
    </row>
    <row r="87" spans="1:17">
      <c r="A87" s="85" t="s">
        <v>163</v>
      </c>
      <c r="B87" s="85">
        <v>4</v>
      </c>
      <c r="C87" s="85">
        <v>2043</v>
      </c>
      <c r="D87" s="86">
        <v>43133</v>
      </c>
      <c r="E87" s="87">
        <v>2.1000000000000001E-2</v>
      </c>
      <c r="F87" s="87">
        <v>1.0999999999999999E-2</v>
      </c>
      <c r="G87" s="85">
        <v>8</v>
      </c>
      <c r="H87" s="85">
        <v>2116.5</v>
      </c>
      <c r="I87" s="86">
        <v>43133</v>
      </c>
      <c r="J87" s="85">
        <v>29400</v>
      </c>
      <c r="K87" s="85">
        <v>58800</v>
      </c>
      <c r="L87" s="79"/>
      <c r="M87" s="79"/>
      <c r="N87" s="79"/>
      <c r="O87" s="79"/>
      <c r="P87" s="79"/>
      <c r="Q87" s="79"/>
    </row>
    <row r="88" spans="1:17">
      <c r="A88" s="78" t="s">
        <v>164</v>
      </c>
      <c r="B88" s="78">
        <v>-1</v>
      </c>
      <c r="C88" s="78">
        <v>4194.6000000000004</v>
      </c>
      <c r="D88" s="81">
        <v>43138</v>
      </c>
      <c r="E88" s="76">
        <v>1.9E-2</v>
      </c>
      <c r="F88" s="76">
        <v>1.9E-2</v>
      </c>
      <c r="G88" s="77">
        <f>E88/F88*B88</f>
        <v>-1</v>
      </c>
      <c r="H88" s="78">
        <v>3926.4</v>
      </c>
      <c r="I88" s="81">
        <v>43144</v>
      </c>
      <c r="J88" s="80">
        <v>80460.000000000087</v>
      </c>
      <c r="K88" s="80">
        <f>(H88-C88)*G88*Q88</f>
        <v>80460.000000000087</v>
      </c>
      <c r="L88" s="78"/>
      <c r="M88" s="79"/>
      <c r="N88" s="79"/>
      <c r="O88" s="83"/>
      <c r="P88" s="79" t="s">
        <v>321</v>
      </c>
      <c r="Q88" s="79">
        <f>VLOOKUP(Cmt(A88),Sheet2!A:B,2,FALSE)</f>
        <v>300</v>
      </c>
    </row>
    <row r="89" spans="1:17">
      <c r="A89" s="78" t="s">
        <v>58</v>
      </c>
      <c r="B89" s="78">
        <v>-1</v>
      </c>
      <c r="C89" s="78">
        <v>6119.2</v>
      </c>
      <c r="D89" s="81">
        <v>43132</v>
      </c>
      <c r="E89" s="76">
        <v>1.7999999999999999E-2</v>
      </c>
      <c r="F89" s="76">
        <v>1.7999999999999999E-2</v>
      </c>
      <c r="G89" s="77">
        <f>E89/F89*B89</f>
        <v>-1</v>
      </c>
      <c r="H89" s="78">
        <v>5688.6</v>
      </c>
      <c r="I89" s="81">
        <v>43143</v>
      </c>
      <c r="J89" s="80">
        <v>86119.999999999884</v>
      </c>
      <c r="K89" s="80">
        <f>(H89-C89)*G89*Q89</f>
        <v>86119.999999999884</v>
      </c>
      <c r="L89" s="78"/>
      <c r="M89" s="82"/>
      <c r="N89" s="83"/>
      <c r="O89" s="83"/>
      <c r="P89" s="79" t="s">
        <v>321</v>
      </c>
      <c r="Q89" s="79">
        <f>VLOOKUP(Cmt(A89),Sheet2!A:B,2,FALSE)</f>
        <v>200</v>
      </c>
    </row>
    <row r="90" spans="1:17">
      <c r="A90" s="85" t="s">
        <v>151</v>
      </c>
      <c r="B90" s="85">
        <v>11</v>
      </c>
      <c r="C90" s="85">
        <v>1299.5</v>
      </c>
      <c r="D90" s="86">
        <v>43132</v>
      </c>
      <c r="E90" s="87">
        <v>2.5999999999999999E-2</v>
      </c>
      <c r="F90" s="87">
        <v>1.2999999999999999E-2</v>
      </c>
      <c r="G90" s="85">
        <v>22</v>
      </c>
      <c r="H90" s="85">
        <v>1369.5</v>
      </c>
      <c r="I90" s="86">
        <v>43136</v>
      </c>
      <c r="J90" s="85">
        <v>46200</v>
      </c>
      <c r="K90" s="85">
        <v>92400</v>
      </c>
      <c r="L90" s="79"/>
      <c r="M90" s="79"/>
      <c r="N90" s="79"/>
      <c r="O90" s="79"/>
      <c r="P90" s="79"/>
      <c r="Q90" s="79"/>
    </row>
    <row r="91" spans="1:17">
      <c r="A91" s="78" t="s">
        <v>54</v>
      </c>
      <c r="B91" s="78">
        <v>9</v>
      </c>
      <c r="C91" s="78">
        <v>5838</v>
      </c>
      <c r="D91" s="81">
        <v>43157</v>
      </c>
      <c r="E91" s="76">
        <v>1.2E-2</v>
      </c>
      <c r="F91" s="76">
        <v>4.0000000000000001E-3</v>
      </c>
      <c r="G91" s="77">
        <f>E91/F91*B91</f>
        <v>27</v>
      </c>
      <c r="H91" s="78"/>
      <c r="I91" s="78"/>
      <c r="J91" s="80" t="s">
        <v>272</v>
      </c>
      <c r="K91" s="80"/>
      <c r="L91" s="78"/>
      <c r="M91" s="78"/>
      <c r="N91" s="82"/>
      <c r="O91" s="83"/>
      <c r="P91" s="79" t="s">
        <v>318</v>
      </c>
      <c r="Q91" s="79">
        <f>VLOOKUP(Cmt(A91),Sheet2!A:B,2,FALSE)</f>
        <v>5</v>
      </c>
    </row>
  </sheetData>
  <sortState ref="A2:Q91">
    <sortCondition ref="K2:K91"/>
  </sortState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53"/>
  <sheetViews>
    <sheetView topLeftCell="A25" workbookViewId="0">
      <selection activeCell="A40" sqref="A40"/>
    </sheetView>
  </sheetViews>
  <sheetFormatPr defaultRowHeight="13.5"/>
  <cols>
    <col min="1" max="1" width="9" style="57" bestFit="1" customWidth="1"/>
    <col min="2" max="2" width="10.5" style="56" bestFit="1" customWidth="1"/>
  </cols>
  <sheetData>
    <row r="1" spans="1:2">
      <c r="A1" s="57" t="s">
        <v>216</v>
      </c>
      <c r="B1" s="56" t="s">
        <v>268</v>
      </c>
    </row>
    <row r="2" spans="1:2">
      <c r="A2" s="57" t="s">
        <v>217</v>
      </c>
      <c r="B2" s="56">
        <v>5</v>
      </c>
    </row>
    <row r="3" spans="1:2">
      <c r="A3" s="57" t="s">
        <v>218</v>
      </c>
      <c r="B3" s="56">
        <v>5</v>
      </c>
    </row>
    <row r="4" spans="1:2">
      <c r="A4" s="57" t="s">
        <v>219</v>
      </c>
      <c r="B4" s="56">
        <v>5</v>
      </c>
    </row>
    <row r="5" spans="1:2">
      <c r="A5" s="57" t="s">
        <v>220</v>
      </c>
      <c r="B5" s="56">
        <v>5</v>
      </c>
    </row>
    <row r="6" spans="1:2">
      <c r="A6" s="57" t="s">
        <v>221</v>
      </c>
      <c r="B6" s="56">
        <v>1</v>
      </c>
    </row>
    <row r="7" spans="1:2">
      <c r="A7" s="57" t="s">
        <v>222</v>
      </c>
      <c r="B7" s="56">
        <v>1</v>
      </c>
    </row>
    <row r="8" spans="1:2">
      <c r="A8" s="57" t="s">
        <v>223</v>
      </c>
      <c r="B8" s="56">
        <v>1000</v>
      </c>
    </row>
    <row r="9" spans="1:2">
      <c r="A9" s="57" t="s">
        <v>224</v>
      </c>
      <c r="B9" s="56">
        <v>15</v>
      </c>
    </row>
    <row r="10" spans="1:2">
      <c r="A10" s="57" t="s">
        <v>225</v>
      </c>
      <c r="B10" s="56">
        <v>10</v>
      </c>
    </row>
    <row r="11" spans="1:2">
      <c r="A11" s="57" t="s">
        <v>226</v>
      </c>
      <c r="B11" s="56">
        <v>10</v>
      </c>
    </row>
    <row r="12" spans="1:2">
      <c r="A12" s="57" t="s">
        <v>227</v>
      </c>
      <c r="B12" s="56">
        <v>10</v>
      </c>
    </row>
    <row r="13" spans="1:2">
      <c r="A13" s="57" t="s">
        <v>228</v>
      </c>
      <c r="B13" s="56">
        <v>50</v>
      </c>
    </row>
    <row r="14" spans="1:2">
      <c r="A14" s="57" t="s">
        <v>229</v>
      </c>
      <c r="B14" s="56">
        <v>10</v>
      </c>
    </row>
    <row r="15" spans="1:2">
      <c r="A15" s="57" t="s">
        <v>230</v>
      </c>
      <c r="B15" s="56">
        <v>10</v>
      </c>
    </row>
    <row r="16" spans="1:2">
      <c r="A16" s="57" t="s">
        <v>231</v>
      </c>
      <c r="B16" s="56">
        <v>20</v>
      </c>
    </row>
    <row r="17" spans="1:2">
      <c r="A17" s="57" t="s">
        <v>232</v>
      </c>
      <c r="B17" s="56">
        <v>50</v>
      </c>
    </row>
    <row r="18" spans="1:2">
      <c r="A18" s="57" t="s">
        <v>233</v>
      </c>
      <c r="B18" s="56">
        <v>5</v>
      </c>
    </row>
    <row r="19" spans="1:2">
      <c r="A19" s="57" t="s">
        <v>234</v>
      </c>
      <c r="B19" s="56">
        <v>10</v>
      </c>
    </row>
    <row r="20" spans="1:2">
      <c r="A20" s="57" t="s">
        <v>235</v>
      </c>
      <c r="B20" s="56">
        <v>10</v>
      </c>
    </row>
    <row r="21" spans="1:2">
      <c r="A21" s="57" t="s">
        <v>236</v>
      </c>
      <c r="B21" s="56">
        <v>20</v>
      </c>
    </row>
    <row r="22" spans="1:2">
      <c r="A22" s="57" t="s">
        <v>237</v>
      </c>
      <c r="B22" s="56">
        <v>10</v>
      </c>
    </row>
    <row r="23" spans="1:2">
      <c r="A23" s="57" t="s">
        <v>238</v>
      </c>
      <c r="B23" s="56">
        <v>10</v>
      </c>
    </row>
    <row r="24" spans="1:2">
      <c r="A24" s="57" t="s">
        <v>239</v>
      </c>
      <c r="B24" s="56">
        <v>20</v>
      </c>
    </row>
    <row r="25" spans="1:2">
      <c r="A25" s="57" t="s">
        <v>240</v>
      </c>
      <c r="B25" s="56">
        <v>20</v>
      </c>
    </row>
    <row r="26" spans="1:2">
      <c r="A26" s="57" t="s">
        <v>241</v>
      </c>
      <c r="B26" s="56">
        <v>5</v>
      </c>
    </row>
    <row r="27" spans="1:2">
      <c r="A27" s="57" t="s">
        <v>242</v>
      </c>
      <c r="B27" s="56">
        <v>5</v>
      </c>
    </row>
    <row r="28" spans="1:2">
      <c r="A28" s="57" t="s">
        <v>243</v>
      </c>
      <c r="B28" s="56">
        <v>10</v>
      </c>
    </row>
    <row r="29" spans="1:2">
      <c r="A29" s="57" t="s">
        <v>244</v>
      </c>
      <c r="B29" s="56">
        <v>20</v>
      </c>
    </row>
    <row r="30" spans="1:2">
      <c r="A30" s="57" t="s">
        <v>245</v>
      </c>
      <c r="B30" s="56">
        <v>100</v>
      </c>
    </row>
    <row r="31" spans="1:2">
      <c r="A31" s="57" t="s">
        <v>246</v>
      </c>
      <c r="B31" s="56">
        <v>5</v>
      </c>
    </row>
    <row r="32" spans="1:2">
      <c r="A32" s="57" t="s">
        <v>247</v>
      </c>
      <c r="B32" s="56">
        <v>5</v>
      </c>
    </row>
    <row r="33" spans="1:2">
      <c r="A33" s="57" t="s">
        <v>248</v>
      </c>
      <c r="B33" s="56">
        <v>10</v>
      </c>
    </row>
    <row r="34" spans="1:2">
      <c r="A34" s="57" t="s">
        <v>249</v>
      </c>
      <c r="B34" s="56">
        <v>10</v>
      </c>
    </row>
    <row r="35" spans="1:2">
      <c r="A35" s="57" t="s">
        <v>250</v>
      </c>
      <c r="B35" s="56">
        <v>10</v>
      </c>
    </row>
    <row r="36" spans="1:2">
      <c r="A36" s="57" t="s">
        <v>251</v>
      </c>
      <c r="B36" s="56">
        <v>10</v>
      </c>
    </row>
    <row r="37" spans="1:2">
      <c r="A37" s="57" t="s">
        <v>212</v>
      </c>
      <c r="B37" s="56">
        <v>10</v>
      </c>
    </row>
    <row r="38" spans="1:2">
      <c r="A38" s="57" t="s">
        <v>252</v>
      </c>
      <c r="B38" s="56">
        <v>10</v>
      </c>
    </row>
    <row r="39" spans="1:2">
      <c r="A39" s="57" t="s">
        <v>253</v>
      </c>
      <c r="B39" s="56">
        <v>10</v>
      </c>
    </row>
    <row r="40" spans="1:2">
      <c r="A40" s="57" t="s">
        <v>254</v>
      </c>
      <c r="B40" s="56">
        <v>500</v>
      </c>
    </row>
    <row r="41" spans="1:2">
      <c r="A41" s="57" t="s">
        <v>255</v>
      </c>
      <c r="B41" s="56">
        <v>500</v>
      </c>
    </row>
    <row r="42" spans="1:2">
      <c r="A42" s="57" t="s">
        <v>256</v>
      </c>
      <c r="B42" s="56">
        <v>5</v>
      </c>
    </row>
    <row r="43" spans="1:2">
      <c r="A43" s="57" t="s">
        <v>257</v>
      </c>
      <c r="B43" s="56">
        <v>5</v>
      </c>
    </row>
    <row r="44" spans="1:2">
      <c r="A44" s="57" t="s">
        <v>258</v>
      </c>
      <c r="B44" s="56">
        <v>5</v>
      </c>
    </row>
    <row r="45" spans="1:2">
      <c r="A45" s="57" t="s">
        <v>259</v>
      </c>
      <c r="B45" s="56">
        <v>5</v>
      </c>
    </row>
    <row r="46" spans="1:2">
      <c r="A46" s="57" t="s">
        <v>260</v>
      </c>
      <c r="B46" s="56">
        <v>100</v>
      </c>
    </row>
    <row r="47" spans="1:2">
      <c r="A47" s="57" t="s">
        <v>261</v>
      </c>
      <c r="B47" s="56">
        <v>60</v>
      </c>
    </row>
    <row r="48" spans="1:2">
      <c r="A48" s="57" t="s">
        <v>262</v>
      </c>
      <c r="B48" s="56">
        <v>100</v>
      </c>
    </row>
    <row r="49" spans="1:2">
      <c r="A49" s="57" t="s">
        <v>263</v>
      </c>
      <c r="B49" s="56">
        <v>300</v>
      </c>
    </row>
    <row r="50" spans="1:2">
      <c r="A50" s="57" t="s">
        <v>264</v>
      </c>
      <c r="B50" s="56">
        <v>200</v>
      </c>
    </row>
    <row r="51" spans="1:2">
      <c r="A51" s="57" t="s">
        <v>265</v>
      </c>
      <c r="B51" s="56">
        <v>300</v>
      </c>
    </row>
    <row r="52" spans="1:2">
      <c r="A52" s="57" t="s">
        <v>266</v>
      </c>
      <c r="B52" s="56">
        <v>10000</v>
      </c>
    </row>
    <row r="53" spans="1:2">
      <c r="A53" s="57" t="s">
        <v>267</v>
      </c>
      <c r="B53" s="56">
        <v>10000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权益</vt:lpstr>
      <vt:lpstr>成交记录</vt:lpstr>
      <vt:lpstr>Sheet1</vt:lpstr>
      <vt:lpstr>Sheet2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2018-03-01T07:50:53Z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a5281842-cfec-4ec0-87b5-0a26ce53f1d6</vt:lpwstr>
  </property>
</Properties>
</file>