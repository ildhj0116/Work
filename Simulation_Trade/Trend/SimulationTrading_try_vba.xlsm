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filterPrivacy="1" codeName="ThisWorkbook"/>
  <bookViews>
    <workbookView xWindow="0" yWindow="0" windowWidth="22260" windowHeight="12648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9"/>
  <definedNames>
    <definedName name="nv">权益!#REF!:OFFSET(权益!#REF!,权益!$E$1,0)</definedName>
    <definedName name="tt">权益!#REF!:OFFSET(权益!#REF!,权益!$E$1,0)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23" i="1" l="1"/>
  <c r="I222" i="1"/>
  <c r="S229" i="1" l="1"/>
  <c r="T229" i="1" s="1"/>
  <c r="S230" i="1"/>
  <c r="T230" i="1" s="1"/>
  <c r="S231" i="1"/>
  <c r="S232" i="1"/>
  <c r="U232" i="1" s="1"/>
  <c r="S233" i="1"/>
  <c r="T233" i="1" s="1"/>
  <c r="S234" i="1"/>
  <c r="T234" i="1" s="1"/>
  <c r="S235" i="1"/>
  <c r="S236" i="1"/>
  <c r="U236" i="1" s="1"/>
  <c r="S237" i="1"/>
  <c r="T237" i="1" s="1"/>
  <c r="S238" i="1"/>
  <c r="T238" i="1" s="1"/>
  <c r="S239" i="1"/>
  <c r="S240" i="1"/>
  <c r="U240" i="1" s="1"/>
  <c r="S241" i="1"/>
  <c r="T241" i="1" s="1"/>
  <c r="S242" i="1"/>
  <c r="T242" i="1" s="1"/>
  <c r="S243" i="1"/>
  <c r="S244" i="1"/>
  <c r="U244" i="1" s="1"/>
  <c r="S245" i="1"/>
  <c r="T245" i="1" s="1"/>
  <c r="S246" i="1"/>
  <c r="T246" i="1" s="1"/>
  <c r="S247" i="1"/>
  <c r="S248" i="1"/>
  <c r="U248" i="1" s="1"/>
  <c r="S249" i="1"/>
  <c r="T249" i="1" s="1"/>
  <c r="S250" i="1"/>
  <c r="T250" i="1" s="1"/>
  <c r="S251" i="1"/>
  <c r="S252" i="1"/>
  <c r="U252" i="1" s="1"/>
  <c r="S253" i="1"/>
  <c r="T253" i="1" s="1"/>
  <c r="S254" i="1"/>
  <c r="T254" i="1" s="1"/>
  <c r="S255" i="1"/>
  <c r="S256" i="1"/>
  <c r="U256" i="1" s="1"/>
  <c r="S257" i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17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28" i="1"/>
  <c r="S227" i="1"/>
  <c r="S226" i="1"/>
  <c r="S225" i="1"/>
  <c r="S224" i="1"/>
  <c r="S7" i="1"/>
  <c r="S75" i="1"/>
  <c r="S47" i="1"/>
  <c r="S111" i="1"/>
  <c r="S175" i="1"/>
  <c r="S3" i="1"/>
  <c r="S71" i="1"/>
  <c r="S107" i="1"/>
  <c r="S195" i="1"/>
  <c r="S64" i="1"/>
  <c r="S204" i="1"/>
  <c r="S149" i="1"/>
  <c r="S78" i="1"/>
  <c r="S206" i="1"/>
  <c r="S40" i="1"/>
  <c r="S77" i="1"/>
  <c r="S54" i="1"/>
  <c r="S35" i="1"/>
  <c r="S155" i="1"/>
  <c r="S12" i="1"/>
  <c r="S84" i="1"/>
  <c r="S148" i="1"/>
  <c r="S17" i="1"/>
  <c r="S89" i="1"/>
  <c r="S153" i="1"/>
  <c r="S217" i="1"/>
  <c r="S66" i="1"/>
  <c r="S130" i="1"/>
  <c r="S194" i="1"/>
  <c r="S139" i="1"/>
  <c r="S168" i="1"/>
  <c r="S157" i="1"/>
  <c r="S134" i="1"/>
  <c r="S103" i="1"/>
  <c r="S187" i="1"/>
  <c r="S44" i="1"/>
  <c r="S108" i="1"/>
  <c r="S172" i="1"/>
  <c r="S49" i="1"/>
  <c r="S113" i="1"/>
  <c r="S177" i="1"/>
  <c r="S18" i="1"/>
  <c r="S90" i="1"/>
  <c r="S154" i="1"/>
  <c r="S218" i="1"/>
  <c r="S160" i="1"/>
  <c r="S85" i="1"/>
  <c r="S197" i="1"/>
  <c r="S94" i="1"/>
  <c r="S196" i="1"/>
  <c r="S72" i="1"/>
  <c r="S45" i="1"/>
  <c r="S14" i="1"/>
  <c r="S214" i="1"/>
  <c r="S11" i="1"/>
  <c r="S79" i="1"/>
  <c r="S143" i="1"/>
  <c r="S39" i="1"/>
  <c r="S15" i="1"/>
  <c r="S8" i="1"/>
  <c r="S69" i="1"/>
  <c r="S142" i="1"/>
  <c r="S136" i="1"/>
  <c r="S150" i="1"/>
  <c r="S199" i="1"/>
  <c r="S116" i="1"/>
  <c r="S57" i="1"/>
  <c r="S185" i="1"/>
  <c r="S98" i="1"/>
  <c r="S2" i="1"/>
  <c r="S61" i="1"/>
  <c r="S38" i="1"/>
  <c r="S147" i="1"/>
  <c r="S76" i="1"/>
  <c r="S81" i="1"/>
  <c r="S209" i="1"/>
  <c r="S122" i="1"/>
  <c r="S96" i="1"/>
  <c r="S46" i="1"/>
  <c r="S183" i="1"/>
  <c r="S141" i="1"/>
  <c r="S222" i="1"/>
  <c r="S27" i="1"/>
  <c r="S159" i="1"/>
  <c r="S55" i="1"/>
  <c r="S171" i="1"/>
  <c r="S144" i="1"/>
  <c r="S22" i="1"/>
  <c r="S203" i="1"/>
  <c r="S192" i="1"/>
  <c r="S135" i="1"/>
  <c r="S68" i="1"/>
  <c r="S216" i="1"/>
  <c r="S137" i="1"/>
  <c r="S114" i="1"/>
  <c r="S99" i="1"/>
  <c r="S109" i="1"/>
  <c r="S167" i="1"/>
  <c r="S92" i="1"/>
  <c r="S33" i="1"/>
  <c r="S161" i="1"/>
  <c r="S74" i="1"/>
  <c r="S202" i="1"/>
  <c r="S53" i="1"/>
  <c r="S62" i="1"/>
  <c r="S16" i="1"/>
  <c r="S188" i="1"/>
  <c r="S166" i="1"/>
  <c r="S23" i="1"/>
  <c r="S221" i="1"/>
  <c r="S63" i="1"/>
  <c r="S127" i="1"/>
  <c r="S191" i="1"/>
  <c r="S19" i="1"/>
  <c r="S87" i="1"/>
  <c r="S131" i="1"/>
  <c r="S215" i="1"/>
  <c r="S80" i="1"/>
  <c r="S37" i="1"/>
  <c r="S181" i="1"/>
  <c r="S110" i="1"/>
  <c r="S51" i="1"/>
  <c r="S88" i="1"/>
  <c r="S125" i="1"/>
  <c r="S102" i="1"/>
  <c r="S91" i="1"/>
  <c r="S179" i="1"/>
  <c r="S36" i="1"/>
  <c r="S100" i="1"/>
  <c r="S164" i="1"/>
  <c r="S41" i="1"/>
  <c r="S105" i="1"/>
  <c r="S169" i="1"/>
  <c r="S10" i="1"/>
  <c r="S82" i="1"/>
  <c r="S146" i="1"/>
  <c r="S210" i="1"/>
  <c r="S208" i="1"/>
  <c r="S5" i="1"/>
  <c r="S205" i="1"/>
  <c r="S182" i="1"/>
  <c r="S123" i="1"/>
  <c r="S211" i="1"/>
  <c r="S60" i="1"/>
  <c r="S124" i="1"/>
  <c r="S200" i="1"/>
  <c r="S65" i="1"/>
  <c r="S129" i="1"/>
  <c r="S193" i="1"/>
  <c r="S42" i="1"/>
  <c r="S106" i="1"/>
  <c r="S170" i="1"/>
  <c r="S24" i="1"/>
  <c r="S176" i="1"/>
  <c r="S117" i="1"/>
  <c r="S6" i="1"/>
  <c r="S126" i="1"/>
  <c r="S119" i="1"/>
  <c r="S104" i="1"/>
  <c r="S93" i="1"/>
  <c r="S70" i="1"/>
  <c r="S43" i="1"/>
  <c r="S207" i="1"/>
  <c r="S151" i="1"/>
  <c r="S112" i="1"/>
  <c r="S213" i="1"/>
  <c r="S163" i="1"/>
  <c r="S173" i="1"/>
  <c r="S115" i="1"/>
  <c r="S52" i="1"/>
  <c r="S180" i="1"/>
  <c r="S121" i="1"/>
  <c r="S26" i="1"/>
  <c r="S162" i="1"/>
  <c r="S56" i="1"/>
  <c r="S220" i="1"/>
  <c r="S4" i="1"/>
  <c r="S140" i="1"/>
  <c r="S9" i="1"/>
  <c r="S145" i="1"/>
  <c r="S58" i="1"/>
  <c r="S186" i="1"/>
  <c r="S13" i="1"/>
  <c r="S133" i="1"/>
  <c r="S158" i="1"/>
  <c r="S152" i="1"/>
  <c r="S118" i="1"/>
  <c r="S59" i="1"/>
  <c r="S95" i="1"/>
  <c r="S184" i="1"/>
  <c r="S83" i="1"/>
  <c r="S48" i="1"/>
  <c r="S101" i="1"/>
  <c r="S174" i="1"/>
  <c r="S21" i="1"/>
  <c r="S198" i="1"/>
  <c r="S219" i="1"/>
  <c r="S132" i="1"/>
  <c r="S73" i="1"/>
  <c r="S201" i="1"/>
  <c r="S50" i="1"/>
  <c r="S178" i="1"/>
  <c r="S120" i="1"/>
  <c r="S86" i="1"/>
  <c r="S67" i="1"/>
  <c r="S20" i="1"/>
  <c r="S156" i="1"/>
  <c r="S97" i="1"/>
  <c r="S212" i="1"/>
  <c r="S138" i="1"/>
  <c r="S128" i="1"/>
  <c r="S165" i="1"/>
  <c r="S190" i="1"/>
  <c r="S189" i="1"/>
  <c r="S223" i="1"/>
  <c r="T226" i="1" l="1"/>
  <c r="T225" i="1"/>
  <c r="M219" i="1"/>
  <c r="M214" i="1"/>
  <c r="M218" i="1"/>
  <c r="T244" i="1"/>
  <c r="T356" i="1"/>
  <c r="T292" i="1"/>
  <c r="T308" i="1"/>
  <c r="T248" i="1"/>
  <c r="T340" i="1"/>
  <c r="T276" i="1"/>
  <c r="T232" i="1"/>
  <c r="T324" i="1"/>
  <c r="T260" i="1"/>
  <c r="T228" i="1"/>
  <c r="U353" i="1"/>
  <c r="U321" i="1"/>
  <c r="U289" i="1"/>
  <c r="U241" i="1"/>
  <c r="U361" i="1"/>
  <c r="U345" i="1"/>
  <c r="U329" i="1"/>
  <c r="U313" i="1"/>
  <c r="U297" i="1"/>
  <c r="U281" i="1"/>
  <c r="U265" i="1"/>
  <c r="U249" i="1"/>
  <c r="U233" i="1"/>
  <c r="T364" i="1"/>
  <c r="T348" i="1"/>
  <c r="T332" i="1"/>
  <c r="T316" i="1"/>
  <c r="T300" i="1"/>
  <c r="T284" i="1"/>
  <c r="T268" i="1"/>
  <c r="T252" i="1"/>
  <c r="T236" i="1"/>
  <c r="U357" i="1"/>
  <c r="U341" i="1"/>
  <c r="U325" i="1"/>
  <c r="U309" i="1"/>
  <c r="U293" i="1"/>
  <c r="U277" i="1"/>
  <c r="U261" i="1"/>
  <c r="U245" i="1"/>
  <c r="U229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365" i="1"/>
  <c r="U349" i="1"/>
  <c r="U333" i="1"/>
  <c r="U317" i="1"/>
  <c r="U301" i="1"/>
  <c r="U285" i="1"/>
  <c r="U269" i="1"/>
  <c r="U253" i="1"/>
  <c r="U237" i="1"/>
  <c r="T368" i="1"/>
  <c r="T352" i="1"/>
  <c r="T336" i="1"/>
  <c r="T320" i="1"/>
  <c r="T304" i="1"/>
  <c r="T288" i="1"/>
  <c r="T272" i="1"/>
  <c r="T256" i="1"/>
  <c r="T240" i="1"/>
  <c r="T224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U255" i="1"/>
  <c r="T255" i="1"/>
  <c r="U251" i="1"/>
  <c r="T251" i="1"/>
  <c r="U247" i="1"/>
  <c r="T247" i="1"/>
  <c r="U243" i="1"/>
  <c r="T243" i="1"/>
  <c r="U239" i="1"/>
  <c r="T239" i="1"/>
  <c r="U235" i="1"/>
  <c r="T235" i="1"/>
  <c r="U231" i="1"/>
  <c r="T231" i="1"/>
  <c r="T227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U250" i="1"/>
  <c r="U246" i="1"/>
  <c r="U242" i="1"/>
  <c r="U238" i="1"/>
  <c r="U234" i="1"/>
  <c r="U230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U225" i="1" s="1"/>
  <c r="I226" i="1"/>
  <c r="U226" i="1" s="1"/>
  <c r="I227" i="1"/>
  <c r="U227" i="1" s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28" i="1" l="1"/>
  <c r="U224" i="1"/>
  <c r="U222" i="1"/>
  <c r="T223" i="1"/>
  <c r="U223" i="1" s="1"/>
  <c r="U220" i="1"/>
  <c r="U221" i="1"/>
  <c r="U218" i="1"/>
  <c r="U217" i="1"/>
  <c r="U214" i="1"/>
  <c r="U213" i="1"/>
  <c r="U212" i="1"/>
  <c r="U210" i="1"/>
  <c r="U211" i="1"/>
  <c r="I209" i="1" l="1"/>
  <c r="U209" i="1" s="1"/>
  <c r="I208" i="1"/>
  <c r="U208" i="1" s="1"/>
  <c r="I206" i="1"/>
  <c r="I207" i="1"/>
  <c r="U207" i="1" s="1"/>
  <c r="H205" i="1" l="1"/>
  <c r="I205" i="1" s="1"/>
  <c r="I204" i="1"/>
  <c r="U206" i="1" l="1"/>
  <c r="U205" i="1"/>
  <c r="U204" i="1"/>
  <c r="N199" i="1"/>
  <c r="N201" i="1"/>
  <c r="M201" i="1" s="1"/>
  <c r="N200" i="1"/>
  <c r="M200" i="1" s="1"/>
  <c r="I203" i="1"/>
  <c r="M199" i="1"/>
  <c r="I202" i="1"/>
  <c r="I201" i="1"/>
  <c r="I200" i="1"/>
  <c r="M202" i="1" l="1"/>
  <c r="U203" i="1"/>
  <c r="U201" i="1"/>
  <c r="U200" i="1"/>
  <c r="U202" i="1"/>
  <c r="I199" i="1" l="1"/>
  <c r="U199" i="1" l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U196" i="1" l="1"/>
  <c r="U197" i="1"/>
  <c r="U198" i="1"/>
  <c r="U194" i="1"/>
  <c r="U195" i="1"/>
  <c r="U193" i="1" l="1"/>
  <c r="U191" i="1"/>
  <c r="U192" i="1"/>
  <c r="G190" i="1"/>
  <c r="G189" i="1"/>
  <c r="U190" i="1" l="1"/>
  <c r="U189" i="1"/>
  <c r="U188" i="1"/>
  <c r="C31" i="2"/>
  <c r="C30" i="2"/>
  <c r="C29" i="2"/>
  <c r="C28" i="2"/>
  <c r="G187" i="1" l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187" i="1" l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172" i="1" l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163" i="1" l="1"/>
  <c r="U162" i="1"/>
  <c r="U161" i="1"/>
  <c r="U160" i="1"/>
  <c r="G159" i="1"/>
  <c r="G158" i="1"/>
  <c r="G157" i="1" l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159" i="1" l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G149" i="1" l="1"/>
  <c r="G148" i="1"/>
  <c r="G140" i="1" l="1"/>
  <c r="M141" i="1" l="1"/>
  <c r="M138" i="1"/>
  <c r="U149" i="1"/>
  <c r="U148" i="1"/>
  <c r="U140" i="1"/>
  <c r="U141" i="1"/>
  <c r="G139" i="1" l="1"/>
  <c r="U139" i="1" l="1"/>
  <c r="G138" i="1"/>
  <c r="U138" i="1" l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4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<sst xmlns="http://schemas.openxmlformats.org/spreadsheetml/2006/main" count="482" uniqueCount="286">
  <si>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</si>
  <si>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</si>
  <si>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</si>
  <si>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</si>
  <si>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</si>
  <si>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仓位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</si>
  <si>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</si>
  <si>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</si>
  <si>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</si>
  <si>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</si>
  <si>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</si>
  <si>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</si>
  <si>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</si>
  <si>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</si>
  <si>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</si>
  <si>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</si>
  <si>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</si>
  <si>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</si>
  <si>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</si>
  <si>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</si>
  <si>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</si>
  <si>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</si>
  <si>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</si>
  <si>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</si>
  <si>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</si>
  <si>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</si>
  <si>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</si>
  <si>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</si>
  <si>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</si>
  <si>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</si>
  <si>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</si>
  <si>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</si>
  <si>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</si>
  <si>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</si>
  <si>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</si>
  <si>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</si>
  <si>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</si>
  <si>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</si>
  <si>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</si>
  <si>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</si>
  <si>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</si>
  <si>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</si>
  <si>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</si>
  <si>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</si>
  <si>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</si>
  <si>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</si>
  <si>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</si>
  <si>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</si>
  <si>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</si>
  <si>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</si>
  <si>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</si>
  <si>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</si>
  <si>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</si>
  <si>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</si>
  <si>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</si>
  <si>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ZC805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</si>
  <si>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</si>
  <si>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</si>
  <si>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</si>
  <si>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</si>
  <si>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</si>
  <si>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</si>
  <si>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</si>
  <si>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</si>
  <si>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</si>
  <si>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</si>
  <si>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PP1805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</si>
  <si>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</si>
  <si>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</si>
  <si>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</si>
  <si>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</si>
  <si>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</si>
  <si>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</si>
  <si>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</si>
  <si>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</si>
  <si>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</si>
  <si>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</si>
  <si>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</si>
  <si>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</si>
  <si>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</si>
  <si>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</si>
  <si>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</si>
  <si>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</si>
  <si>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</si>
  <si>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</si>
  <si>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</si>
  <si>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</si>
  <si>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</si>
  <si>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</si>
  <si>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</si>
  <si>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</si>
  <si>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</si>
  <si>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</si>
  <si>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</si>
  <si>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</si>
  <si>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开仓日期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</si>
  <si>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</si>
  <si>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</si>
  <si>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</si>
  <si>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</si>
  <si>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</si>
  <si>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</si>
  <si>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</si>
  <si>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</si>
  <si>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</si>
  <si>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</si>
  <si>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</si>
  <si>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</si>
  <si>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</si>
  <si>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</si>
  <si>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</si>
  <si>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</si>
  <si>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</si>
  <si>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</si>
  <si>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</si>
  <si>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</si>
  <si>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</si>
  <si>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</si>
  <si>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</si>
  <si>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</si>
  <si>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</si>
  <si>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</si>
  <si>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</si>
  <si>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</si>
  <si>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</si>
  <si>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</si>
  <si>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</si>
  <si>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</si>
  <si>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</si>
  <si>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</si>
  <si>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</si>
  <si>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</si>
  <si>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</si>
  <si>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</si>
  <si>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</si>
  <si>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</si>
  <si>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</si>
  <si>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</si>
  <si>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</si>
  <si>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</si>
  <si>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</si>
  <si>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</si>
  <si>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</si>
  <si>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</si>
  <si>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</si>
  <si>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</si>
  <si>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</si>
  <si>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</si>
  <si>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</si>
  <si>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</si>
  <si>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</si>
  <si>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</si>
  <si>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</si>
  <si>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</si>
  <si>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</si>
  <si>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</si>
  <si>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</si>
  <si>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</si>
  <si>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</si>
  <si>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</si>
  <si>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</si>
  <si>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</si>
  <si>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</si>
  <si>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</si>
  <si>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</si>
  <si>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</si>
  <si>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</si>
  <si>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</si>
  <si>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</si>
  <si>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</si>
  <si>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</si>
  <si>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T1803</t>
  </si>
  <si>
    <t>TF1803</t>
  </si>
  <si>
    <t>分类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</si>
  <si>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</si>
  <si>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</si>
  <si>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</si>
  <si>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</si>
  <si>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</si>
  <si>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</si>
  <si>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国债</t>
    <phoneticPr fontId="1" type="noConversion"/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</si>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</sst>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6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62736"/>
        <c:axId val="481263856"/>
      </c:lineChart>
      <c:dateAx>
        <c:axId val="481262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1263856"/>
        <c:crosses val="autoZero"/>
        <c:auto val="1"/>
        <c:lblOffset val="100"/>
        <c:baseTimeUnit val="days"/>
      </c:dateAx>
      <c:valAx>
        <c:axId val="48126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126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权益!$A$22:$A$31</c:f>
              <c:numCache>
                <c:formatCode>m/d/yyyy</c:formatCode>
                <c:ptCount val="10"/>
                <c:pt idx="0">
                  <c:v>43122</c:v>
                </c:pt>
                <c:pt idx="1">
                  <c:v>43123</c:v>
                </c:pt>
                <c:pt idx="2">
                  <c:v>43124</c:v>
                </c:pt>
                <c:pt idx="3">
                  <c:v>43125</c:v>
                </c:pt>
                <c:pt idx="4">
                  <c:v>43126</c:v>
                </c:pt>
                <c:pt idx="5">
                  <c:v>43129</c:v>
                </c:pt>
                <c:pt idx="6">
                  <c:v>43130</c:v>
                </c:pt>
                <c:pt idx="7">
                  <c:v>43131</c:v>
                </c:pt>
                <c:pt idx="8">
                  <c:v>43132</c:v>
                </c:pt>
                <c:pt idx="9">
                  <c:v>43133</c:v>
                </c:pt>
              </c:numCache>
            </c:numRef>
          </c:cat>
          <c:val>
            <c:numRef>
              <c:f>权益!$B$22:$B$31</c:f>
              <c:numCache>
                <c:formatCode>_ * #,##0_ ;_ * \-#,##0_ ;_ * "-"??_ ;_ @_ </c:formatCode>
                <c:ptCount val="10"/>
                <c:pt idx="0">
                  <c:v>9715728</c:v>
                </c:pt>
                <c:pt idx="1">
                  <c:v>9756827</c:v>
                </c:pt>
                <c:pt idx="2">
                  <c:v>9739233</c:v>
                </c:pt>
                <c:pt idx="3">
                  <c:v>9796411</c:v>
                </c:pt>
                <c:pt idx="4">
                  <c:v>9748454.8399999999</c:v>
                </c:pt>
                <c:pt idx="5">
                  <c:v>9771011.2799999993</c:v>
                </c:pt>
                <c:pt idx="6">
                  <c:v>9753399.9199999999</c:v>
                </c:pt>
                <c:pt idx="7">
                  <c:v>9712827.9100000001</c:v>
                </c:pt>
                <c:pt idx="8">
                  <c:v>9732130.9100000001</c:v>
                </c:pt>
                <c:pt idx="9">
                  <c:v>9712003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687392"/>
        <c:axId val="482687952"/>
      </c:lineChart>
      <c:dateAx>
        <c:axId val="482687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687952"/>
        <c:crosses val="autoZero"/>
        <c:auto val="1"/>
        <c:lblOffset val="100"/>
        <c:baseTimeUnit val="days"/>
      </c:dateAx>
      <c:valAx>
        <c:axId val="48268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68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1"/>
  <sheetViews>
    <sheetView workbookViewId="0">
      <pane ySplit="1" topLeftCell="A14" activePane="bottomLeft" state="frozen"/>
      <selection pane="bottomLeft" activeCell="F25" sqref="F25"/>
    </sheetView>
  </sheetViews>
  <sheetFormatPr defaultRowHeight="13.8" x14ac:dyDescent="0.25"/>
  <cols>
    <col min="1" max="1" width="12.77734375" style="1" customWidth="1"/>
    <col min="2" max="2" width="18.33203125" style="25" bestFit="1" customWidth="1"/>
    <col min="3" max="3" width="11.109375" customWidth="1"/>
    <col min="5" max="5" width="5.44140625" customWidth="1"/>
    <col min="7" max="7" width="8" customWidth="1"/>
    <col min="8" max="9" width="5.77734375" customWidth="1"/>
  </cols>
  <sheetData>
    <row r="1" spans="1:9" x14ac:dyDescent="0.25">
      <c r="A1" s="1" t="s">
        <v>8</v>
      </c>
      <c r="B1" s="24" t="s">
        <v>9</v>
      </c>
      <c r="C1" s="1" t="s">
        <v>10</v>
      </c>
      <c r="E1" s="7">
        <f>COUNTA(C2:C9986)</f>
        <v>18</v>
      </c>
      <c r="I1" s="8"/>
    </row>
    <row r="2" spans="1:9" x14ac:dyDescent="0.25">
      <c r="A2" s="2">
        <v>43094</v>
      </c>
      <c r="B2" s="24">
        <v>10000000</v>
      </c>
      <c r="C2" s="12">
        <f>B2/$B$2</f>
        <v>1</v>
      </c>
      <c r="F2" t="s">
        <v>11</v>
      </c>
      <c r="G2" s="9">
        <f>成交记录!V1/成交记录!U1</f>
        <v>0.24242424242424243</v>
      </c>
    </row>
    <row r="3" spans="1:9" x14ac:dyDescent="0.25">
      <c r="A3" s="2">
        <v>43095</v>
      </c>
      <c r="B3" s="24">
        <v>9918326</v>
      </c>
      <c r="C3" s="12">
        <f>B3/$B$2</f>
        <v>0.99183259999999995</v>
      </c>
      <c r="F3" t="s">
        <v>12</v>
      </c>
      <c r="G3" s="15">
        <f>成交记录!X1/成交记录!Y1</f>
        <v>0.73321089643067194</v>
      </c>
    </row>
    <row r="4" spans="1:9" x14ac:dyDescent="0.25">
      <c r="A4" s="2">
        <v>43096</v>
      </c>
      <c r="B4" s="24">
        <v>9920390</v>
      </c>
      <c r="C4" s="12">
        <f>B4/$B$2</f>
        <v>0.992039</v>
      </c>
    </row>
    <row r="5" spans="1:9" x14ac:dyDescent="0.25">
      <c r="A5" s="2">
        <v>43097</v>
      </c>
      <c r="B5" s="24"/>
      <c r="C5" s="5"/>
    </row>
    <row r="6" spans="1:9" x14ac:dyDescent="0.25">
      <c r="A6" s="2">
        <v>43098</v>
      </c>
      <c r="B6" s="24"/>
      <c r="C6" s="5"/>
    </row>
    <row r="7" spans="1:9" x14ac:dyDescent="0.25">
      <c r="A7" s="2">
        <v>43101</v>
      </c>
      <c r="B7" s="24"/>
      <c r="C7" s="5"/>
    </row>
    <row r="8" spans="1:9" x14ac:dyDescent="0.25">
      <c r="A8" s="2">
        <v>43102</v>
      </c>
      <c r="B8" s="24"/>
      <c r="C8" s="5"/>
    </row>
    <row r="9" spans="1:9" x14ac:dyDescent="0.25">
      <c r="A9" s="2">
        <v>43103</v>
      </c>
      <c r="B9" s="24"/>
      <c r="C9" s="5"/>
    </row>
    <row r="10" spans="1:9" x14ac:dyDescent="0.25">
      <c r="A10" s="2">
        <v>43104</v>
      </c>
      <c r="B10" s="24"/>
      <c r="C10" s="5"/>
    </row>
    <row r="11" spans="1:9" x14ac:dyDescent="0.25">
      <c r="A11" s="2">
        <v>43105</v>
      </c>
      <c r="B11" s="24"/>
      <c r="C11" s="5"/>
    </row>
    <row r="12" spans="1:9" x14ac:dyDescent="0.25">
      <c r="A12" s="2">
        <v>43108</v>
      </c>
      <c r="B12" s="24"/>
      <c r="C12" s="5"/>
    </row>
    <row r="13" spans="1:9" x14ac:dyDescent="0.25">
      <c r="A13" s="2">
        <v>43109</v>
      </c>
    </row>
    <row r="14" spans="1:9" x14ac:dyDescent="0.25">
      <c r="A14" s="2">
        <v>43110</v>
      </c>
    </row>
    <row r="15" spans="1:9" x14ac:dyDescent="0.25">
      <c r="A15" s="2">
        <v>43111</v>
      </c>
    </row>
    <row r="16" spans="1:9" x14ac:dyDescent="0.25">
      <c r="A16" s="19">
        <v>43112</v>
      </c>
      <c r="B16" s="41"/>
      <c r="C16" s="4"/>
    </row>
    <row r="17" spans="1:3" x14ac:dyDescent="0.25">
      <c r="A17" s="2">
        <v>43115</v>
      </c>
      <c r="B17" s="25">
        <v>9836736</v>
      </c>
      <c r="C17" s="12">
        <f>B17/$B$2</f>
        <v>0.98367360000000004</v>
      </c>
    </row>
    <row r="18" spans="1:3" x14ac:dyDescent="0.25">
      <c r="A18" s="2">
        <v>43116</v>
      </c>
      <c r="B18" s="25">
        <v>9743676</v>
      </c>
      <c r="C18" s="12">
        <f t="shared" ref="C18:C25" si="0">B18/$B$2</f>
        <v>0.9743676</v>
      </c>
    </row>
    <row r="19" spans="1:3" x14ac:dyDescent="0.25">
      <c r="A19" s="2">
        <v>43117</v>
      </c>
      <c r="B19" s="25">
        <v>9685921</v>
      </c>
      <c r="C19" s="12">
        <f t="shared" si="0"/>
        <v>0.96859209999999996</v>
      </c>
    </row>
    <row r="20" spans="1:3" x14ac:dyDescent="0.25">
      <c r="A20" s="2">
        <v>43118</v>
      </c>
      <c r="B20" s="25">
        <v>9704061</v>
      </c>
      <c r="C20" s="12">
        <f t="shared" si="0"/>
        <v>0.97040610000000005</v>
      </c>
    </row>
    <row r="21" spans="1:3" x14ac:dyDescent="0.25">
      <c r="A21" s="19">
        <v>43119</v>
      </c>
      <c r="B21" s="41">
        <v>9729899</v>
      </c>
      <c r="C21" s="42">
        <f t="shared" si="0"/>
        <v>0.97298989999999996</v>
      </c>
    </row>
    <row r="22" spans="1:3" x14ac:dyDescent="0.25">
      <c r="A22" s="2">
        <v>43122</v>
      </c>
      <c r="B22" s="25">
        <v>9715728</v>
      </c>
      <c r="C22" s="12">
        <f t="shared" si="0"/>
        <v>0.97157280000000001</v>
      </c>
    </row>
    <row r="23" spans="1:3" x14ac:dyDescent="0.25">
      <c r="A23" s="2">
        <v>43123</v>
      </c>
      <c r="B23" s="25">
        <v>9756827</v>
      </c>
      <c r="C23" s="12">
        <f t="shared" si="0"/>
        <v>0.97568270000000001</v>
      </c>
    </row>
    <row r="24" spans="1:3" x14ac:dyDescent="0.25">
      <c r="A24" s="2">
        <v>43124</v>
      </c>
      <c r="B24" s="25">
        <v>9739233</v>
      </c>
      <c r="C24" s="12">
        <f t="shared" si="0"/>
        <v>0.97392330000000005</v>
      </c>
    </row>
    <row r="25" spans="1:3" x14ac:dyDescent="0.25">
      <c r="A25" s="2">
        <v>43125</v>
      </c>
      <c r="B25" s="25">
        <v>9796411</v>
      </c>
      <c r="C25" s="12">
        <f t="shared" si="0"/>
        <v>0.97964110000000004</v>
      </c>
    </row>
    <row r="26" spans="1:3" x14ac:dyDescent="0.25">
      <c r="A26" s="19">
        <v>43126</v>
      </c>
      <c r="B26" s="41">
        <v>9748454.8399999999</v>
      </c>
      <c r="C26" s="42">
        <f t="shared" ref="C26:C31" si="1">B26/$B$2</f>
        <v>0.97484548400000004</v>
      </c>
    </row>
    <row r="27" spans="1:3" x14ac:dyDescent="0.25">
      <c r="A27" s="2">
        <v>43129</v>
      </c>
      <c r="B27" s="25">
        <v>9771011.2799999993</v>
      </c>
      <c r="C27" s="12">
        <f t="shared" si="1"/>
        <v>0.97710112799999993</v>
      </c>
    </row>
    <row r="28" spans="1:3" x14ac:dyDescent="0.25">
      <c r="A28" s="2">
        <v>43130</v>
      </c>
      <c r="B28" s="25">
        <v>9753399.9199999999</v>
      </c>
      <c r="C28" s="12">
        <f t="shared" si="1"/>
        <v>0.97533999199999999</v>
      </c>
    </row>
    <row r="29" spans="1:3" x14ac:dyDescent="0.25">
      <c r="A29" s="2">
        <v>43131</v>
      </c>
      <c r="B29" s="25">
        <v>9712827.9100000001</v>
      </c>
      <c r="C29" s="12">
        <f t="shared" si="1"/>
        <v>0.97128279100000003</v>
      </c>
    </row>
    <row r="30" spans="1:3" x14ac:dyDescent="0.25">
      <c r="A30" s="2">
        <v>43132</v>
      </c>
      <c r="B30" s="25">
        <v>9732130.9100000001</v>
      </c>
      <c r="C30" s="12">
        <f t="shared" si="1"/>
        <v>0.97321309099999997</v>
      </c>
    </row>
    <row r="31" spans="1:3" x14ac:dyDescent="0.25">
      <c r="A31" s="2">
        <v>43133</v>
      </c>
      <c r="B31" s="25">
        <v>9712003</v>
      </c>
      <c r="C31" s="12">
        <f t="shared" si="1"/>
        <v>0.97120030000000002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08" activePane="bottomLeft" state="frozen"/>
      <selection pane="bottomLeft" activeCell="K226" sqref="K226"/>
    </sheetView>
  </sheetViews>
  <sheetFormatPr defaultRowHeight="13.8" x14ac:dyDescent="0.25"/>
  <cols>
    <col min="1" max="1" width="8.77734375" style="1" customWidth="1"/>
    <col min="2" max="2" width="9.33203125" style="1" customWidth="1"/>
    <col min="3" max="3" width="7" style="1" customWidth="1"/>
    <col min="4" max="4" width="7.33203125" style="1" customWidth="1"/>
    <col min="5" max="5" width="11.33203125" style="1" customWidth="1"/>
    <col min="6" max="6" width="8.88671875" style="1" customWidth="1"/>
    <col min="7" max="7" width="9.88671875" style="17" customWidth="1"/>
    <col min="8" max="8" width="7.33203125" style="53" customWidth="1"/>
    <col min="9" max="9" width="6.88671875" style="17" customWidth="1"/>
    <col min="10" max="10" width="7.21875" style="1" customWidth="1"/>
    <col min="11" max="11" width="11.33203125" style="1" customWidth="1"/>
    <col min="12" max="12" width="7.44140625" style="1" customWidth="1"/>
    <col min="13" max="13" width="10.44140625" style="1" bestFit="1" customWidth="1"/>
    <col min="14" max="14" width="4.77734375" style="1" customWidth="1"/>
    <col min="15" max="15" width="9" style="1"/>
    <col min="16" max="16" width="8.77734375" customWidth="1"/>
    <col min="17" max="17" width="6.44140625" customWidth="1"/>
    <col min="18" max="18" width="2.77734375" customWidth="1"/>
    <col min="19" max="19" width="6.109375" style="10" customWidth="1"/>
    <col min="20" max="20" width="8.6640625" customWidth="1"/>
    <col min="21" max="21" width="9" style="1"/>
  </cols>
  <sheetData>
    <row r="1" spans="1:26" s="63" customFormat="1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92</v>
      </c>
      <c r="F1" s="59" t="s">
        <v>42</v>
      </c>
      <c r="G1" s="60" t="s">
        <v>196</v>
      </c>
      <c r="H1" s="61" t="s">
        <v>204</v>
      </c>
      <c r="I1" s="60" t="s">
        <v>195</v>
      </c>
      <c r="J1" s="59" t="s">
        <v>6</v>
      </c>
      <c r="K1" s="59" t="s">
        <v>20</v>
      </c>
      <c r="L1" s="62" t="s">
        <v>43</v>
      </c>
      <c r="M1" s="62" t="s">
        <v>4</v>
      </c>
      <c r="N1" s="59" t="s">
        <v>197</v>
      </c>
      <c r="O1" s="59" t="s">
        <v>200</v>
      </c>
      <c r="P1" s="63" t="s">
        <v>198</v>
      </c>
      <c r="Q1" s="63" t="s">
        <v>199</v>
      </c>
      <c r="S1" s="64" t="s">
        <v>7</v>
      </c>
      <c r="T1" s="65"/>
      <c r="U1" s="66">
        <f>COUNT(M2:M9987)</f>
        <v>198</v>
      </c>
      <c r="V1" s="65">
        <f>COUNTIF(M2:M9987,"&gt;0")</f>
        <v>48</v>
      </c>
      <c r="W1" s="65">
        <f>COUNTIF(M2:M9987,"&lt;0")</f>
        <v>147</v>
      </c>
      <c r="X1" s="65">
        <f>SUMIF(M2:M9987,"&gt;0")</f>
        <v>643246.54999999993</v>
      </c>
      <c r="Y1" s="65">
        <f>ABS(SUMIF(M2:M9987,"&lt;0"))</f>
        <v>877300.86000000068</v>
      </c>
      <c r="Z1" s="65"/>
    </row>
    <row r="2" spans="1:26" x14ac:dyDescent="0.25">
      <c r="A2" s="2">
        <v>43094</v>
      </c>
      <c r="B2" s="1" t="s">
        <v>13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99</v>
      </c>
      <c r="V2" s="11" t="s">
        <v>100</v>
      </c>
      <c r="W2" s="11" t="s">
        <v>101</v>
      </c>
      <c r="X2" s="11" t="s">
        <v>102</v>
      </c>
      <c r="Y2" s="11" t="s">
        <v>103</v>
      </c>
      <c r="Z2" s="11" t="s">
        <v>104</v>
      </c>
    </row>
    <row r="3" spans="1:26" x14ac:dyDescent="0.25">
      <c r="B3" s="1" t="s">
        <v>14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 x14ac:dyDescent="0.25">
      <c r="B4" s="1" t="s">
        <v>14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 x14ac:dyDescent="0.25">
      <c r="A5" s="2"/>
      <c r="B5" s="1" t="s">
        <v>15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 x14ac:dyDescent="0.25">
      <c r="A6" s="2"/>
      <c r="B6" s="1" t="s">
        <v>15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 x14ac:dyDescent="0.25">
      <c r="A7" s="1" t="s">
        <v>23</v>
      </c>
      <c r="B7" s="1" t="s">
        <v>16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 x14ac:dyDescent="0.25">
      <c r="A8" s="2">
        <v>43095</v>
      </c>
      <c r="B8" s="1" t="s">
        <v>17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 x14ac:dyDescent="0.25">
      <c r="B9" s="1" t="s">
        <v>18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 x14ac:dyDescent="0.25">
      <c r="B10" s="1" t="s">
        <v>19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 x14ac:dyDescent="0.25">
      <c r="A11" s="2"/>
      <c r="B11" s="1" t="s">
        <v>19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 x14ac:dyDescent="0.25">
      <c r="A12" s="2">
        <v>43096</v>
      </c>
      <c r="B12" s="1" t="s">
        <v>21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 x14ac:dyDescent="0.25">
      <c r="B13" s="1" t="s">
        <v>21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 x14ac:dyDescent="0.25">
      <c r="A14" s="2"/>
      <c r="B14" s="1" t="s">
        <v>19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 x14ac:dyDescent="0.25">
      <c r="A15" s="2"/>
      <c r="B15" s="1" t="s">
        <v>22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 x14ac:dyDescent="0.25">
      <c r="B16" s="1" t="s">
        <v>15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 x14ac:dyDescent="0.25">
      <c r="B17" s="1" t="s">
        <v>24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 x14ac:dyDescent="0.25">
      <c r="B18" s="1" t="s">
        <v>24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 x14ac:dyDescent="0.25">
      <c r="A19" s="2">
        <v>43097</v>
      </c>
      <c r="B19" s="1" t="s">
        <v>26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 x14ac:dyDescent="0.25">
      <c r="B20" s="1" t="s">
        <v>25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 x14ac:dyDescent="0.25">
      <c r="B21" s="1" t="s">
        <v>27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 x14ac:dyDescent="0.25">
      <c r="A22" s="2">
        <v>43098</v>
      </c>
      <c r="B22" s="1" t="s">
        <v>25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 x14ac:dyDescent="0.25">
      <c r="A23" s="2"/>
      <c r="B23" s="1" t="s">
        <v>28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4" thickBot="1" x14ac:dyDescent="0.3">
      <c r="A24" s="38"/>
      <c r="B24" s="34" t="s">
        <v>52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 x14ac:dyDescent="0.25">
      <c r="A25" s="2">
        <v>43101</v>
      </c>
      <c r="S25" t="str">
        <f>IF(B25="","",VLOOKUP(Cmt(B25),Sheet2!A:B,2,FALSE))</f>
        <v/>
      </c>
      <c r="W25" s="11"/>
    </row>
    <row r="26" spans="1:23" x14ac:dyDescent="0.25">
      <c r="A26" s="2">
        <v>43102</v>
      </c>
      <c r="B26" s="1" t="s">
        <v>98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 x14ac:dyDescent="0.25">
      <c r="A27" s="2"/>
      <c r="B27" s="1" t="s">
        <v>108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 x14ac:dyDescent="0.25">
      <c r="A28" s="2">
        <v>43103</v>
      </c>
      <c r="S28" t="str">
        <f>IF(B28="","",VLOOKUP(Cmt(B28),Sheet2!A:B,2,FALSE))</f>
        <v/>
      </c>
      <c r="W28" s="11"/>
    </row>
    <row r="29" spans="1:23" x14ac:dyDescent="0.25">
      <c r="A29" s="2">
        <v>43104</v>
      </c>
      <c r="S29" t="str">
        <f>IF(B29="","",VLOOKUP(Cmt(B29),Sheet2!A:B,2,FALSE))</f>
        <v/>
      </c>
      <c r="W29" s="11"/>
    </row>
    <row r="30" spans="1:23" x14ac:dyDescent="0.25">
      <c r="A30" s="2">
        <v>43105</v>
      </c>
      <c r="S30" t="str">
        <f>IF(B30="","",VLOOKUP(Cmt(B30),Sheet2!A:B,2,FALSE))</f>
        <v/>
      </c>
      <c r="W30" s="11"/>
    </row>
    <row r="31" spans="1:23" x14ac:dyDescent="0.25">
      <c r="A31" s="2">
        <v>43108</v>
      </c>
      <c r="S31" t="str">
        <f>IF(B31="","",VLOOKUP(Cmt(B31),Sheet2!A:B,2,FALSE))</f>
        <v/>
      </c>
      <c r="W31" s="11"/>
    </row>
    <row r="32" spans="1:23" x14ac:dyDescent="0.25">
      <c r="A32" s="2">
        <v>43109</v>
      </c>
      <c r="S32" t="str">
        <f>IF(B32="","",VLOOKUP(Cmt(B32),Sheet2!A:B,2,FALSE))</f>
        <v/>
      </c>
      <c r="W32" s="11"/>
    </row>
    <row r="33" spans="1:23" x14ac:dyDescent="0.25">
      <c r="A33" s="2">
        <v>43110</v>
      </c>
      <c r="B33" s="1" t="s">
        <v>77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 x14ac:dyDescent="0.25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 x14ac:dyDescent="0.25">
      <c r="A35" s="21">
        <v>43112</v>
      </c>
      <c r="B35" s="13" t="s">
        <v>39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4" thickBot="1" x14ac:dyDescent="0.3">
      <c r="A36" s="38"/>
      <c r="B36" s="34" t="s">
        <v>47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 x14ac:dyDescent="0.25">
      <c r="A37" s="2">
        <v>43115</v>
      </c>
      <c r="B37" s="23" t="s">
        <v>32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 x14ac:dyDescent="0.25">
      <c r="B38" s="23" t="s">
        <v>34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 x14ac:dyDescent="0.25">
      <c r="B39" s="14" t="s">
        <v>35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 x14ac:dyDescent="0.25">
      <c r="B40" s="23" t="s">
        <v>28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 x14ac:dyDescent="0.25">
      <c r="B41" s="23" t="s">
        <v>29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 x14ac:dyDescent="0.25">
      <c r="B42" s="23" t="s">
        <v>27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 x14ac:dyDescent="0.25">
      <c r="B43" s="23" t="s">
        <v>24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 x14ac:dyDescent="0.25">
      <c r="B44" s="23" t="s">
        <v>30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 x14ac:dyDescent="0.25">
      <c r="A45" s="13"/>
      <c r="B45" s="16" t="s">
        <v>31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 x14ac:dyDescent="0.25">
      <c r="A46" s="3"/>
      <c r="B46" s="3" t="s">
        <v>32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 x14ac:dyDescent="0.25">
      <c r="A47" s="2">
        <v>43116</v>
      </c>
      <c r="B47" s="1" t="s">
        <v>29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 x14ac:dyDescent="0.25">
      <c r="B48" s="1" t="s">
        <v>33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 x14ac:dyDescent="0.25">
      <c r="A49" s="3"/>
      <c r="B49" s="3" t="s">
        <v>32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 x14ac:dyDescent="0.25">
      <c r="A50" s="2">
        <v>43117</v>
      </c>
      <c r="B50" s="1" t="s">
        <v>33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 x14ac:dyDescent="0.25">
      <c r="B51" s="1" t="s">
        <v>33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 x14ac:dyDescent="0.25">
      <c r="B52" s="1" t="s">
        <v>36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 x14ac:dyDescent="0.25">
      <c r="B53" s="1" t="s">
        <v>37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 x14ac:dyDescent="0.25">
      <c r="B54" s="1" t="s">
        <v>37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 x14ac:dyDescent="0.25">
      <c r="B55" s="1" t="s">
        <v>38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 x14ac:dyDescent="0.25">
      <c r="B56" s="1" t="s">
        <v>39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 x14ac:dyDescent="0.25">
      <c r="B57" s="1" t="s">
        <v>40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 x14ac:dyDescent="0.25">
      <c r="B58" s="1" t="s">
        <v>40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 x14ac:dyDescent="0.25">
      <c r="B59" s="1" t="s">
        <v>40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 x14ac:dyDescent="0.25">
      <c r="B60" s="1" t="s">
        <v>40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 x14ac:dyDescent="0.25">
      <c r="B61" s="1" t="s">
        <v>34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 x14ac:dyDescent="0.25">
      <c r="B62" s="1" t="s">
        <v>41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 x14ac:dyDescent="0.25">
      <c r="B63" s="1" t="s">
        <v>44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 x14ac:dyDescent="0.25">
      <c r="B64" s="1" t="s">
        <v>44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 x14ac:dyDescent="0.25">
      <c r="B65" s="1" t="s">
        <v>45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 x14ac:dyDescent="0.25">
      <c r="B66" s="1" t="s">
        <v>46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 x14ac:dyDescent="0.25">
      <c r="B67" s="1" t="s">
        <v>46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 x14ac:dyDescent="0.25">
      <c r="B68" s="1" t="s">
        <v>48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 x14ac:dyDescent="0.25">
      <c r="A69" s="3"/>
      <c r="B69" s="3" t="s">
        <v>48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 x14ac:dyDescent="0.25">
      <c r="A70" s="2">
        <v>43118</v>
      </c>
      <c r="B70" s="27" t="s">
        <v>49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 x14ac:dyDescent="0.25">
      <c r="B71" s="1" t="s">
        <v>40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 x14ac:dyDescent="0.25">
      <c r="A72" s="3"/>
      <c r="B72" s="3" t="s">
        <v>34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 x14ac:dyDescent="0.25">
      <c r="A73" s="2">
        <v>43119</v>
      </c>
      <c r="B73" s="1" t="s">
        <v>14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 x14ac:dyDescent="0.25">
      <c r="B74" s="3" t="s">
        <v>18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 x14ac:dyDescent="0.25">
      <c r="B75" s="1" t="s">
        <v>50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 x14ac:dyDescent="0.25">
      <c r="B76" s="1" t="s">
        <v>51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 x14ac:dyDescent="0.25">
      <c r="B77" s="13" t="s">
        <v>18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4" thickBot="1" x14ac:dyDescent="0.3">
      <c r="A78" s="34"/>
      <c r="B78" s="34" t="s">
        <v>68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 x14ac:dyDescent="0.25">
      <c r="A79" s="2">
        <v>43122</v>
      </c>
      <c r="B79" s="1" t="s">
        <v>69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 x14ac:dyDescent="0.25">
      <c r="B80" s="1" t="s">
        <v>69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 x14ac:dyDescent="0.25">
      <c r="B81" s="13" t="s">
        <v>70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 x14ac:dyDescent="0.25">
      <c r="B82" s="13" t="s">
        <v>71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 x14ac:dyDescent="0.25">
      <c r="A83" s="3"/>
      <c r="B83" s="3" t="s">
        <v>72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 x14ac:dyDescent="0.25">
      <c r="A84" s="2">
        <v>43123</v>
      </c>
      <c r="B84" s="1" t="s">
        <v>73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 x14ac:dyDescent="0.25">
      <c r="B85" s="1" t="s">
        <v>74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 x14ac:dyDescent="0.25">
      <c r="B86" s="1" t="s">
        <v>75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 x14ac:dyDescent="0.25">
      <c r="A87" s="13"/>
      <c r="B87" s="13" t="s">
        <v>73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 x14ac:dyDescent="0.25">
      <c r="A88" s="3"/>
      <c r="B88" s="3" t="s">
        <v>84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 x14ac:dyDescent="0.25">
      <c r="A89" s="2">
        <v>43124</v>
      </c>
      <c r="B89" s="27" t="s">
        <v>76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 x14ac:dyDescent="0.25">
      <c r="B90" s="1" t="s">
        <v>78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 x14ac:dyDescent="0.25">
      <c r="B91" s="1" t="s">
        <v>78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 x14ac:dyDescent="0.25">
      <c r="B92" s="1" t="s">
        <v>79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 x14ac:dyDescent="0.25">
      <c r="B93" s="1" t="s">
        <v>79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 x14ac:dyDescent="0.25">
      <c r="B94" s="1" t="s">
        <v>80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 x14ac:dyDescent="0.25">
      <c r="B95" s="1" t="s">
        <v>81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 x14ac:dyDescent="0.25">
      <c r="B96" s="1" t="s">
        <v>82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 x14ac:dyDescent="0.25">
      <c r="A97" s="3"/>
      <c r="B97" s="3" t="s">
        <v>83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 x14ac:dyDescent="0.25">
      <c r="A98" s="2">
        <v>43125</v>
      </c>
      <c r="B98" s="1" t="s">
        <v>29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 x14ac:dyDescent="0.25">
      <c r="B99" s="1" t="s">
        <v>24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 x14ac:dyDescent="0.25">
      <c r="B100" s="3" t="s">
        <v>52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 x14ac:dyDescent="0.25">
      <c r="B101" s="1" t="s">
        <v>85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 x14ac:dyDescent="0.25">
      <c r="B102" s="1" t="s">
        <v>86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 x14ac:dyDescent="0.25">
      <c r="B103" s="1" t="s">
        <v>87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 x14ac:dyDescent="0.25">
      <c r="B104" s="1" t="s">
        <v>88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 x14ac:dyDescent="0.25">
      <c r="B105" s="1" t="s">
        <v>89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 x14ac:dyDescent="0.25">
      <c r="B106" s="1" t="s">
        <v>91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 x14ac:dyDescent="0.25">
      <c r="B107" s="1" t="s">
        <v>93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 x14ac:dyDescent="0.25">
      <c r="B108" s="1" t="s">
        <v>94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 x14ac:dyDescent="0.25">
      <c r="A109" s="3"/>
      <c r="B109" s="3" t="s">
        <v>96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 x14ac:dyDescent="0.25">
      <c r="A110" s="2">
        <v>43126</v>
      </c>
      <c r="B110" s="27" t="s">
        <v>15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 x14ac:dyDescent="0.25">
      <c r="B111" s="1" t="s">
        <v>105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 x14ac:dyDescent="0.25">
      <c r="B112" s="1" t="s">
        <v>106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 x14ac:dyDescent="0.25">
      <c r="B113" s="1" t="s">
        <v>107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 x14ac:dyDescent="0.25">
      <c r="B114" s="1" t="s">
        <v>109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 x14ac:dyDescent="0.25">
      <c r="B115" s="1" t="s">
        <v>113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 x14ac:dyDescent="0.25">
      <c r="B116" s="1" t="s">
        <v>114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 x14ac:dyDescent="0.25">
      <c r="B117" s="1" t="s">
        <v>110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 x14ac:dyDescent="0.25">
      <c r="B118" s="1" t="s">
        <v>111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4" thickBot="1" x14ac:dyDescent="0.3">
      <c r="A119" s="34"/>
      <c r="B119" s="34" t="s">
        <v>112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 x14ac:dyDescent="0.25">
      <c r="A120" s="2">
        <v>43129</v>
      </c>
      <c r="B120" s="1" t="s">
        <v>24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 x14ac:dyDescent="0.25">
      <c r="B121" s="1" t="s">
        <v>115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 x14ac:dyDescent="0.25">
      <c r="B122" s="1" t="s">
        <v>116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 x14ac:dyDescent="0.25">
      <c r="B123" s="1" t="s">
        <v>52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 x14ac:dyDescent="0.25">
      <c r="B124" s="3" t="s">
        <v>32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 x14ac:dyDescent="0.25">
      <c r="B125" s="1" t="s">
        <v>117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 x14ac:dyDescent="0.25">
      <c r="B126" s="1" t="s">
        <v>118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 x14ac:dyDescent="0.25">
      <c r="B127" s="1" t="s">
        <v>119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 x14ac:dyDescent="0.25">
      <c r="B128" s="1" t="s">
        <v>120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 x14ac:dyDescent="0.25">
      <c r="B129" s="1" t="s">
        <v>121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 x14ac:dyDescent="0.25">
      <c r="B130" s="1" t="s">
        <v>122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 x14ac:dyDescent="0.25">
      <c r="B131" s="1" t="s">
        <v>123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 x14ac:dyDescent="0.25">
      <c r="A132" s="3"/>
      <c r="B132" s="3" t="s">
        <v>123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 x14ac:dyDescent="0.25">
      <c r="A133" s="2">
        <v>43130</v>
      </c>
      <c r="B133" s="1" t="s">
        <v>32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 x14ac:dyDescent="0.25">
      <c r="B134" s="1" t="s">
        <v>110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 x14ac:dyDescent="0.25">
      <c r="B135" s="3" t="s">
        <v>124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 x14ac:dyDescent="0.25">
      <c r="B136" s="1" t="s">
        <v>125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 x14ac:dyDescent="0.25">
      <c r="B137" s="1" t="s">
        <v>126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 x14ac:dyDescent="0.25">
      <c r="B138" s="1" t="s">
        <v>126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 x14ac:dyDescent="0.25">
      <c r="B139" s="1" t="s">
        <v>127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 x14ac:dyDescent="0.25">
      <c r="B140" s="1" t="s">
        <v>128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 x14ac:dyDescent="0.25">
      <c r="A141" s="3"/>
      <c r="B141" s="3" t="s">
        <v>129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 x14ac:dyDescent="0.25">
      <c r="A142" s="2">
        <v>43131</v>
      </c>
      <c r="B142" s="1" t="s">
        <v>132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 x14ac:dyDescent="0.25">
      <c r="B143" s="1" t="s">
        <v>133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 x14ac:dyDescent="0.25">
      <c r="B144" s="1" t="s">
        <v>134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 x14ac:dyDescent="0.25">
      <c r="B145" s="1" t="s">
        <v>135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 x14ac:dyDescent="0.25">
      <c r="B146" s="1" t="s">
        <v>136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 x14ac:dyDescent="0.25">
      <c r="B147" s="3" t="s">
        <v>137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 x14ac:dyDescent="0.25">
      <c r="B148" s="1" t="s">
        <v>130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 x14ac:dyDescent="0.25">
      <c r="B149" s="1" t="s">
        <v>131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 x14ac:dyDescent="0.25">
      <c r="B150" s="1" t="s">
        <v>138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 x14ac:dyDescent="0.25">
      <c r="B151" s="1" t="s">
        <v>139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 x14ac:dyDescent="0.25">
      <c r="B152" s="1" t="s">
        <v>140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 x14ac:dyDescent="0.25">
      <c r="B153" s="1" t="s">
        <v>141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 x14ac:dyDescent="0.25">
      <c r="B154" s="1" t="s">
        <v>138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 x14ac:dyDescent="0.25">
      <c r="B155" s="1" t="s">
        <v>142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 x14ac:dyDescent="0.25">
      <c r="B156" s="1" t="s">
        <v>143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 x14ac:dyDescent="0.25">
      <c r="A157" s="3"/>
      <c r="B157" s="3" t="s">
        <v>144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 x14ac:dyDescent="0.25">
      <c r="A158" s="2">
        <v>43132</v>
      </c>
      <c r="B158" s="1" t="s">
        <v>13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 x14ac:dyDescent="0.25">
      <c r="B159" s="3" t="s">
        <v>14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 x14ac:dyDescent="0.25">
      <c r="B160" s="1" t="s">
        <v>145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 x14ac:dyDescent="0.25">
      <c r="B161" s="1" t="s">
        <v>146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 x14ac:dyDescent="0.25">
      <c r="B162" s="1" t="s">
        <v>147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 x14ac:dyDescent="0.25">
      <c r="B163" s="1" t="s">
        <v>148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 x14ac:dyDescent="0.25">
      <c r="B164" s="1" t="s">
        <v>149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 x14ac:dyDescent="0.25">
      <c r="B165" s="1" t="s">
        <v>150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M165" s="16" t="str">
        <f t="shared" si="71"/>
        <v/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 x14ac:dyDescent="0.25">
      <c r="B166" s="1" t="s">
        <v>151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 x14ac:dyDescent="0.25">
      <c r="B167" s="1" t="s">
        <v>151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 x14ac:dyDescent="0.25">
      <c r="A168" s="3"/>
      <c r="B168" s="3" t="s">
        <v>152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 x14ac:dyDescent="0.25">
      <c r="A169" s="2">
        <v>43133</v>
      </c>
      <c r="B169" s="1" t="s">
        <v>153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 x14ac:dyDescent="0.25">
      <c r="B170" s="1" t="s">
        <v>154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 x14ac:dyDescent="0.25">
      <c r="A171" s="1" t="s">
        <v>202</v>
      </c>
      <c r="B171" s="1" t="s">
        <v>156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201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205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 x14ac:dyDescent="0.25">
      <c r="B172" s="1" t="s">
        <v>157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 x14ac:dyDescent="0.25">
      <c r="B173" s="3" t="s">
        <v>158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 x14ac:dyDescent="0.25">
      <c r="B174" s="1" t="s">
        <v>153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 x14ac:dyDescent="0.25">
      <c r="B175" s="1" t="s">
        <v>159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 x14ac:dyDescent="0.25">
      <c r="B176" s="1" t="s">
        <v>161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 x14ac:dyDescent="0.25">
      <c r="B177" s="1" t="s">
        <v>162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 x14ac:dyDescent="0.25">
      <c r="B178" s="1" t="s">
        <v>163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 x14ac:dyDescent="0.25">
      <c r="B179" s="1" t="s">
        <v>164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 x14ac:dyDescent="0.25">
      <c r="B180" s="1" t="s">
        <v>158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 x14ac:dyDescent="0.25">
      <c r="B181" s="1" t="s">
        <v>166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 x14ac:dyDescent="0.25">
      <c r="B182" s="1" t="s">
        <v>162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 x14ac:dyDescent="0.25">
      <c r="A183" s="1" t="s">
        <v>203</v>
      </c>
      <c r="B183" s="1" t="s">
        <v>181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211</v>
      </c>
      <c r="L183" s="26" t="s">
        <v>212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206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 x14ac:dyDescent="0.25">
      <c r="B184" s="1" t="s">
        <v>163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 x14ac:dyDescent="0.25">
      <c r="B185" s="1" t="s">
        <v>182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 x14ac:dyDescent="0.25">
      <c r="B186" s="1" t="s">
        <v>183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 x14ac:dyDescent="0.25">
      <c r="B187" s="1" t="s">
        <v>162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4" thickBot="1" x14ac:dyDescent="0.3">
      <c r="A188" s="34"/>
      <c r="B188" s="34" t="s">
        <v>184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 x14ac:dyDescent="0.25">
      <c r="A189" s="2">
        <v>43136</v>
      </c>
      <c r="B189" s="1" t="s">
        <v>185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 x14ac:dyDescent="0.25">
      <c r="B190" s="1" t="s">
        <v>186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 x14ac:dyDescent="0.25">
      <c r="B191" s="3" t="s">
        <v>187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 x14ac:dyDescent="0.25">
      <c r="B192" s="1" t="s">
        <v>188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 x14ac:dyDescent="0.25">
      <c r="B193" s="1" t="s">
        <v>189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 x14ac:dyDescent="0.25">
      <c r="B194" s="1" t="s">
        <v>190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 x14ac:dyDescent="0.25">
      <c r="B195" s="1" t="s">
        <v>191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 x14ac:dyDescent="0.25">
      <c r="B196" s="1" t="s">
        <v>192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 x14ac:dyDescent="0.25">
      <c r="B197" s="1" t="s">
        <v>193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 x14ac:dyDescent="0.25">
      <c r="A198" s="3"/>
      <c r="B198" s="3" t="s">
        <v>194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 x14ac:dyDescent="0.25">
      <c r="A199" s="2">
        <v>43137</v>
      </c>
      <c r="B199" s="3" t="s">
        <v>207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 x14ac:dyDescent="0.25">
      <c r="B200" s="1" t="s">
        <v>208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 x14ac:dyDescent="0.25">
      <c r="B201" s="1" t="s">
        <v>209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 x14ac:dyDescent="0.25">
      <c r="B202" s="1" t="s">
        <v>210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 x14ac:dyDescent="0.25">
      <c r="A203" s="3"/>
      <c r="B203" s="3" t="s">
        <v>213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 x14ac:dyDescent="0.25">
      <c r="A204" s="2">
        <v>43138</v>
      </c>
      <c r="B204" s="1" t="s">
        <v>214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M204" s="16" t="str">
        <f t="shared" si="71"/>
        <v/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6">T204*I204/(D204*S204*0.15)</f>
        <v>2.1382353198469106</v>
      </c>
      <c r="W204" s="11"/>
    </row>
    <row r="205" spans="1:23" x14ac:dyDescent="0.25">
      <c r="B205" s="3" t="s">
        <v>77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7">T205*I205/(D205*S205*0.15)</f>
        <v>7.6743186813186801</v>
      </c>
      <c r="W205" s="11"/>
    </row>
    <row r="206" spans="1:23" x14ac:dyDescent="0.25">
      <c r="B206" s="1" t="s">
        <v>215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8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99">T206*I206/(D206*S206*0.15)</f>
        <v>20.194624077899086</v>
      </c>
      <c r="W206" s="11"/>
    </row>
    <row r="207" spans="1:23" x14ac:dyDescent="0.25">
      <c r="B207" s="1" t="s">
        <v>216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8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0">T207*I207/(D207*S207*0.15)</f>
        <v>29.19258721074894</v>
      </c>
      <c r="W207" s="11"/>
    </row>
    <row r="208" spans="1:23" x14ac:dyDescent="0.25">
      <c r="B208" s="1" t="s">
        <v>217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8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0"/>
        <v>3.8135131445510568</v>
      </c>
      <c r="W208" s="11"/>
    </row>
    <row r="209" spans="1:23" x14ac:dyDescent="0.25">
      <c r="B209" s="1" t="s">
        <v>218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8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0"/>
        <v>13.055103908715708</v>
      </c>
      <c r="W209" s="11"/>
    </row>
    <row r="210" spans="1:23" x14ac:dyDescent="0.25">
      <c r="B210" s="1" t="s">
        <v>219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8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0"/>
        <v>19.77041289099526</v>
      </c>
      <c r="W210" s="11"/>
    </row>
    <row r="211" spans="1:23" x14ac:dyDescent="0.25">
      <c r="B211" s="1" t="s">
        <v>220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1">IF(G211="","",G211*H211)</f>
        <v>1.9E-2</v>
      </c>
      <c r="M211" s="16" t="str">
        <f t="shared" si="71"/>
        <v/>
      </c>
      <c r="S211">
        <f>IF(B211="","",VLOOKUP(Cmt(B211),Sheet2!A:B,2,FALSE))</f>
        <v>300</v>
      </c>
      <c r="T211" s="39">
        <v>9777088</v>
      </c>
      <c r="U211" s="13">
        <f t="shared" si="100"/>
        <v>0.98414719454112953</v>
      </c>
      <c r="W211" s="11"/>
    </row>
    <row r="212" spans="1:23" x14ac:dyDescent="0.25">
      <c r="B212" s="1" t="s">
        <v>221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1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2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0"/>
        <v>1.3001084166176757</v>
      </c>
      <c r="W212" s="11"/>
    </row>
    <row r="213" spans="1:23" x14ac:dyDescent="0.25">
      <c r="B213" s="1" t="s">
        <v>222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1"/>
        <v>1.6E-2</v>
      </c>
      <c r="J213" s="1">
        <v>14405</v>
      </c>
      <c r="K213" s="2">
        <v>43138</v>
      </c>
      <c r="L213" s="26">
        <v>0.57847222222222217</v>
      </c>
      <c r="M213" s="16">
        <f t="shared" si="102"/>
        <v>-2450</v>
      </c>
      <c r="S213">
        <f>IF(B213="","",VLOOKUP(Cmt(B213),Sheet2!A:B,2,FALSE))</f>
        <v>5</v>
      </c>
      <c r="T213" s="39">
        <v>9777090</v>
      </c>
      <c r="U213" s="13">
        <f t="shared" si="100"/>
        <v>14.514816979819068</v>
      </c>
      <c r="W213" s="11"/>
    </row>
    <row r="214" spans="1:23" x14ac:dyDescent="0.25">
      <c r="A214" s="3"/>
      <c r="B214" s="3" t="s">
        <v>223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1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2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3">T214*I214/(D214*S214*0.15)</f>
        <v>7.174938672739926</v>
      </c>
      <c r="W214" s="11"/>
    </row>
    <row r="215" spans="1:23" x14ac:dyDescent="0.25">
      <c r="A215" s="2">
        <v>43139</v>
      </c>
      <c r="B215" s="1" t="s">
        <v>225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1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4">T215*I215/(D215*S215*0.15)</f>
        <v>29.411106145251395</v>
      </c>
      <c r="W215" s="11"/>
    </row>
    <row r="216" spans="1:23" x14ac:dyDescent="0.25">
      <c r="B216" s="3" t="s">
        <v>227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1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2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4"/>
        <v>25.643305436337624</v>
      </c>
      <c r="W216" s="11"/>
    </row>
    <row r="217" spans="1:23" x14ac:dyDescent="0.25">
      <c r="B217" s="1" t="s">
        <v>224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M217" s="16" t="str">
        <f t="shared" si="102"/>
        <v/>
      </c>
      <c r="S217">
        <f>IF(B217="","",VLOOKUP(Cmt(B217),Sheet2!A:B,2,FALSE))</f>
        <v>5</v>
      </c>
      <c r="T217" s="39">
        <v>9777092</v>
      </c>
      <c r="U217" s="13">
        <f t="shared" ref="U217" si="105">T217*I217/(D217*S217*0.15)</f>
        <v>8.6497758221290955</v>
      </c>
      <c r="W217" s="11"/>
    </row>
    <row r="218" spans="1:23" x14ac:dyDescent="0.25">
      <c r="B218" s="1" t="s">
        <v>228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1"/>
        <v>4.9999999999999992E-3</v>
      </c>
      <c r="J218" s="1">
        <v>2785</v>
      </c>
      <c r="M218" s="16">
        <f t="shared" si="102"/>
        <v>-1920</v>
      </c>
      <c r="S218">
        <f>IF(B218="","",VLOOKUP(Cmt(B218),Sheet2!A:B,2,FALSE))</f>
        <v>10</v>
      </c>
      <c r="T218" s="39">
        <v>9777093</v>
      </c>
      <c r="U218" s="13">
        <f t="shared" ref="U218" si="106">T218*I218/(D218*S218*0.15)</f>
        <v>11.769703864210904</v>
      </c>
      <c r="W218" s="11"/>
    </row>
    <row r="219" spans="1:23" x14ac:dyDescent="0.25">
      <c r="B219" s="1" t="s">
        <v>229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1"/>
        <v>5.9999999999999993E-3</v>
      </c>
      <c r="J219" s="1">
        <v>5140</v>
      </c>
      <c r="K219" s="2">
        <v>43139</v>
      </c>
      <c r="L219" s="26">
        <v>0.59375</v>
      </c>
      <c r="M219" s="16">
        <f t="shared" si="102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 x14ac:dyDescent="0.25">
      <c r="B220" s="1" t="s">
        <v>283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1"/>
        <v>1.7999999999999999E-2</v>
      </c>
      <c r="M220" s="16" t="str">
        <f t="shared" si="102"/>
        <v/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07">IF(S220="","",T220*I220/(D220*S220*0.15))</f>
        <v>29.097483718323268</v>
      </c>
      <c r="W220" s="11"/>
    </row>
    <row r="221" spans="1:23" x14ac:dyDescent="0.25">
      <c r="B221" s="1" t="s">
        <v>284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1"/>
        <v>1.2500000000000001E-2</v>
      </c>
      <c r="M221" s="16" t="str">
        <f t="shared" si="102"/>
        <v/>
      </c>
      <c r="S221">
        <f>IF(B221="","",VLOOKUP(Cmt(B221),Sheet2!A:B,2,FALSE))</f>
        <v>100</v>
      </c>
      <c r="T221" s="39">
        <f>IF(S221="","",T220)</f>
        <v>9777094</v>
      </c>
      <c r="U221" s="13">
        <f t="shared" si="107"/>
        <v>3.7922170506554962</v>
      </c>
      <c r="W221" s="11"/>
    </row>
    <row r="222" spans="1:23" x14ac:dyDescent="0.25">
      <c r="B222" s="1" t="s">
        <v>29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08">IF(G222="","",G222*H222)</f>
        <v>7.0000000000000001E-3</v>
      </c>
      <c r="M222" s="16" t="str">
        <f t="shared" si="102"/>
        <v/>
      </c>
      <c r="S222">
        <f>IF(B222="","",VLOOKUP(Cmt(B222),Sheet2!A:B,2,FALSE))</f>
        <v>10</v>
      </c>
      <c r="T222" s="39">
        <f t="shared" ref="T222:T285" si="109">IF(S222="","",T221)</f>
        <v>9777094</v>
      </c>
      <c r="U222" s="13">
        <f t="shared" si="107"/>
        <v>19.515157684630736</v>
      </c>
      <c r="W222" s="11"/>
    </row>
    <row r="223" spans="1:23" x14ac:dyDescent="0.25">
      <c r="A223" s="3"/>
      <c r="B223" s="3" t="s">
        <v>76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08"/>
        <v>7.3333333333333323E-3</v>
      </c>
      <c r="J223" s="3"/>
      <c r="K223" s="3"/>
      <c r="L223" s="3"/>
      <c r="M223" s="14" t="str">
        <f t="shared" si="102"/>
        <v/>
      </c>
      <c r="N223" s="3"/>
      <c r="O223" s="3"/>
      <c r="P223" s="4"/>
      <c r="Q223" s="4"/>
      <c r="R223" s="4"/>
      <c r="S223">
        <f>IF(B223="","",VLOOKUP(Cmt(B223),Sheet2!A:B,2,FALSE))</f>
        <v>10</v>
      </c>
      <c r="T223" s="39">
        <f t="shared" si="109"/>
        <v>9777094</v>
      </c>
      <c r="U223" s="13">
        <f t="shared" si="107"/>
        <v>17.028545145073821</v>
      </c>
      <c r="W223" s="11"/>
    </row>
    <row r="224" spans="1:23" x14ac:dyDescent="0.25">
      <c r="A224" s="2">
        <v>43140</v>
      </c>
      <c r="B224" s="1" t="s">
        <v>52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1"/>
        <v>1.2E-2</v>
      </c>
      <c r="M224" s="16" t="str">
        <f t="shared" si="102"/>
        <v/>
      </c>
      <c r="S224">
        <f>IF(B224="","",VLOOKUP(Cmt(B224),Sheet2!A:B,2,FALSE))</f>
        <v>60</v>
      </c>
      <c r="T224" s="39">
        <f t="shared" si="109"/>
        <v>9777094</v>
      </c>
      <c r="U224" s="13">
        <f t="shared" si="107"/>
        <v>9.5467779812034657</v>
      </c>
      <c r="W224" s="11"/>
    </row>
    <row r="225" spans="2:23" x14ac:dyDescent="0.25">
      <c r="B225" s="1" t="s">
        <v>24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1"/>
        <v>1.0500000000000001E-2</v>
      </c>
      <c r="M225" s="16" t="str">
        <f t="shared" si="102"/>
        <v/>
      </c>
      <c r="S225">
        <f>IF(B225="","",VLOOKUP(Cmt(B225),Sheet2!A:B,2,FALSE))</f>
        <v>1</v>
      </c>
      <c r="T225" s="39">
        <f t="shared" si="109"/>
        <v>9777094</v>
      </c>
      <c r="U225" s="13">
        <f t="shared" si="107"/>
        <v>6.8207751644409012</v>
      </c>
      <c r="W225" s="11"/>
    </row>
    <row r="226" spans="2:23" x14ac:dyDescent="0.25">
      <c r="B226" s="1" t="s">
        <v>28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1"/>
        <v>4.6666666666666662E-3</v>
      </c>
      <c r="M226" s="16" t="str">
        <f t="shared" si="102"/>
        <v/>
      </c>
      <c r="S226">
        <f>IF(B226="","",VLOOKUP(Cmt(B226),Sheet2!A:B,2,FALSE))</f>
        <v>5</v>
      </c>
      <c r="T226" s="39">
        <f t="shared" si="109"/>
        <v>9777094</v>
      </c>
      <c r="U226" s="13">
        <f t="shared" si="107"/>
        <v>10.813579452516354</v>
      </c>
      <c r="W226" s="11"/>
    </row>
    <row r="227" spans="2:23" x14ac:dyDescent="0.25">
      <c r="B227" s="1" t="s">
        <v>15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1"/>
        <v>7.0000000000000001E-3</v>
      </c>
      <c r="M227" s="16" t="str">
        <f t="shared" si="102"/>
        <v/>
      </c>
      <c r="S227">
        <f>IF(B227="","",VLOOKUP(Cmt(B227),Sheet2!A:B,2,FALSE))</f>
        <v>100</v>
      </c>
      <c r="T227" s="39">
        <f t="shared" si="109"/>
        <v>9777094</v>
      </c>
      <c r="U227" s="13">
        <f t="shared" si="107"/>
        <v>2.1152730026271054</v>
      </c>
      <c r="W227" s="11"/>
    </row>
    <row r="228" spans="2:23" x14ac:dyDescent="0.25">
      <c r="B228" s="1" t="s">
        <v>285</v>
      </c>
      <c r="C228" s="1">
        <v>12</v>
      </c>
      <c r="D228" s="1">
        <v>533.5</v>
      </c>
      <c r="E228" s="2">
        <v>43139</v>
      </c>
      <c r="F228" s="26">
        <v>0.92013888888888884</v>
      </c>
      <c r="G228" s="17">
        <v>0.02</v>
      </c>
      <c r="H228" s="53">
        <v>0.5</v>
      </c>
      <c r="I228" s="17">
        <f t="shared" si="101"/>
        <v>0.01</v>
      </c>
      <c r="M228" s="16" t="str">
        <f t="shared" si="102"/>
        <v/>
      </c>
      <c r="S228">
        <f>IF(B228="","",VLOOKUP(Cmt(B228),Sheet2!A:B,2,FALSE))</f>
        <v>100</v>
      </c>
      <c r="T228" s="39">
        <f t="shared" si="109"/>
        <v>9777094</v>
      </c>
      <c r="U228" s="13">
        <f t="shared" si="107"/>
        <v>12.217549515776319</v>
      </c>
      <c r="W228" s="11"/>
    </row>
    <row r="229" spans="2:23" x14ac:dyDescent="0.25">
      <c r="I229" s="17" t="str">
        <f t="shared" si="101"/>
        <v/>
      </c>
      <c r="M229" s="16" t="str">
        <f t="shared" si="102"/>
        <v/>
      </c>
      <c r="S229" t="str">
        <f>IF(B229="","",VLOOKUP(Cmt(B229),Sheet2!A:B,2,FALSE))</f>
        <v/>
      </c>
      <c r="T229" s="39" t="str">
        <f t="shared" si="109"/>
        <v/>
      </c>
      <c r="U229" s="13" t="str">
        <f t="shared" si="107"/>
        <v/>
      </c>
      <c r="W229" s="11"/>
    </row>
    <row r="230" spans="2:23" x14ac:dyDescent="0.25">
      <c r="I230" s="17" t="str">
        <f t="shared" si="101"/>
        <v/>
      </c>
      <c r="M230" s="16" t="str">
        <f t="shared" si="102"/>
        <v/>
      </c>
      <c r="S230" t="str">
        <f>IF(B230="","",VLOOKUP(Cmt(B230),Sheet2!A:B,2,FALSE))</f>
        <v/>
      </c>
      <c r="T230" s="39" t="str">
        <f t="shared" si="109"/>
        <v/>
      </c>
      <c r="U230" s="13" t="str">
        <f t="shared" si="107"/>
        <v/>
      </c>
      <c r="W230" s="11"/>
    </row>
    <row r="231" spans="2:23" x14ac:dyDescent="0.25">
      <c r="I231" s="17" t="str">
        <f t="shared" si="101"/>
        <v/>
      </c>
      <c r="M231" s="16" t="str">
        <f t="shared" si="102"/>
        <v/>
      </c>
      <c r="S231" t="str">
        <f>IF(B231="","",VLOOKUP(Cmt(B231),Sheet2!A:B,2,FALSE))</f>
        <v/>
      </c>
      <c r="T231" s="39" t="str">
        <f t="shared" si="109"/>
        <v/>
      </c>
      <c r="U231" s="13" t="str">
        <f t="shared" si="107"/>
        <v/>
      </c>
      <c r="W231" s="11"/>
    </row>
    <row r="232" spans="2:23" x14ac:dyDescent="0.25">
      <c r="I232" s="17" t="str">
        <f t="shared" si="101"/>
        <v/>
      </c>
      <c r="M232" s="16" t="str">
        <f t="shared" si="102"/>
        <v/>
      </c>
      <c r="S232" t="str">
        <f>IF(B232="","",VLOOKUP(Cmt(B232),Sheet2!A:B,2,FALSE))</f>
        <v/>
      </c>
      <c r="T232" s="39" t="str">
        <f t="shared" si="109"/>
        <v/>
      </c>
      <c r="U232" s="13" t="str">
        <f t="shared" si="107"/>
        <v/>
      </c>
      <c r="W232" s="11"/>
    </row>
    <row r="233" spans="2:23" x14ac:dyDescent="0.25">
      <c r="I233" s="17" t="str">
        <f t="shared" si="101"/>
        <v/>
      </c>
      <c r="M233" s="16" t="str">
        <f t="shared" si="102"/>
        <v/>
      </c>
      <c r="S233" t="str">
        <f>IF(B233="","",VLOOKUP(Cmt(B233),Sheet2!A:B,2,FALSE))</f>
        <v/>
      </c>
      <c r="T233" s="39" t="str">
        <f t="shared" si="109"/>
        <v/>
      </c>
      <c r="U233" s="13" t="str">
        <f t="shared" si="107"/>
        <v/>
      </c>
      <c r="W233" s="11"/>
    </row>
    <row r="234" spans="2:23" x14ac:dyDescent="0.25">
      <c r="I234" s="17" t="str">
        <f t="shared" si="101"/>
        <v/>
      </c>
      <c r="M234" s="16" t="str">
        <f t="shared" si="102"/>
        <v/>
      </c>
      <c r="S234" t="str">
        <f>IF(B234="","",VLOOKUP(Cmt(B234),Sheet2!A:B,2,FALSE))</f>
        <v/>
      </c>
      <c r="T234" s="39" t="str">
        <f t="shared" si="109"/>
        <v/>
      </c>
      <c r="U234" s="13" t="str">
        <f t="shared" si="107"/>
        <v/>
      </c>
      <c r="W234" s="11"/>
    </row>
    <row r="235" spans="2:23" x14ac:dyDescent="0.25">
      <c r="I235" s="17" t="str">
        <f t="shared" si="101"/>
        <v/>
      </c>
      <c r="M235" s="16" t="str">
        <f t="shared" si="102"/>
        <v/>
      </c>
      <c r="S235" t="str">
        <f>IF(B235="","",VLOOKUP(Cmt(B235),Sheet2!A:B,2,FALSE))</f>
        <v/>
      </c>
      <c r="T235" s="39" t="str">
        <f t="shared" si="109"/>
        <v/>
      </c>
      <c r="U235" s="13" t="str">
        <f t="shared" si="107"/>
        <v/>
      </c>
      <c r="W235" s="11"/>
    </row>
    <row r="236" spans="2:23" x14ac:dyDescent="0.25">
      <c r="I236" s="17" t="str">
        <f t="shared" si="101"/>
        <v/>
      </c>
      <c r="M236" s="16" t="str">
        <f t="shared" si="102"/>
        <v/>
      </c>
      <c r="S236" t="str">
        <f>IF(B236="","",VLOOKUP(Cmt(B236),Sheet2!A:B,2,FALSE))</f>
        <v/>
      </c>
      <c r="T236" s="39" t="str">
        <f t="shared" si="109"/>
        <v/>
      </c>
      <c r="U236" s="13" t="str">
        <f t="shared" si="107"/>
        <v/>
      </c>
      <c r="W236" s="11"/>
    </row>
    <row r="237" spans="2:23" x14ac:dyDescent="0.25">
      <c r="I237" s="17" t="str">
        <f t="shared" si="101"/>
        <v/>
      </c>
      <c r="M237" s="16" t="str">
        <f t="shared" si="102"/>
        <v/>
      </c>
      <c r="S237" t="str">
        <f>IF(B237="","",VLOOKUP(Cmt(B237),Sheet2!A:B,2,FALSE))</f>
        <v/>
      </c>
      <c r="T237" s="39" t="str">
        <f t="shared" si="109"/>
        <v/>
      </c>
      <c r="U237" s="13" t="str">
        <f t="shared" si="107"/>
        <v/>
      </c>
      <c r="W237" s="11"/>
    </row>
    <row r="238" spans="2:23" x14ac:dyDescent="0.25">
      <c r="I238" s="17" t="str">
        <f t="shared" si="101"/>
        <v/>
      </c>
      <c r="M238" s="16" t="str">
        <f t="shared" si="102"/>
        <v/>
      </c>
      <c r="S238" t="str">
        <f>IF(B238="","",VLOOKUP(Cmt(B238),Sheet2!A:B,2,FALSE))</f>
        <v/>
      </c>
      <c r="T238" s="39" t="str">
        <f t="shared" si="109"/>
        <v/>
      </c>
      <c r="U238" s="13" t="str">
        <f t="shared" si="107"/>
        <v/>
      </c>
      <c r="W238" s="11"/>
    </row>
    <row r="239" spans="2:23" x14ac:dyDescent="0.25">
      <c r="I239" s="17" t="str">
        <f t="shared" si="101"/>
        <v/>
      </c>
      <c r="M239" s="16" t="str">
        <f t="shared" si="102"/>
        <v/>
      </c>
      <c r="S239" t="str">
        <f>IF(B239="","",VLOOKUP(Cmt(B239),Sheet2!A:B,2,FALSE))</f>
        <v/>
      </c>
      <c r="T239" s="39" t="str">
        <f t="shared" si="109"/>
        <v/>
      </c>
      <c r="U239" s="13" t="str">
        <f t="shared" si="107"/>
        <v/>
      </c>
      <c r="W239" s="11"/>
    </row>
    <row r="240" spans="2:23" x14ac:dyDescent="0.25">
      <c r="I240" s="17" t="str">
        <f t="shared" si="101"/>
        <v/>
      </c>
      <c r="M240" s="16" t="str">
        <f t="shared" si="102"/>
        <v/>
      </c>
      <c r="S240" t="str">
        <f>IF(B240="","",VLOOKUP(Cmt(B240),Sheet2!A:B,2,FALSE))</f>
        <v/>
      </c>
      <c r="T240" s="39" t="str">
        <f t="shared" si="109"/>
        <v/>
      </c>
      <c r="U240" s="13" t="str">
        <f t="shared" si="107"/>
        <v/>
      </c>
      <c r="W240" s="11"/>
    </row>
    <row r="241" spans="9:23" x14ac:dyDescent="0.25">
      <c r="I241" s="17" t="str">
        <f t="shared" si="101"/>
        <v/>
      </c>
      <c r="M241" s="16" t="str">
        <f t="shared" si="102"/>
        <v/>
      </c>
      <c r="S241" t="str">
        <f>IF(B241="","",VLOOKUP(Cmt(B241),Sheet2!A:B,2,FALSE))</f>
        <v/>
      </c>
      <c r="T241" s="39" t="str">
        <f t="shared" si="109"/>
        <v/>
      </c>
      <c r="U241" s="13" t="str">
        <f t="shared" si="107"/>
        <v/>
      </c>
      <c r="W241" s="11"/>
    </row>
    <row r="242" spans="9:23" x14ac:dyDescent="0.25">
      <c r="I242" s="17" t="str">
        <f t="shared" si="101"/>
        <v/>
      </c>
      <c r="M242" s="16" t="str">
        <f t="shared" si="102"/>
        <v/>
      </c>
      <c r="S242" t="str">
        <f>IF(B242="","",VLOOKUP(Cmt(B242),Sheet2!A:B,2,FALSE))</f>
        <v/>
      </c>
      <c r="T242" s="39" t="str">
        <f t="shared" si="109"/>
        <v/>
      </c>
      <c r="U242" s="13" t="str">
        <f t="shared" si="107"/>
        <v/>
      </c>
      <c r="W242" s="11"/>
    </row>
    <row r="243" spans="9:23" x14ac:dyDescent="0.25">
      <c r="I243" s="17" t="str">
        <f t="shared" si="101"/>
        <v/>
      </c>
      <c r="M243" s="16" t="str">
        <f t="shared" si="102"/>
        <v/>
      </c>
      <c r="S243" t="str">
        <f>IF(B243="","",VLOOKUP(Cmt(B243),Sheet2!A:B,2,FALSE))</f>
        <v/>
      </c>
      <c r="T243" s="39" t="str">
        <f t="shared" si="109"/>
        <v/>
      </c>
      <c r="U243" s="13" t="str">
        <f t="shared" si="107"/>
        <v/>
      </c>
      <c r="W243" s="11"/>
    </row>
    <row r="244" spans="9:23" x14ac:dyDescent="0.25">
      <c r="I244" s="17" t="str">
        <f t="shared" si="101"/>
        <v/>
      </c>
      <c r="M244" s="16" t="str">
        <f t="shared" si="102"/>
        <v/>
      </c>
      <c r="S244" t="str">
        <f>IF(B244="","",VLOOKUP(Cmt(B244),Sheet2!A:B,2,FALSE))</f>
        <v/>
      </c>
      <c r="T244" s="39" t="str">
        <f t="shared" si="109"/>
        <v/>
      </c>
      <c r="U244" s="13" t="str">
        <f t="shared" si="107"/>
        <v/>
      </c>
      <c r="W244" s="11"/>
    </row>
    <row r="245" spans="9:23" x14ac:dyDescent="0.25">
      <c r="I245" s="17" t="str">
        <f t="shared" si="101"/>
        <v/>
      </c>
      <c r="M245" s="16" t="str">
        <f t="shared" si="102"/>
        <v/>
      </c>
      <c r="S245" t="str">
        <f>IF(B245="","",VLOOKUP(Cmt(B245),Sheet2!A:B,2,FALSE))</f>
        <v/>
      </c>
      <c r="T245" s="39" t="str">
        <f t="shared" si="109"/>
        <v/>
      </c>
      <c r="U245" s="13" t="str">
        <f t="shared" si="107"/>
        <v/>
      </c>
      <c r="W245" s="11"/>
    </row>
    <row r="246" spans="9:23" x14ac:dyDescent="0.25">
      <c r="I246" s="17" t="str">
        <f t="shared" si="101"/>
        <v/>
      </c>
      <c r="M246" s="16" t="str">
        <f t="shared" si="102"/>
        <v/>
      </c>
      <c r="S246" t="str">
        <f>IF(B246="","",VLOOKUP(Cmt(B246),Sheet2!A:B,2,FALSE))</f>
        <v/>
      </c>
      <c r="T246" s="39" t="str">
        <f t="shared" si="109"/>
        <v/>
      </c>
      <c r="U246" s="13" t="str">
        <f t="shared" si="107"/>
        <v/>
      </c>
      <c r="W246" s="11"/>
    </row>
    <row r="247" spans="9:23" x14ac:dyDescent="0.25">
      <c r="I247" s="17" t="str">
        <f t="shared" si="101"/>
        <v/>
      </c>
      <c r="M247" s="16" t="str">
        <f t="shared" si="102"/>
        <v/>
      </c>
      <c r="S247" t="str">
        <f>IF(B247="","",VLOOKUP(Cmt(B247),Sheet2!A:B,2,FALSE))</f>
        <v/>
      </c>
      <c r="T247" s="39" t="str">
        <f t="shared" si="109"/>
        <v/>
      </c>
      <c r="U247" s="13" t="str">
        <f t="shared" si="107"/>
        <v/>
      </c>
      <c r="W247" s="11"/>
    </row>
    <row r="248" spans="9:23" x14ac:dyDescent="0.25">
      <c r="I248" s="17" t="str">
        <f t="shared" si="101"/>
        <v/>
      </c>
      <c r="M248" s="16" t="str">
        <f t="shared" si="102"/>
        <v/>
      </c>
      <c r="S248" t="str">
        <f>IF(B248="","",VLOOKUP(Cmt(B248),Sheet2!A:B,2,FALSE))</f>
        <v/>
      </c>
      <c r="T248" s="39" t="str">
        <f t="shared" si="109"/>
        <v/>
      </c>
      <c r="U248" s="13" t="str">
        <f t="shared" si="107"/>
        <v/>
      </c>
      <c r="W248" s="11"/>
    </row>
    <row r="249" spans="9:23" x14ac:dyDescent="0.25">
      <c r="I249" s="17" t="str">
        <f t="shared" si="101"/>
        <v/>
      </c>
      <c r="M249" s="16" t="str">
        <f t="shared" si="102"/>
        <v/>
      </c>
      <c r="S249" t="str">
        <f>IF(B249="","",VLOOKUP(Cmt(B249),Sheet2!A:B,2,FALSE))</f>
        <v/>
      </c>
      <c r="T249" s="39" t="str">
        <f t="shared" si="109"/>
        <v/>
      </c>
      <c r="U249" s="13" t="str">
        <f t="shared" si="107"/>
        <v/>
      </c>
      <c r="W249" s="11"/>
    </row>
    <row r="250" spans="9:23" x14ac:dyDescent="0.25">
      <c r="I250" s="17" t="str">
        <f t="shared" si="101"/>
        <v/>
      </c>
      <c r="M250" s="16" t="str">
        <f t="shared" si="102"/>
        <v/>
      </c>
      <c r="S250" t="str">
        <f>IF(B250="","",VLOOKUP(Cmt(B250),Sheet2!A:B,2,FALSE))</f>
        <v/>
      </c>
      <c r="T250" s="39" t="str">
        <f t="shared" si="109"/>
        <v/>
      </c>
      <c r="U250" s="13" t="str">
        <f t="shared" si="107"/>
        <v/>
      </c>
      <c r="W250" s="11"/>
    </row>
    <row r="251" spans="9:23" x14ac:dyDescent="0.25">
      <c r="I251" s="17" t="str">
        <f t="shared" si="101"/>
        <v/>
      </c>
      <c r="M251" s="16" t="str">
        <f t="shared" si="102"/>
        <v/>
      </c>
      <c r="S251" t="str">
        <f>IF(B251="","",VLOOKUP(Cmt(B251),Sheet2!A:B,2,FALSE))</f>
        <v/>
      </c>
      <c r="T251" s="39" t="str">
        <f t="shared" si="109"/>
        <v/>
      </c>
      <c r="U251" s="13" t="str">
        <f t="shared" si="107"/>
        <v/>
      </c>
      <c r="W251" s="11"/>
    </row>
    <row r="252" spans="9:23" x14ac:dyDescent="0.25">
      <c r="I252" s="17" t="str">
        <f t="shared" si="101"/>
        <v/>
      </c>
      <c r="M252" s="16" t="str">
        <f t="shared" si="102"/>
        <v/>
      </c>
      <c r="S252" t="str">
        <f>IF(B252="","",VLOOKUP(Cmt(B252),Sheet2!A:B,2,FALSE))</f>
        <v/>
      </c>
      <c r="T252" s="39" t="str">
        <f t="shared" si="109"/>
        <v/>
      </c>
      <c r="U252" s="13" t="str">
        <f t="shared" si="107"/>
        <v/>
      </c>
      <c r="W252" s="11"/>
    </row>
    <row r="253" spans="9:23" x14ac:dyDescent="0.25">
      <c r="I253" s="17" t="str">
        <f t="shared" si="101"/>
        <v/>
      </c>
      <c r="M253" s="16" t="str">
        <f t="shared" si="102"/>
        <v/>
      </c>
      <c r="S253" t="str">
        <f>IF(B253="","",VLOOKUP(Cmt(B253),Sheet2!A:B,2,FALSE))</f>
        <v/>
      </c>
      <c r="T253" s="39" t="str">
        <f t="shared" si="109"/>
        <v/>
      </c>
      <c r="U253" s="13" t="str">
        <f t="shared" si="107"/>
        <v/>
      </c>
      <c r="W253" s="11"/>
    </row>
    <row r="254" spans="9:23" x14ac:dyDescent="0.25">
      <c r="I254" s="17" t="str">
        <f t="shared" si="101"/>
        <v/>
      </c>
      <c r="M254" s="16" t="str">
        <f t="shared" si="102"/>
        <v/>
      </c>
      <c r="S254" t="str">
        <f>IF(B254="","",VLOOKUP(Cmt(B254),Sheet2!A:B,2,FALSE))</f>
        <v/>
      </c>
      <c r="T254" s="39" t="str">
        <f t="shared" si="109"/>
        <v/>
      </c>
      <c r="U254" s="13" t="str">
        <f t="shared" si="107"/>
        <v/>
      </c>
      <c r="W254" s="11"/>
    </row>
    <row r="255" spans="9:23" x14ac:dyDescent="0.25">
      <c r="I255" s="17" t="str">
        <f t="shared" si="101"/>
        <v/>
      </c>
      <c r="M255" s="16" t="str">
        <f t="shared" si="102"/>
        <v/>
      </c>
      <c r="S255" t="str">
        <f>IF(B255="","",VLOOKUP(Cmt(B255),Sheet2!A:B,2,FALSE))</f>
        <v/>
      </c>
      <c r="T255" s="39" t="str">
        <f t="shared" si="109"/>
        <v/>
      </c>
      <c r="U255" s="13" t="str">
        <f t="shared" si="107"/>
        <v/>
      </c>
      <c r="W255" s="11"/>
    </row>
    <row r="256" spans="9:23" x14ac:dyDescent="0.25">
      <c r="I256" s="17" t="str">
        <f t="shared" si="101"/>
        <v/>
      </c>
      <c r="M256" s="16" t="str">
        <f t="shared" si="102"/>
        <v/>
      </c>
      <c r="S256" t="str">
        <f>IF(B256="","",VLOOKUP(Cmt(B256),Sheet2!A:B,2,FALSE))</f>
        <v/>
      </c>
      <c r="T256" s="39" t="str">
        <f t="shared" si="109"/>
        <v/>
      </c>
      <c r="U256" s="13" t="str">
        <f t="shared" si="107"/>
        <v/>
      </c>
      <c r="W256" s="11"/>
    </row>
    <row r="257" spans="9:23" x14ac:dyDescent="0.25">
      <c r="I257" s="17" t="str">
        <f t="shared" si="101"/>
        <v/>
      </c>
      <c r="M257" s="16" t="str">
        <f t="shared" si="102"/>
        <v/>
      </c>
      <c r="S257" t="str">
        <f>IF(B257="","",VLOOKUP(Cmt(B257),Sheet2!A:B,2,FALSE))</f>
        <v/>
      </c>
      <c r="T257" s="39" t="str">
        <f t="shared" si="109"/>
        <v/>
      </c>
      <c r="U257" s="13" t="str">
        <f t="shared" si="107"/>
        <v/>
      </c>
      <c r="W257" s="11"/>
    </row>
    <row r="258" spans="9:23" x14ac:dyDescent="0.25">
      <c r="I258" s="17" t="str">
        <f t="shared" si="101"/>
        <v/>
      </c>
      <c r="M258" s="16" t="str">
        <f t="shared" si="102"/>
        <v/>
      </c>
      <c r="S258" t="str">
        <f>IF(B258="","",VLOOKUP(Cmt(B258),Sheet2!A:B,2,FALSE))</f>
        <v/>
      </c>
      <c r="T258" s="39" t="str">
        <f t="shared" si="109"/>
        <v/>
      </c>
      <c r="U258" s="13" t="str">
        <f t="shared" si="107"/>
        <v/>
      </c>
      <c r="W258" s="11"/>
    </row>
    <row r="259" spans="9:23" x14ac:dyDescent="0.25">
      <c r="I259" s="17" t="str">
        <f t="shared" si="101"/>
        <v/>
      </c>
      <c r="M259" s="16" t="str">
        <f t="shared" si="102"/>
        <v/>
      </c>
      <c r="S259" t="str">
        <f>IF(B259="","",VLOOKUP(Cmt(B259),Sheet2!A:B,2,FALSE))</f>
        <v/>
      </c>
      <c r="T259" s="39" t="str">
        <f t="shared" si="109"/>
        <v/>
      </c>
      <c r="U259" s="13" t="str">
        <f t="shared" si="107"/>
        <v/>
      </c>
      <c r="W259" s="11"/>
    </row>
    <row r="260" spans="9:23" x14ac:dyDescent="0.25">
      <c r="I260" s="17" t="str">
        <f t="shared" si="101"/>
        <v/>
      </c>
      <c r="M260" s="16" t="str">
        <f t="shared" si="102"/>
        <v/>
      </c>
      <c r="S260" t="str">
        <f>IF(B260="","",VLOOKUP(Cmt(B260),Sheet2!A:B,2,FALSE))</f>
        <v/>
      </c>
      <c r="T260" s="39" t="str">
        <f t="shared" si="109"/>
        <v/>
      </c>
      <c r="U260" s="13" t="str">
        <f t="shared" si="107"/>
        <v/>
      </c>
      <c r="W260" s="11"/>
    </row>
    <row r="261" spans="9:23" x14ac:dyDescent="0.25">
      <c r="I261" s="17" t="str">
        <f t="shared" si="101"/>
        <v/>
      </c>
      <c r="M261" s="16" t="str">
        <f t="shared" si="102"/>
        <v/>
      </c>
      <c r="S261" t="str">
        <f>IF(B261="","",VLOOKUP(Cmt(B261),Sheet2!A:B,2,FALSE))</f>
        <v/>
      </c>
      <c r="T261" s="39" t="str">
        <f t="shared" si="109"/>
        <v/>
      </c>
      <c r="U261" s="13" t="str">
        <f t="shared" si="107"/>
        <v/>
      </c>
      <c r="W261" s="11"/>
    </row>
    <row r="262" spans="9:23" x14ac:dyDescent="0.25">
      <c r="I262" s="17" t="str">
        <f t="shared" si="101"/>
        <v/>
      </c>
      <c r="M262" s="16" t="str">
        <f t="shared" si="102"/>
        <v/>
      </c>
      <c r="S262" t="str">
        <f>IF(B262="","",VLOOKUP(Cmt(B262),Sheet2!A:B,2,FALSE))</f>
        <v/>
      </c>
      <c r="T262" s="39" t="str">
        <f t="shared" si="109"/>
        <v/>
      </c>
      <c r="U262" s="13" t="str">
        <f t="shared" si="107"/>
        <v/>
      </c>
      <c r="W262" s="11"/>
    </row>
    <row r="263" spans="9:23" x14ac:dyDescent="0.25">
      <c r="I263" s="17" t="str">
        <f t="shared" si="101"/>
        <v/>
      </c>
      <c r="M263" s="16" t="str">
        <f t="shared" si="102"/>
        <v/>
      </c>
      <c r="S263" t="str">
        <f>IF(B263="","",VLOOKUP(Cmt(B263),Sheet2!A:B,2,FALSE))</f>
        <v/>
      </c>
      <c r="T263" s="39" t="str">
        <f t="shared" si="109"/>
        <v/>
      </c>
      <c r="U263" s="13" t="str">
        <f t="shared" si="107"/>
        <v/>
      </c>
      <c r="W263" s="11"/>
    </row>
    <row r="264" spans="9:23" x14ac:dyDescent="0.25">
      <c r="I264" s="17" t="str">
        <f t="shared" si="101"/>
        <v/>
      </c>
      <c r="M264" s="16" t="str">
        <f t="shared" si="102"/>
        <v/>
      </c>
      <c r="S264" t="str">
        <f>IF(B264="","",VLOOKUP(Cmt(B264),Sheet2!A:B,2,FALSE))</f>
        <v/>
      </c>
      <c r="T264" s="39" t="str">
        <f t="shared" si="109"/>
        <v/>
      </c>
      <c r="U264" s="13" t="str">
        <f t="shared" si="107"/>
        <v/>
      </c>
      <c r="W264" s="11"/>
    </row>
    <row r="265" spans="9:23" x14ac:dyDescent="0.25">
      <c r="I265" s="17" t="str">
        <f t="shared" si="101"/>
        <v/>
      </c>
      <c r="M265" s="16" t="str">
        <f t="shared" si="102"/>
        <v/>
      </c>
      <c r="S265" t="str">
        <f>IF(B265="","",VLOOKUP(Cmt(B265),Sheet2!A:B,2,FALSE))</f>
        <v/>
      </c>
      <c r="T265" s="39" t="str">
        <f t="shared" si="109"/>
        <v/>
      </c>
      <c r="U265" s="13" t="str">
        <f t="shared" si="107"/>
        <v/>
      </c>
      <c r="W265" s="11"/>
    </row>
    <row r="266" spans="9:23" x14ac:dyDescent="0.25">
      <c r="I266" s="17" t="str">
        <f t="shared" si="101"/>
        <v/>
      </c>
      <c r="M266" s="16" t="str">
        <f t="shared" si="102"/>
        <v/>
      </c>
      <c r="S266" t="str">
        <f>IF(B266="","",VLOOKUP(Cmt(B266),Sheet2!A:B,2,FALSE))</f>
        <v/>
      </c>
      <c r="T266" s="39" t="str">
        <f t="shared" si="109"/>
        <v/>
      </c>
      <c r="U266" s="13" t="str">
        <f t="shared" si="107"/>
        <v/>
      </c>
      <c r="W266" s="11"/>
    </row>
    <row r="267" spans="9:23" x14ac:dyDescent="0.25">
      <c r="I267" s="17" t="str">
        <f t="shared" si="101"/>
        <v/>
      </c>
      <c r="M267" s="16" t="str">
        <f t="shared" si="102"/>
        <v/>
      </c>
      <c r="S267" t="str">
        <f>IF(B267="","",VLOOKUP(Cmt(B267),Sheet2!A:B,2,FALSE))</f>
        <v/>
      </c>
      <c r="T267" s="39" t="str">
        <f t="shared" si="109"/>
        <v/>
      </c>
      <c r="U267" s="13" t="str">
        <f t="shared" si="107"/>
        <v/>
      </c>
      <c r="W267" s="11"/>
    </row>
    <row r="268" spans="9:23" x14ac:dyDescent="0.25">
      <c r="I268" s="17" t="str">
        <f t="shared" si="101"/>
        <v/>
      </c>
      <c r="M268" s="16" t="str">
        <f t="shared" si="102"/>
        <v/>
      </c>
      <c r="S268" t="str">
        <f>IF(B268="","",VLOOKUP(Cmt(B268),Sheet2!A:B,2,FALSE))</f>
        <v/>
      </c>
      <c r="T268" s="39" t="str">
        <f t="shared" si="109"/>
        <v/>
      </c>
      <c r="U268" s="13" t="str">
        <f t="shared" si="107"/>
        <v/>
      </c>
      <c r="W268" s="11"/>
    </row>
    <row r="269" spans="9:23" x14ac:dyDescent="0.25">
      <c r="I269" s="17" t="str">
        <f t="shared" si="101"/>
        <v/>
      </c>
      <c r="M269" s="16" t="str">
        <f t="shared" si="102"/>
        <v/>
      </c>
      <c r="S269" t="str">
        <f>IF(B269="","",VLOOKUP(Cmt(B269),Sheet2!A:B,2,FALSE))</f>
        <v/>
      </c>
      <c r="T269" s="39" t="str">
        <f t="shared" si="109"/>
        <v/>
      </c>
      <c r="U269" s="13" t="str">
        <f t="shared" si="107"/>
        <v/>
      </c>
      <c r="W269" s="11"/>
    </row>
    <row r="270" spans="9:23" x14ac:dyDescent="0.25">
      <c r="I270" s="17" t="str">
        <f t="shared" si="101"/>
        <v/>
      </c>
      <c r="M270" s="16" t="str">
        <f t="shared" si="102"/>
        <v/>
      </c>
      <c r="S270" t="str">
        <f>IF(B270="","",VLOOKUP(Cmt(B270),Sheet2!A:B,2,FALSE))</f>
        <v/>
      </c>
      <c r="T270" s="39" t="str">
        <f t="shared" si="109"/>
        <v/>
      </c>
      <c r="U270" s="13" t="str">
        <f t="shared" si="107"/>
        <v/>
      </c>
      <c r="W270" s="11"/>
    </row>
    <row r="271" spans="9:23" x14ac:dyDescent="0.25">
      <c r="I271" s="17" t="str">
        <f t="shared" si="101"/>
        <v/>
      </c>
      <c r="M271" s="16" t="str">
        <f t="shared" si="102"/>
        <v/>
      </c>
      <c r="S271" t="str">
        <f>IF(B271="","",VLOOKUP(Cmt(B271),Sheet2!A:B,2,FALSE))</f>
        <v/>
      </c>
      <c r="T271" s="39" t="str">
        <f t="shared" si="109"/>
        <v/>
      </c>
      <c r="U271" s="13" t="str">
        <f t="shared" si="107"/>
        <v/>
      </c>
      <c r="W271" s="11"/>
    </row>
    <row r="272" spans="9:23" x14ac:dyDescent="0.25">
      <c r="I272" s="17" t="str">
        <f t="shared" si="101"/>
        <v/>
      </c>
      <c r="M272" s="16" t="str">
        <f t="shared" si="102"/>
        <v/>
      </c>
      <c r="S272" t="str">
        <f>IF(B272="","",VLOOKUP(Cmt(B272),Sheet2!A:B,2,FALSE))</f>
        <v/>
      </c>
      <c r="T272" s="39" t="str">
        <f t="shared" si="109"/>
        <v/>
      </c>
      <c r="U272" s="13" t="str">
        <f t="shared" si="107"/>
        <v/>
      </c>
      <c r="W272" s="11"/>
    </row>
    <row r="273" spans="9:23" x14ac:dyDescent="0.25">
      <c r="I273" s="17" t="str">
        <f t="shared" si="101"/>
        <v/>
      </c>
      <c r="M273" s="16" t="str">
        <f t="shared" si="102"/>
        <v/>
      </c>
      <c r="S273" t="str">
        <f>IF(B273="","",VLOOKUP(Cmt(B273),Sheet2!A:B,2,FALSE))</f>
        <v/>
      </c>
      <c r="T273" s="39" t="str">
        <f t="shared" si="109"/>
        <v/>
      </c>
      <c r="U273" s="13" t="str">
        <f t="shared" si="107"/>
        <v/>
      </c>
      <c r="W273" s="11"/>
    </row>
    <row r="274" spans="9:23" x14ac:dyDescent="0.25">
      <c r="I274" s="17" t="str">
        <f t="shared" si="101"/>
        <v/>
      </c>
      <c r="M274" s="16" t="str">
        <f t="shared" si="102"/>
        <v/>
      </c>
      <c r="S274" t="str">
        <f>IF(B274="","",VLOOKUP(Cmt(B274),Sheet2!A:B,2,FALSE))</f>
        <v/>
      </c>
      <c r="T274" s="39" t="str">
        <f t="shared" si="109"/>
        <v/>
      </c>
      <c r="U274" s="13" t="str">
        <f t="shared" si="107"/>
        <v/>
      </c>
      <c r="W274" s="11"/>
    </row>
    <row r="275" spans="9:23" x14ac:dyDescent="0.25">
      <c r="I275" s="17" t="str">
        <f t="shared" ref="I275:I338" si="110">IF(G275="","",G275*H275)</f>
        <v/>
      </c>
      <c r="M275" s="16" t="str">
        <f t="shared" si="102"/>
        <v/>
      </c>
      <c r="S275" t="str">
        <f>IF(B275="","",VLOOKUP(Cmt(B275),Sheet2!A:B,2,FALSE))</f>
        <v/>
      </c>
      <c r="T275" s="39" t="str">
        <f t="shared" si="109"/>
        <v/>
      </c>
      <c r="U275" s="13" t="str">
        <f t="shared" si="107"/>
        <v/>
      </c>
      <c r="W275" s="11"/>
    </row>
    <row r="276" spans="9:23" x14ac:dyDescent="0.25">
      <c r="I276" s="17" t="str">
        <f t="shared" si="110"/>
        <v/>
      </c>
      <c r="M276" s="16" t="str">
        <f t="shared" ref="M276:M339" si="111">IF(J276="","",C276*(J276-D276)*S276)</f>
        <v/>
      </c>
      <c r="S276" t="str">
        <f>IF(B276="","",VLOOKUP(Cmt(B276),Sheet2!A:B,2,FALSE))</f>
        <v/>
      </c>
      <c r="T276" s="39" t="str">
        <f t="shared" si="109"/>
        <v/>
      </c>
      <c r="U276" s="13" t="str">
        <f t="shared" si="107"/>
        <v/>
      </c>
      <c r="W276" s="11"/>
    </row>
    <row r="277" spans="9:23" x14ac:dyDescent="0.25">
      <c r="I277" s="17" t="str">
        <f t="shared" si="110"/>
        <v/>
      </c>
      <c r="M277" s="16" t="str">
        <f t="shared" si="111"/>
        <v/>
      </c>
      <c r="S277" t="str">
        <f>IF(B277="","",VLOOKUP(Cmt(B277),Sheet2!A:B,2,FALSE))</f>
        <v/>
      </c>
      <c r="T277" s="39" t="str">
        <f t="shared" si="109"/>
        <v/>
      </c>
      <c r="U277" s="13" t="str">
        <f t="shared" si="107"/>
        <v/>
      </c>
      <c r="W277" s="11"/>
    </row>
    <row r="278" spans="9:23" x14ac:dyDescent="0.25">
      <c r="I278" s="17" t="str">
        <f t="shared" si="110"/>
        <v/>
      </c>
      <c r="M278" s="16" t="str">
        <f t="shared" si="111"/>
        <v/>
      </c>
      <c r="S278" t="str">
        <f>IF(B278="","",VLOOKUP(Cmt(B278),Sheet2!A:B,2,FALSE))</f>
        <v/>
      </c>
      <c r="T278" s="39" t="str">
        <f t="shared" si="109"/>
        <v/>
      </c>
      <c r="U278" s="13" t="str">
        <f t="shared" si="107"/>
        <v/>
      </c>
      <c r="W278" s="11"/>
    </row>
    <row r="279" spans="9:23" x14ac:dyDescent="0.25">
      <c r="I279" s="17" t="str">
        <f t="shared" si="110"/>
        <v/>
      </c>
      <c r="M279" s="16" t="str">
        <f t="shared" si="111"/>
        <v/>
      </c>
      <c r="S279" t="str">
        <f>IF(B279="","",VLOOKUP(Cmt(B279),Sheet2!A:B,2,FALSE))</f>
        <v/>
      </c>
      <c r="T279" s="39" t="str">
        <f t="shared" si="109"/>
        <v/>
      </c>
      <c r="U279" s="13" t="str">
        <f t="shared" si="107"/>
        <v/>
      </c>
      <c r="W279" s="11"/>
    </row>
    <row r="280" spans="9:23" x14ac:dyDescent="0.25">
      <c r="I280" s="17" t="str">
        <f t="shared" si="110"/>
        <v/>
      </c>
      <c r="M280" s="16" t="str">
        <f t="shared" si="111"/>
        <v/>
      </c>
      <c r="S280" t="str">
        <f>IF(B280="","",VLOOKUP(Cmt(B280),Sheet2!A:B,2,FALSE))</f>
        <v/>
      </c>
      <c r="T280" s="39" t="str">
        <f t="shared" si="109"/>
        <v/>
      </c>
      <c r="U280" s="13" t="str">
        <f t="shared" si="107"/>
        <v/>
      </c>
      <c r="W280" s="11"/>
    </row>
    <row r="281" spans="9:23" x14ac:dyDescent="0.25">
      <c r="I281" s="17" t="str">
        <f t="shared" si="110"/>
        <v/>
      </c>
      <c r="M281" s="16" t="str">
        <f t="shared" si="111"/>
        <v/>
      </c>
      <c r="S281" t="str">
        <f>IF(B281="","",VLOOKUP(Cmt(B281),Sheet2!A:B,2,FALSE))</f>
        <v/>
      </c>
      <c r="T281" s="39" t="str">
        <f t="shared" si="109"/>
        <v/>
      </c>
      <c r="U281" s="13" t="str">
        <f t="shared" si="107"/>
        <v/>
      </c>
      <c r="W281" s="11"/>
    </row>
    <row r="282" spans="9:23" x14ac:dyDescent="0.25">
      <c r="I282" s="17" t="str">
        <f t="shared" si="110"/>
        <v/>
      </c>
      <c r="M282" s="16" t="str">
        <f t="shared" si="111"/>
        <v/>
      </c>
      <c r="S282" t="str">
        <f>IF(B282="","",VLOOKUP(Cmt(B282),Sheet2!A:B,2,FALSE))</f>
        <v/>
      </c>
      <c r="T282" s="39" t="str">
        <f t="shared" si="109"/>
        <v/>
      </c>
      <c r="U282" s="13" t="str">
        <f t="shared" si="107"/>
        <v/>
      </c>
      <c r="W282" s="11"/>
    </row>
    <row r="283" spans="9:23" x14ac:dyDescent="0.25">
      <c r="I283" s="17" t="str">
        <f t="shared" si="110"/>
        <v/>
      </c>
      <c r="M283" s="16" t="str">
        <f t="shared" si="111"/>
        <v/>
      </c>
      <c r="S283" t="str">
        <f>IF(B283="","",VLOOKUP(Cmt(B283),Sheet2!A:B,2,FALSE))</f>
        <v/>
      </c>
      <c r="T283" s="39" t="str">
        <f t="shared" si="109"/>
        <v/>
      </c>
      <c r="U283" s="13" t="str">
        <f t="shared" si="107"/>
        <v/>
      </c>
      <c r="W283" s="11"/>
    </row>
    <row r="284" spans="9:23" x14ac:dyDescent="0.25">
      <c r="I284" s="17" t="str">
        <f t="shared" si="110"/>
        <v/>
      </c>
      <c r="M284" s="16" t="str">
        <f t="shared" si="111"/>
        <v/>
      </c>
      <c r="S284" t="str">
        <f>IF(B284="","",VLOOKUP(Cmt(B284),Sheet2!A:B,2,FALSE))</f>
        <v/>
      </c>
      <c r="T284" s="39" t="str">
        <f t="shared" si="109"/>
        <v/>
      </c>
      <c r="U284" s="13" t="str">
        <f t="shared" ref="U284:U347" si="112">IF(S284="","",T284*I284/(D284*S284*0.15))</f>
        <v/>
      </c>
      <c r="W284" s="11"/>
    </row>
    <row r="285" spans="9:23" x14ac:dyDescent="0.25">
      <c r="I285" s="17" t="str">
        <f t="shared" si="110"/>
        <v/>
      </c>
      <c r="M285" s="16" t="str">
        <f t="shared" si="111"/>
        <v/>
      </c>
      <c r="S285" t="str">
        <f>IF(B285="","",VLOOKUP(Cmt(B285),Sheet2!A:B,2,FALSE))</f>
        <v/>
      </c>
      <c r="T285" s="39" t="str">
        <f t="shared" si="109"/>
        <v/>
      </c>
      <c r="U285" s="13" t="str">
        <f t="shared" si="112"/>
        <v/>
      </c>
      <c r="W285" s="11"/>
    </row>
    <row r="286" spans="9:23" x14ac:dyDescent="0.25">
      <c r="I286" s="17" t="str">
        <f t="shared" si="110"/>
        <v/>
      </c>
      <c r="M286" s="16" t="str">
        <f t="shared" si="111"/>
        <v/>
      </c>
      <c r="S286" t="str">
        <f>IF(B286="","",VLOOKUP(Cmt(B286),Sheet2!A:B,2,FALSE))</f>
        <v/>
      </c>
      <c r="T286" s="39" t="str">
        <f t="shared" ref="T286:T349" si="113">IF(S286="","",T285)</f>
        <v/>
      </c>
      <c r="U286" s="13" t="str">
        <f t="shared" si="112"/>
        <v/>
      </c>
      <c r="W286" s="11"/>
    </row>
    <row r="287" spans="9:23" x14ac:dyDescent="0.25">
      <c r="I287" s="17" t="str">
        <f t="shared" si="110"/>
        <v/>
      </c>
      <c r="M287" s="16" t="str">
        <f t="shared" si="111"/>
        <v/>
      </c>
      <c r="S287" t="str">
        <f>IF(B287="","",VLOOKUP(Cmt(B287),Sheet2!A:B,2,FALSE))</f>
        <v/>
      </c>
      <c r="T287" s="39" t="str">
        <f t="shared" si="113"/>
        <v/>
      </c>
      <c r="U287" s="13" t="str">
        <f t="shared" si="112"/>
        <v/>
      </c>
      <c r="W287" s="11"/>
    </row>
    <row r="288" spans="9:23" x14ac:dyDescent="0.25">
      <c r="I288" s="17" t="str">
        <f t="shared" si="110"/>
        <v/>
      </c>
      <c r="M288" s="16" t="str">
        <f t="shared" si="111"/>
        <v/>
      </c>
      <c r="S288" t="str">
        <f>IF(B288="","",VLOOKUP(Cmt(B288),Sheet2!A:B,2,FALSE))</f>
        <v/>
      </c>
      <c r="T288" s="39" t="str">
        <f t="shared" si="113"/>
        <v/>
      </c>
      <c r="U288" s="13" t="str">
        <f t="shared" si="112"/>
        <v/>
      </c>
      <c r="W288" s="11"/>
    </row>
    <row r="289" spans="9:23" x14ac:dyDescent="0.25">
      <c r="I289" s="17" t="str">
        <f t="shared" si="110"/>
        <v/>
      </c>
      <c r="M289" s="16" t="str">
        <f t="shared" si="111"/>
        <v/>
      </c>
      <c r="S289" t="str">
        <f>IF(B289="","",VLOOKUP(Cmt(B289),Sheet2!A:B,2,FALSE))</f>
        <v/>
      </c>
      <c r="T289" s="39" t="str">
        <f t="shared" si="113"/>
        <v/>
      </c>
      <c r="U289" s="13" t="str">
        <f t="shared" si="112"/>
        <v/>
      </c>
      <c r="W289" s="11"/>
    </row>
    <row r="290" spans="9:23" x14ac:dyDescent="0.25">
      <c r="I290" s="17" t="str">
        <f t="shared" si="110"/>
        <v/>
      </c>
      <c r="M290" s="16" t="str">
        <f t="shared" si="111"/>
        <v/>
      </c>
      <c r="S290" t="str">
        <f>IF(B290="","",VLOOKUP(Cmt(B290),Sheet2!A:B,2,FALSE))</f>
        <v/>
      </c>
      <c r="T290" s="39" t="str">
        <f t="shared" si="113"/>
        <v/>
      </c>
      <c r="U290" s="13" t="str">
        <f t="shared" si="112"/>
        <v/>
      </c>
      <c r="W290" s="11"/>
    </row>
    <row r="291" spans="9:23" x14ac:dyDescent="0.25">
      <c r="I291" s="17" t="str">
        <f t="shared" si="110"/>
        <v/>
      </c>
      <c r="M291" s="16" t="str">
        <f t="shared" si="111"/>
        <v/>
      </c>
      <c r="S291" t="str">
        <f>IF(B291="","",VLOOKUP(Cmt(B291),Sheet2!A:B,2,FALSE))</f>
        <v/>
      </c>
      <c r="T291" s="39" t="str">
        <f t="shared" si="113"/>
        <v/>
      </c>
      <c r="U291" s="13" t="str">
        <f t="shared" si="112"/>
        <v/>
      </c>
      <c r="W291" s="11"/>
    </row>
    <row r="292" spans="9:23" x14ac:dyDescent="0.25">
      <c r="I292" s="17" t="str">
        <f t="shared" si="110"/>
        <v/>
      </c>
      <c r="M292" s="16" t="str">
        <f t="shared" si="111"/>
        <v/>
      </c>
      <c r="S292" t="str">
        <f>IF(B292="","",VLOOKUP(Cmt(B292),Sheet2!A:B,2,FALSE))</f>
        <v/>
      </c>
      <c r="T292" s="39" t="str">
        <f t="shared" si="113"/>
        <v/>
      </c>
      <c r="U292" s="13" t="str">
        <f t="shared" si="112"/>
        <v/>
      </c>
      <c r="W292" s="11"/>
    </row>
    <row r="293" spans="9:23" x14ac:dyDescent="0.25">
      <c r="I293" s="17" t="str">
        <f t="shared" si="110"/>
        <v/>
      </c>
      <c r="M293" s="16" t="str">
        <f t="shared" si="111"/>
        <v/>
      </c>
      <c r="S293" t="str">
        <f>IF(B293="","",VLOOKUP(Cmt(B293),Sheet2!A:B,2,FALSE))</f>
        <v/>
      </c>
      <c r="T293" s="39" t="str">
        <f t="shared" si="113"/>
        <v/>
      </c>
      <c r="U293" s="13" t="str">
        <f t="shared" si="112"/>
        <v/>
      </c>
      <c r="W293" s="11"/>
    </row>
    <row r="294" spans="9:23" x14ac:dyDescent="0.25">
      <c r="I294" s="17" t="str">
        <f t="shared" si="110"/>
        <v/>
      </c>
      <c r="M294" s="16" t="str">
        <f t="shared" si="111"/>
        <v/>
      </c>
      <c r="S294" t="str">
        <f>IF(B294="","",VLOOKUP(Cmt(B294),Sheet2!A:B,2,FALSE))</f>
        <v/>
      </c>
      <c r="T294" s="39" t="str">
        <f t="shared" si="113"/>
        <v/>
      </c>
      <c r="U294" s="13" t="str">
        <f t="shared" si="112"/>
        <v/>
      </c>
      <c r="W294" s="11"/>
    </row>
    <row r="295" spans="9:23" x14ac:dyDescent="0.25">
      <c r="I295" s="17" t="str">
        <f t="shared" si="110"/>
        <v/>
      </c>
      <c r="M295" s="16" t="str">
        <f t="shared" si="111"/>
        <v/>
      </c>
      <c r="S295" t="str">
        <f>IF(B295="","",VLOOKUP(Cmt(B295),Sheet2!A:B,2,FALSE))</f>
        <v/>
      </c>
      <c r="T295" s="39" t="str">
        <f t="shared" si="113"/>
        <v/>
      </c>
      <c r="U295" s="13" t="str">
        <f t="shared" si="112"/>
        <v/>
      </c>
      <c r="W295" s="11"/>
    </row>
    <row r="296" spans="9:23" x14ac:dyDescent="0.25">
      <c r="I296" s="17" t="str">
        <f t="shared" si="110"/>
        <v/>
      </c>
      <c r="M296" s="16" t="str">
        <f t="shared" si="111"/>
        <v/>
      </c>
      <c r="S296" t="str">
        <f>IF(B296="","",VLOOKUP(Cmt(B296),Sheet2!A:B,2,FALSE))</f>
        <v/>
      </c>
      <c r="T296" s="39" t="str">
        <f t="shared" si="113"/>
        <v/>
      </c>
      <c r="U296" s="13" t="str">
        <f t="shared" si="112"/>
        <v/>
      </c>
      <c r="W296" s="11"/>
    </row>
    <row r="297" spans="9:23" x14ac:dyDescent="0.25">
      <c r="I297" s="17" t="str">
        <f t="shared" si="110"/>
        <v/>
      </c>
      <c r="M297" s="16" t="str">
        <f t="shared" si="111"/>
        <v/>
      </c>
      <c r="S297" t="str">
        <f>IF(B297="","",VLOOKUP(Cmt(B297),Sheet2!A:B,2,FALSE))</f>
        <v/>
      </c>
      <c r="T297" s="39" t="str">
        <f t="shared" si="113"/>
        <v/>
      </c>
      <c r="U297" s="13" t="str">
        <f t="shared" si="112"/>
        <v/>
      </c>
      <c r="W297" s="11"/>
    </row>
    <row r="298" spans="9:23" x14ac:dyDescent="0.25">
      <c r="I298" s="17" t="str">
        <f t="shared" si="110"/>
        <v/>
      </c>
      <c r="M298" s="16" t="str">
        <f t="shared" si="111"/>
        <v/>
      </c>
      <c r="S298" t="str">
        <f>IF(B298="","",VLOOKUP(Cmt(B298),Sheet2!A:B,2,FALSE))</f>
        <v/>
      </c>
      <c r="T298" s="39" t="str">
        <f t="shared" si="113"/>
        <v/>
      </c>
      <c r="U298" s="13" t="str">
        <f t="shared" si="112"/>
        <v/>
      </c>
      <c r="W298" s="11"/>
    </row>
    <row r="299" spans="9:23" x14ac:dyDescent="0.25">
      <c r="I299" s="17" t="str">
        <f t="shared" si="110"/>
        <v/>
      </c>
      <c r="M299" s="16" t="str">
        <f t="shared" si="111"/>
        <v/>
      </c>
      <c r="S299" t="str">
        <f>IF(B299="","",VLOOKUP(Cmt(B299),Sheet2!A:B,2,FALSE))</f>
        <v/>
      </c>
      <c r="T299" s="39" t="str">
        <f t="shared" si="113"/>
        <v/>
      </c>
      <c r="U299" s="13" t="str">
        <f t="shared" si="112"/>
        <v/>
      </c>
      <c r="W299" s="11"/>
    </row>
    <row r="300" spans="9:23" x14ac:dyDescent="0.25">
      <c r="I300" s="17" t="str">
        <f t="shared" si="110"/>
        <v/>
      </c>
      <c r="M300" s="16" t="str">
        <f t="shared" si="111"/>
        <v/>
      </c>
      <c r="S300" t="str">
        <f>IF(B300="","",VLOOKUP(Cmt(B300),Sheet2!A:B,2,FALSE))</f>
        <v/>
      </c>
      <c r="T300" s="39" t="str">
        <f t="shared" si="113"/>
        <v/>
      </c>
      <c r="U300" s="13" t="str">
        <f t="shared" si="112"/>
        <v/>
      </c>
      <c r="W300" s="11"/>
    </row>
    <row r="301" spans="9:23" x14ac:dyDescent="0.25">
      <c r="I301" s="17" t="str">
        <f t="shared" si="110"/>
        <v/>
      </c>
      <c r="M301" s="16" t="str">
        <f t="shared" si="111"/>
        <v/>
      </c>
      <c r="S301" t="str">
        <f>IF(B301="","",VLOOKUP(Cmt(B301),Sheet2!A:B,2,FALSE))</f>
        <v/>
      </c>
      <c r="T301" s="39" t="str">
        <f t="shared" si="113"/>
        <v/>
      </c>
      <c r="U301" s="13" t="str">
        <f t="shared" si="112"/>
        <v/>
      </c>
      <c r="W301" s="11"/>
    </row>
    <row r="302" spans="9:23" x14ac:dyDescent="0.25">
      <c r="I302" s="17" t="str">
        <f t="shared" si="110"/>
        <v/>
      </c>
      <c r="M302" s="16" t="str">
        <f t="shared" si="111"/>
        <v/>
      </c>
      <c r="S302" t="str">
        <f>IF(B302="","",VLOOKUP(Cmt(B302),Sheet2!A:B,2,FALSE))</f>
        <v/>
      </c>
      <c r="T302" s="39" t="str">
        <f t="shared" si="113"/>
        <v/>
      </c>
      <c r="U302" s="13" t="str">
        <f t="shared" si="112"/>
        <v/>
      </c>
      <c r="W302" s="11"/>
    </row>
    <row r="303" spans="9:23" x14ac:dyDescent="0.25">
      <c r="I303" s="17" t="str">
        <f t="shared" si="110"/>
        <v/>
      </c>
      <c r="M303" s="16" t="str">
        <f t="shared" si="111"/>
        <v/>
      </c>
      <c r="S303" t="str">
        <f>IF(B303="","",VLOOKUP(Cmt(B303),Sheet2!A:B,2,FALSE))</f>
        <v/>
      </c>
      <c r="T303" s="39" t="str">
        <f t="shared" si="113"/>
        <v/>
      </c>
      <c r="U303" s="13" t="str">
        <f t="shared" si="112"/>
        <v/>
      </c>
      <c r="W303" s="11"/>
    </row>
    <row r="304" spans="9:23" x14ac:dyDescent="0.25">
      <c r="I304" s="17" t="str">
        <f t="shared" si="110"/>
        <v/>
      </c>
      <c r="M304" s="16" t="str">
        <f t="shared" si="111"/>
        <v/>
      </c>
      <c r="S304" t="str">
        <f>IF(B304="","",VLOOKUP(Cmt(B304),Sheet2!A:B,2,FALSE))</f>
        <v/>
      </c>
      <c r="T304" s="39" t="str">
        <f t="shared" si="113"/>
        <v/>
      </c>
      <c r="U304" s="13" t="str">
        <f t="shared" si="112"/>
        <v/>
      </c>
      <c r="W304" s="11"/>
    </row>
    <row r="305" spans="9:23" x14ac:dyDescent="0.25">
      <c r="I305" s="17" t="str">
        <f t="shared" si="110"/>
        <v/>
      </c>
      <c r="M305" s="16" t="str">
        <f t="shared" si="111"/>
        <v/>
      </c>
      <c r="S305" t="str">
        <f>IF(B305="","",VLOOKUP(Cmt(B305),Sheet2!A:B,2,FALSE))</f>
        <v/>
      </c>
      <c r="T305" s="39" t="str">
        <f t="shared" si="113"/>
        <v/>
      </c>
      <c r="U305" s="13" t="str">
        <f t="shared" si="112"/>
        <v/>
      </c>
      <c r="W305" s="11"/>
    </row>
    <row r="306" spans="9:23" x14ac:dyDescent="0.25">
      <c r="I306" s="17" t="str">
        <f t="shared" si="110"/>
        <v/>
      </c>
      <c r="M306" s="16" t="str">
        <f t="shared" si="111"/>
        <v/>
      </c>
      <c r="S306" t="str">
        <f>IF(B306="","",VLOOKUP(Cmt(B306),Sheet2!A:B,2,FALSE))</f>
        <v/>
      </c>
      <c r="T306" s="39" t="str">
        <f t="shared" si="113"/>
        <v/>
      </c>
      <c r="U306" s="13" t="str">
        <f t="shared" si="112"/>
        <v/>
      </c>
      <c r="W306" s="11"/>
    </row>
    <row r="307" spans="9:23" x14ac:dyDescent="0.25">
      <c r="I307" s="17" t="str">
        <f t="shared" si="110"/>
        <v/>
      </c>
      <c r="M307" s="16" t="str">
        <f t="shared" si="111"/>
        <v/>
      </c>
      <c r="S307" t="str">
        <f>IF(B307="","",VLOOKUP(Cmt(B307),Sheet2!A:B,2,FALSE))</f>
        <v/>
      </c>
      <c r="T307" s="39" t="str">
        <f t="shared" si="113"/>
        <v/>
      </c>
      <c r="U307" s="13" t="str">
        <f t="shared" si="112"/>
        <v/>
      </c>
      <c r="W307" s="11"/>
    </row>
    <row r="308" spans="9:23" x14ac:dyDescent="0.25">
      <c r="I308" s="17" t="str">
        <f t="shared" si="110"/>
        <v/>
      </c>
      <c r="M308" s="16" t="str">
        <f t="shared" si="111"/>
        <v/>
      </c>
      <c r="S308" t="str">
        <f>IF(B308="","",VLOOKUP(Cmt(B308),Sheet2!A:B,2,FALSE))</f>
        <v/>
      </c>
      <c r="T308" s="39" t="str">
        <f t="shared" si="113"/>
        <v/>
      </c>
      <c r="U308" s="13" t="str">
        <f t="shared" si="112"/>
        <v/>
      </c>
      <c r="W308" s="11"/>
    </row>
    <row r="309" spans="9:23" x14ac:dyDescent="0.25">
      <c r="I309" s="17" t="str">
        <f t="shared" si="110"/>
        <v/>
      </c>
      <c r="M309" s="16" t="str">
        <f t="shared" si="111"/>
        <v/>
      </c>
      <c r="S309" t="str">
        <f>IF(B309="","",VLOOKUP(Cmt(B309),Sheet2!A:B,2,FALSE))</f>
        <v/>
      </c>
      <c r="T309" s="39" t="str">
        <f t="shared" si="113"/>
        <v/>
      </c>
      <c r="U309" s="13" t="str">
        <f t="shared" si="112"/>
        <v/>
      </c>
      <c r="W309" s="11"/>
    </row>
    <row r="310" spans="9:23" x14ac:dyDescent="0.25">
      <c r="I310" s="17" t="str">
        <f t="shared" si="110"/>
        <v/>
      </c>
      <c r="M310" s="16" t="str">
        <f t="shared" si="111"/>
        <v/>
      </c>
      <c r="S310" t="str">
        <f>IF(B310="","",VLOOKUP(Cmt(B310),Sheet2!A:B,2,FALSE))</f>
        <v/>
      </c>
      <c r="T310" s="39" t="str">
        <f t="shared" si="113"/>
        <v/>
      </c>
      <c r="U310" s="13" t="str">
        <f t="shared" si="112"/>
        <v/>
      </c>
      <c r="W310" s="11"/>
    </row>
    <row r="311" spans="9:23" x14ac:dyDescent="0.25">
      <c r="I311" s="17" t="str">
        <f t="shared" si="110"/>
        <v/>
      </c>
      <c r="M311" s="16" t="str">
        <f t="shared" si="111"/>
        <v/>
      </c>
      <c r="S311" t="str">
        <f>IF(B311="","",VLOOKUP(Cmt(B311),Sheet2!A:B,2,FALSE))</f>
        <v/>
      </c>
      <c r="T311" s="39" t="str">
        <f t="shared" si="113"/>
        <v/>
      </c>
      <c r="U311" s="13" t="str">
        <f t="shared" si="112"/>
        <v/>
      </c>
      <c r="W311" s="11"/>
    </row>
    <row r="312" spans="9:23" x14ac:dyDescent="0.25">
      <c r="I312" s="17" t="str">
        <f t="shared" si="110"/>
        <v/>
      </c>
      <c r="M312" s="16" t="str">
        <f t="shared" si="111"/>
        <v/>
      </c>
      <c r="S312" t="str">
        <f>IF(B312="","",VLOOKUP(Cmt(B312),Sheet2!A:B,2,FALSE))</f>
        <v/>
      </c>
      <c r="T312" s="39" t="str">
        <f t="shared" si="113"/>
        <v/>
      </c>
      <c r="U312" s="13" t="str">
        <f t="shared" si="112"/>
        <v/>
      </c>
      <c r="W312" s="11"/>
    </row>
    <row r="313" spans="9:23" x14ac:dyDescent="0.25">
      <c r="I313" s="17" t="str">
        <f t="shared" si="110"/>
        <v/>
      </c>
      <c r="M313" s="16" t="str">
        <f t="shared" si="111"/>
        <v/>
      </c>
      <c r="S313" t="str">
        <f>IF(B313="","",VLOOKUP(Cmt(B313),Sheet2!A:B,2,FALSE))</f>
        <v/>
      </c>
      <c r="T313" s="39" t="str">
        <f t="shared" si="113"/>
        <v/>
      </c>
      <c r="U313" s="13" t="str">
        <f t="shared" si="112"/>
        <v/>
      </c>
      <c r="W313" s="11"/>
    </row>
    <row r="314" spans="9:23" x14ac:dyDescent="0.25">
      <c r="I314" s="17" t="str">
        <f t="shared" si="110"/>
        <v/>
      </c>
      <c r="M314" s="16" t="str">
        <f t="shared" si="111"/>
        <v/>
      </c>
      <c r="S314" t="str">
        <f>IF(B314="","",VLOOKUP(Cmt(B314),Sheet2!A:B,2,FALSE))</f>
        <v/>
      </c>
      <c r="T314" s="39" t="str">
        <f t="shared" si="113"/>
        <v/>
      </c>
      <c r="U314" s="13" t="str">
        <f t="shared" si="112"/>
        <v/>
      </c>
      <c r="W314" s="11"/>
    </row>
    <row r="315" spans="9:23" x14ac:dyDescent="0.25">
      <c r="I315" s="17" t="str">
        <f t="shared" si="110"/>
        <v/>
      </c>
      <c r="M315" s="16" t="str">
        <f t="shared" si="111"/>
        <v/>
      </c>
      <c r="S315" t="str">
        <f>IF(B315="","",VLOOKUP(Cmt(B315),Sheet2!A:B,2,FALSE))</f>
        <v/>
      </c>
      <c r="T315" s="39" t="str">
        <f t="shared" si="113"/>
        <v/>
      </c>
      <c r="U315" s="13" t="str">
        <f t="shared" si="112"/>
        <v/>
      </c>
      <c r="W315" s="11"/>
    </row>
    <row r="316" spans="9:23" x14ac:dyDescent="0.25">
      <c r="I316" s="17" t="str">
        <f t="shared" si="110"/>
        <v/>
      </c>
      <c r="M316" s="16" t="str">
        <f t="shared" si="111"/>
        <v/>
      </c>
      <c r="S316" t="str">
        <f>IF(B316="","",VLOOKUP(Cmt(B316),Sheet2!A:B,2,FALSE))</f>
        <v/>
      </c>
      <c r="T316" s="39" t="str">
        <f t="shared" si="113"/>
        <v/>
      </c>
      <c r="U316" s="13" t="str">
        <f t="shared" si="112"/>
        <v/>
      </c>
      <c r="W316" s="11"/>
    </row>
    <row r="317" spans="9:23" x14ac:dyDescent="0.25">
      <c r="I317" s="17" t="str">
        <f t="shared" si="110"/>
        <v/>
      </c>
      <c r="M317" s="16" t="str">
        <f t="shared" si="111"/>
        <v/>
      </c>
      <c r="S317" t="str">
        <f>IF(B317="","",VLOOKUP(Cmt(B317),Sheet2!A:B,2,FALSE))</f>
        <v/>
      </c>
      <c r="T317" s="39" t="str">
        <f t="shared" si="113"/>
        <v/>
      </c>
      <c r="U317" s="13" t="str">
        <f t="shared" si="112"/>
        <v/>
      </c>
      <c r="W317" s="11"/>
    </row>
    <row r="318" spans="9:23" x14ac:dyDescent="0.25">
      <c r="I318" s="17" t="str">
        <f t="shared" si="110"/>
        <v/>
      </c>
      <c r="M318" s="16" t="str">
        <f t="shared" si="111"/>
        <v/>
      </c>
      <c r="S318" t="str">
        <f>IF(B318="","",VLOOKUP(Cmt(B318),Sheet2!A:B,2,FALSE))</f>
        <v/>
      </c>
      <c r="T318" s="39" t="str">
        <f t="shared" si="113"/>
        <v/>
      </c>
      <c r="U318" s="13" t="str">
        <f t="shared" si="112"/>
        <v/>
      </c>
      <c r="W318" s="11"/>
    </row>
    <row r="319" spans="9:23" x14ac:dyDescent="0.25">
      <c r="I319" s="17" t="str">
        <f t="shared" si="110"/>
        <v/>
      </c>
      <c r="M319" s="16" t="str">
        <f t="shared" si="111"/>
        <v/>
      </c>
      <c r="S319" t="str">
        <f>IF(B319="","",VLOOKUP(Cmt(B319),Sheet2!A:B,2,FALSE))</f>
        <v/>
      </c>
      <c r="T319" s="39" t="str">
        <f t="shared" si="113"/>
        <v/>
      </c>
      <c r="U319" s="13" t="str">
        <f t="shared" si="112"/>
        <v/>
      </c>
      <c r="W319" s="11"/>
    </row>
    <row r="320" spans="9:23" x14ac:dyDescent="0.25">
      <c r="I320" s="17" t="str">
        <f t="shared" si="110"/>
        <v/>
      </c>
      <c r="M320" s="16" t="str">
        <f t="shared" si="111"/>
        <v/>
      </c>
      <c r="S320" t="str">
        <f>IF(B320="","",VLOOKUP(Cmt(B320),Sheet2!A:B,2,FALSE))</f>
        <v/>
      </c>
      <c r="T320" s="39" t="str">
        <f t="shared" si="113"/>
        <v/>
      </c>
      <c r="U320" s="13" t="str">
        <f t="shared" si="112"/>
        <v/>
      </c>
      <c r="W320" s="11"/>
    </row>
    <row r="321" spans="9:23" x14ac:dyDescent="0.25">
      <c r="I321" s="17" t="str">
        <f t="shared" si="110"/>
        <v/>
      </c>
      <c r="M321" s="16" t="str">
        <f t="shared" si="111"/>
        <v/>
      </c>
      <c r="S321" t="str">
        <f>IF(B321="","",VLOOKUP(Cmt(B321),Sheet2!A:B,2,FALSE))</f>
        <v/>
      </c>
      <c r="T321" s="39" t="str">
        <f t="shared" si="113"/>
        <v/>
      </c>
      <c r="U321" s="13" t="str">
        <f t="shared" si="112"/>
        <v/>
      </c>
      <c r="W321" s="11"/>
    </row>
    <row r="322" spans="9:23" x14ac:dyDescent="0.25">
      <c r="I322" s="17" t="str">
        <f t="shared" si="110"/>
        <v/>
      </c>
      <c r="M322" s="16" t="str">
        <f t="shared" si="111"/>
        <v/>
      </c>
      <c r="S322" t="str">
        <f>IF(B322="","",VLOOKUP(Cmt(B322),Sheet2!A:B,2,FALSE))</f>
        <v/>
      </c>
      <c r="T322" s="39" t="str">
        <f t="shared" si="113"/>
        <v/>
      </c>
      <c r="U322" s="13" t="str">
        <f t="shared" si="112"/>
        <v/>
      </c>
      <c r="W322" s="11"/>
    </row>
    <row r="323" spans="9:23" x14ac:dyDescent="0.25">
      <c r="I323" s="17" t="str">
        <f t="shared" si="110"/>
        <v/>
      </c>
      <c r="M323" s="16" t="str">
        <f t="shared" si="111"/>
        <v/>
      </c>
      <c r="S323" t="str">
        <f>IF(B323="","",VLOOKUP(Cmt(B323),Sheet2!A:B,2,FALSE))</f>
        <v/>
      </c>
      <c r="T323" s="39" t="str">
        <f t="shared" si="113"/>
        <v/>
      </c>
      <c r="U323" s="13" t="str">
        <f t="shared" si="112"/>
        <v/>
      </c>
      <c r="W323" s="11"/>
    </row>
    <row r="324" spans="9:23" x14ac:dyDescent="0.25">
      <c r="I324" s="17" t="str">
        <f t="shared" si="110"/>
        <v/>
      </c>
      <c r="M324" s="16" t="str">
        <f t="shared" si="111"/>
        <v/>
      </c>
      <c r="S324" t="str">
        <f>IF(B324="","",VLOOKUP(Cmt(B324),Sheet2!A:B,2,FALSE))</f>
        <v/>
      </c>
      <c r="T324" s="39" t="str">
        <f t="shared" si="113"/>
        <v/>
      </c>
      <c r="U324" s="13" t="str">
        <f t="shared" si="112"/>
        <v/>
      </c>
      <c r="W324" s="11"/>
    </row>
    <row r="325" spans="9:23" x14ac:dyDescent="0.25">
      <c r="I325" s="17" t="str">
        <f t="shared" si="110"/>
        <v/>
      </c>
      <c r="M325" s="16" t="str">
        <f t="shared" si="111"/>
        <v/>
      </c>
      <c r="S325" t="str">
        <f>IF(B325="","",VLOOKUP(Cmt(B325),Sheet2!A:B,2,FALSE))</f>
        <v/>
      </c>
      <c r="T325" s="39" t="str">
        <f t="shared" si="113"/>
        <v/>
      </c>
      <c r="U325" s="13" t="str">
        <f t="shared" si="112"/>
        <v/>
      </c>
      <c r="W325" s="11"/>
    </row>
    <row r="326" spans="9:23" x14ac:dyDescent="0.25">
      <c r="I326" s="17" t="str">
        <f t="shared" si="110"/>
        <v/>
      </c>
      <c r="M326" s="16" t="str">
        <f t="shared" si="111"/>
        <v/>
      </c>
      <c r="S326" t="str">
        <f>IF(B326="","",VLOOKUP(Cmt(B326),Sheet2!A:B,2,FALSE))</f>
        <v/>
      </c>
      <c r="T326" s="39" t="str">
        <f t="shared" si="113"/>
        <v/>
      </c>
      <c r="U326" s="13" t="str">
        <f t="shared" si="112"/>
        <v/>
      </c>
      <c r="W326" s="11"/>
    </row>
    <row r="327" spans="9:23" x14ac:dyDescent="0.25">
      <c r="I327" s="17" t="str">
        <f t="shared" si="110"/>
        <v/>
      </c>
      <c r="M327" s="16" t="str">
        <f t="shared" si="111"/>
        <v/>
      </c>
      <c r="S327" t="str">
        <f>IF(B327="","",VLOOKUP(Cmt(B327),Sheet2!A:B,2,FALSE))</f>
        <v/>
      </c>
      <c r="T327" s="39" t="str">
        <f t="shared" si="113"/>
        <v/>
      </c>
      <c r="U327" s="13" t="str">
        <f t="shared" si="112"/>
        <v/>
      </c>
      <c r="W327" s="11"/>
    </row>
    <row r="328" spans="9:23" x14ac:dyDescent="0.25">
      <c r="I328" s="17" t="str">
        <f t="shared" si="110"/>
        <v/>
      </c>
      <c r="M328" s="16" t="str">
        <f t="shared" si="111"/>
        <v/>
      </c>
      <c r="S328" t="str">
        <f>IF(B328="","",VLOOKUP(Cmt(B328),Sheet2!A:B,2,FALSE))</f>
        <v/>
      </c>
      <c r="T328" s="39" t="str">
        <f t="shared" si="113"/>
        <v/>
      </c>
      <c r="U328" s="13" t="str">
        <f t="shared" si="112"/>
        <v/>
      </c>
      <c r="W328" s="11"/>
    </row>
    <row r="329" spans="9:23" x14ac:dyDescent="0.25">
      <c r="I329" s="17" t="str">
        <f t="shared" si="110"/>
        <v/>
      </c>
      <c r="M329" s="16" t="str">
        <f t="shared" si="111"/>
        <v/>
      </c>
      <c r="S329" t="str">
        <f>IF(B329="","",VLOOKUP(Cmt(B329),Sheet2!A:B,2,FALSE))</f>
        <v/>
      </c>
      <c r="T329" s="39" t="str">
        <f t="shared" si="113"/>
        <v/>
      </c>
      <c r="U329" s="13" t="str">
        <f t="shared" si="112"/>
        <v/>
      </c>
      <c r="W329" s="11"/>
    </row>
    <row r="330" spans="9:23" x14ac:dyDescent="0.25">
      <c r="I330" s="17" t="str">
        <f t="shared" si="110"/>
        <v/>
      </c>
      <c r="M330" s="16" t="str">
        <f t="shared" si="111"/>
        <v/>
      </c>
      <c r="S330" t="str">
        <f>IF(B330="","",VLOOKUP(Cmt(B330),Sheet2!A:B,2,FALSE))</f>
        <v/>
      </c>
      <c r="T330" s="39" t="str">
        <f t="shared" si="113"/>
        <v/>
      </c>
      <c r="U330" s="13" t="str">
        <f t="shared" si="112"/>
        <v/>
      </c>
      <c r="W330" s="11"/>
    </row>
    <row r="331" spans="9:23" x14ac:dyDescent="0.25">
      <c r="I331" s="17" t="str">
        <f t="shared" si="110"/>
        <v/>
      </c>
      <c r="M331" s="16" t="str">
        <f t="shared" si="111"/>
        <v/>
      </c>
      <c r="S331" t="str">
        <f>IF(B331="","",VLOOKUP(Cmt(B331),Sheet2!A:B,2,FALSE))</f>
        <v/>
      </c>
      <c r="T331" s="39" t="str">
        <f t="shared" si="113"/>
        <v/>
      </c>
      <c r="U331" s="13" t="str">
        <f t="shared" si="112"/>
        <v/>
      </c>
      <c r="W331" s="11"/>
    </row>
    <row r="332" spans="9:23" x14ac:dyDescent="0.25">
      <c r="I332" s="17" t="str">
        <f t="shared" si="110"/>
        <v/>
      </c>
      <c r="M332" s="16" t="str">
        <f t="shared" si="111"/>
        <v/>
      </c>
      <c r="S332" t="str">
        <f>IF(B332="","",VLOOKUP(Cmt(B332),Sheet2!A:B,2,FALSE))</f>
        <v/>
      </c>
      <c r="T332" s="39" t="str">
        <f t="shared" si="113"/>
        <v/>
      </c>
      <c r="U332" s="13" t="str">
        <f t="shared" si="112"/>
        <v/>
      </c>
      <c r="W332" s="11"/>
    </row>
    <row r="333" spans="9:23" x14ac:dyDescent="0.25">
      <c r="I333" s="17" t="str">
        <f t="shared" si="110"/>
        <v/>
      </c>
      <c r="M333" s="16" t="str">
        <f t="shared" si="111"/>
        <v/>
      </c>
      <c r="S333" t="str">
        <f>IF(B333="","",VLOOKUP(Cmt(B333),Sheet2!A:B,2,FALSE))</f>
        <v/>
      </c>
      <c r="T333" s="39" t="str">
        <f t="shared" si="113"/>
        <v/>
      </c>
      <c r="U333" s="13" t="str">
        <f t="shared" si="112"/>
        <v/>
      </c>
      <c r="W333" s="11"/>
    </row>
    <row r="334" spans="9:23" x14ac:dyDescent="0.25">
      <c r="I334" s="17" t="str">
        <f t="shared" si="110"/>
        <v/>
      </c>
      <c r="M334" s="16" t="str">
        <f t="shared" si="111"/>
        <v/>
      </c>
      <c r="S334" t="str">
        <f>IF(B334="","",VLOOKUP(Cmt(B334),Sheet2!A:B,2,FALSE))</f>
        <v/>
      </c>
      <c r="T334" s="39" t="str">
        <f t="shared" si="113"/>
        <v/>
      </c>
      <c r="U334" s="13" t="str">
        <f t="shared" si="112"/>
        <v/>
      </c>
      <c r="W334" s="11"/>
    </row>
    <row r="335" spans="9:23" x14ac:dyDescent="0.25">
      <c r="I335" s="17" t="str">
        <f t="shared" si="110"/>
        <v/>
      </c>
      <c r="M335" s="16" t="str">
        <f t="shared" si="111"/>
        <v/>
      </c>
      <c r="S335" t="str">
        <f>IF(B335="","",VLOOKUP(Cmt(B335),Sheet2!A:B,2,FALSE))</f>
        <v/>
      </c>
      <c r="T335" s="39" t="str">
        <f t="shared" si="113"/>
        <v/>
      </c>
      <c r="U335" s="13" t="str">
        <f t="shared" si="112"/>
        <v/>
      </c>
      <c r="W335" s="11"/>
    </row>
    <row r="336" spans="9:23" x14ac:dyDescent="0.25">
      <c r="I336" s="17" t="str">
        <f t="shared" si="110"/>
        <v/>
      </c>
      <c r="M336" s="16" t="str">
        <f t="shared" si="111"/>
        <v/>
      </c>
      <c r="S336" t="str">
        <f>IF(B336="","",VLOOKUP(Cmt(B336),Sheet2!A:B,2,FALSE))</f>
        <v/>
      </c>
      <c r="T336" s="39" t="str">
        <f t="shared" si="113"/>
        <v/>
      </c>
      <c r="U336" s="13" t="str">
        <f t="shared" si="112"/>
        <v/>
      </c>
      <c r="W336" s="11"/>
    </row>
    <row r="337" spans="9:23" x14ac:dyDescent="0.25">
      <c r="I337" s="17" t="str">
        <f t="shared" si="110"/>
        <v/>
      </c>
      <c r="M337" s="16" t="str">
        <f t="shared" si="111"/>
        <v/>
      </c>
      <c r="S337" t="str">
        <f>IF(B337="","",VLOOKUP(Cmt(B337),Sheet2!A:B,2,FALSE))</f>
        <v/>
      </c>
      <c r="T337" s="39" t="str">
        <f t="shared" si="113"/>
        <v/>
      </c>
      <c r="U337" s="13" t="str">
        <f t="shared" si="112"/>
        <v/>
      </c>
      <c r="W337" s="11"/>
    </row>
    <row r="338" spans="9:23" x14ac:dyDescent="0.25">
      <c r="I338" s="17" t="str">
        <f t="shared" si="110"/>
        <v/>
      </c>
      <c r="M338" s="16" t="str">
        <f t="shared" si="111"/>
        <v/>
      </c>
      <c r="S338" t="str">
        <f>IF(B338="","",VLOOKUP(Cmt(B338),Sheet2!A:B,2,FALSE))</f>
        <v/>
      </c>
      <c r="T338" s="39" t="str">
        <f t="shared" si="113"/>
        <v/>
      </c>
      <c r="U338" s="13" t="str">
        <f t="shared" si="112"/>
        <v/>
      </c>
      <c r="W338" s="11"/>
    </row>
    <row r="339" spans="9:23" x14ac:dyDescent="0.25">
      <c r="I339" s="17" t="str">
        <f t="shared" ref="I339:I370" si="114">IF(G339="","",G339*H339)</f>
        <v/>
      </c>
      <c r="M339" s="16" t="str">
        <f t="shared" si="111"/>
        <v/>
      </c>
      <c r="S339" t="str">
        <f>IF(B339="","",VLOOKUP(Cmt(B339),Sheet2!A:B,2,FALSE))</f>
        <v/>
      </c>
      <c r="T339" s="39" t="str">
        <f t="shared" si="113"/>
        <v/>
      </c>
      <c r="U339" s="13" t="str">
        <f t="shared" si="112"/>
        <v/>
      </c>
      <c r="W339" s="11"/>
    </row>
    <row r="340" spans="9:23" x14ac:dyDescent="0.25">
      <c r="I340" s="17" t="str">
        <f t="shared" si="114"/>
        <v/>
      </c>
      <c r="M340" s="16" t="str">
        <f t="shared" ref="M340:M370" si="115">IF(J340="","",C340*(J340-D340)*S340)</f>
        <v/>
      </c>
      <c r="S340" t="str">
        <f>IF(B340="","",VLOOKUP(Cmt(B340),Sheet2!A:B,2,FALSE))</f>
        <v/>
      </c>
      <c r="T340" s="39" t="str">
        <f t="shared" si="113"/>
        <v/>
      </c>
      <c r="U340" s="13" t="str">
        <f t="shared" si="112"/>
        <v/>
      </c>
      <c r="W340" s="11"/>
    </row>
    <row r="341" spans="9:23" x14ac:dyDescent="0.25">
      <c r="I341" s="17" t="str">
        <f t="shared" si="114"/>
        <v/>
      </c>
      <c r="M341" s="16" t="str">
        <f t="shared" si="115"/>
        <v/>
      </c>
      <c r="S341" t="str">
        <f>IF(B341="","",VLOOKUP(Cmt(B341),Sheet2!A:B,2,FALSE))</f>
        <v/>
      </c>
      <c r="T341" s="39" t="str">
        <f t="shared" si="113"/>
        <v/>
      </c>
      <c r="U341" s="13" t="str">
        <f t="shared" si="112"/>
        <v/>
      </c>
      <c r="W341" s="11"/>
    </row>
    <row r="342" spans="9:23" x14ac:dyDescent="0.25">
      <c r="I342" s="17" t="str">
        <f t="shared" si="114"/>
        <v/>
      </c>
      <c r="M342" s="16" t="str">
        <f t="shared" si="115"/>
        <v/>
      </c>
      <c r="S342" t="str">
        <f>IF(B342="","",VLOOKUP(Cmt(B342),Sheet2!A:B,2,FALSE))</f>
        <v/>
      </c>
      <c r="T342" s="39" t="str">
        <f t="shared" si="113"/>
        <v/>
      </c>
      <c r="U342" s="13" t="str">
        <f t="shared" si="112"/>
        <v/>
      </c>
      <c r="W342" s="11"/>
    </row>
    <row r="343" spans="9:23" x14ac:dyDescent="0.25">
      <c r="I343" s="17" t="str">
        <f t="shared" si="114"/>
        <v/>
      </c>
      <c r="M343" s="16" t="str">
        <f t="shared" si="115"/>
        <v/>
      </c>
      <c r="S343" t="str">
        <f>IF(B343="","",VLOOKUP(Cmt(B343),Sheet2!A:B,2,FALSE))</f>
        <v/>
      </c>
      <c r="T343" s="39" t="str">
        <f t="shared" si="113"/>
        <v/>
      </c>
      <c r="U343" s="13" t="str">
        <f t="shared" si="112"/>
        <v/>
      </c>
      <c r="W343" s="11"/>
    </row>
    <row r="344" spans="9:23" x14ac:dyDescent="0.25">
      <c r="I344" s="17" t="str">
        <f t="shared" si="114"/>
        <v/>
      </c>
      <c r="M344" s="16" t="str">
        <f t="shared" si="115"/>
        <v/>
      </c>
      <c r="S344" t="str">
        <f>IF(B344="","",VLOOKUP(Cmt(B344),Sheet2!A:B,2,FALSE))</f>
        <v/>
      </c>
      <c r="T344" s="39" t="str">
        <f t="shared" si="113"/>
        <v/>
      </c>
      <c r="U344" s="13" t="str">
        <f t="shared" si="112"/>
        <v/>
      </c>
      <c r="W344" s="11"/>
    </row>
    <row r="345" spans="9:23" x14ac:dyDescent="0.25">
      <c r="I345" s="17" t="str">
        <f t="shared" si="114"/>
        <v/>
      </c>
      <c r="M345" s="16" t="str">
        <f t="shared" si="115"/>
        <v/>
      </c>
      <c r="S345" t="str">
        <f>IF(B345="","",VLOOKUP(Cmt(B345),Sheet2!A:B,2,FALSE))</f>
        <v/>
      </c>
      <c r="T345" s="39" t="str">
        <f t="shared" si="113"/>
        <v/>
      </c>
      <c r="U345" s="13" t="str">
        <f t="shared" si="112"/>
        <v/>
      </c>
      <c r="W345" s="11"/>
    </row>
    <row r="346" spans="9:23" x14ac:dyDescent="0.25">
      <c r="I346" s="17" t="str">
        <f t="shared" si="114"/>
        <v/>
      </c>
      <c r="M346" s="16" t="str">
        <f t="shared" si="115"/>
        <v/>
      </c>
      <c r="S346" t="str">
        <f>IF(B346="","",VLOOKUP(Cmt(B346),Sheet2!A:B,2,FALSE))</f>
        <v/>
      </c>
      <c r="T346" s="39" t="str">
        <f t="shared" si="113"/>
        <v/>
      </c>
      <c r="U346" s="13" t="str">
        <f t="shared" si="112"/>
        <v/>
      </c>
      <c r="W346" s="11"/>
    </row>
    <row r="347" spans="9:23" x14ac:dyDescent="0.25">
      <c r="I347" s="17" t="str">
        <f t="shared" si="114"/>
        <v/>
      </c>
      <c r="M347" s="16" t="str">
        <f t="shared" si="115"/>
        <v/>
      </c>
      <c r="S347" t="str">
        <f>IF(B347="","",VLOOKUP(Cmt(B347),Sheet2!A:B,2,FALSE))</f>
        <v/>
      </c>
      <c r="T347" s="39" t="str">
        <f t="shared" si="113"/>
        <v/>
      </c>
      <c r="U347" s="13" t="str">
        <f t="shared" si="112"/>
        <v/>
      </c>
      <c r="W347" s="11"/>
    </row>
    <row r="348" spans="9:23" x14ac:dyDescent="0.25">
      <c r="I348" s="17" t="str">
        <f t="shared" si="114"/>
        <v/>
      </c>
      <c r="M348" s="16" t="str">
        <f t="shared" si="115"/>
        <v/>
      </c>
      <c r="S348" t="str">
        <f>IF(B348="","",VLOOKUP(Cmt(B348),Sheet2!A:B,2,FALSE))</f>
        <v/>
      </c>
      <c r="T348" s="39" t="str">
        <f t="shared" si="113"/>
        <v/>
      </c>
      <c r="U348" s="13" t="str">
        <f t="shared" ref="U348:U370" si="116">IF(S348="","",T348*I348/(D348*S348*0.15))</f>
        <v/>
      </c>
      <c r="W348" s="11"/>
    </row>
    <row r="349" spans="9:23" x14ac:dyDescent="0.25">
      <c r="I349" s="17" t="str">
        <f t="shared" si="114"/>
        <v/>
      </c>
      <c r="M349" s="16" t="str">
        <f t="shared" si="115"/>
        <v/>
      </c>
      <c r="S349" t="str">
        <f>IF(B349="","",VLOOKUP(Cmt(B349),Sheet2!A:B,2,FALSE))</f>
        <v/>
      </c>
      <c r="T349" s="39" t="str">
        <f t="shared" si="113"/>
        <v/>
      </c>
      <c r="U349" s="13" t="str">
        <f t="shared" si="116"/>
        <v/>
      </c>
      <c r="W349" s="11"/>
    </row>
    <row r="350" spans="9:23" x14ac:dyDescent="0.25">
      <c r="I350" s="17" t="str">
        <f t="shared" si="114"/>
        <v/>
      </c>
      <c r="M350" s="16" t="str">
        <f t="shared" si="115"/>
        <v/>
      </c>
      <c r="S350" t="str">
        <f>IF(B350="","",VLOOKUP(Cmt(B350),Sheet2!A:B,2,FALSE))</f>
        <v/>
      </c>
      <c r="T350" s="39" t="str">
        <f t="shared" ref="T350:T370" si="117">IF(S350="","",T349)</f>
        <v/>
      </c>
      <c r="U350" s="13" t="str">
        <f t="shared" si="116"/>
        <v/>
      </c>
      <c r="W350" s="11"/>
    </row>
    <row r="351" spans="9:23" x14ac:dyDescent="0.25">
      <c r="I351" s="17" t="str">
        <f t="shared" si="114"/>
        <v/>
      </c>
      <c r="M351" s="16" t="str">
        <f t="shared" si="115"/>
        <v/>
      </c>
      <c r="S351" t="str">
        <f>IF(B351="","",VLOOKUP(Cmt(B351),Sheet2!A:B,2,FALSE))</f>
        <v/>
      </c>
      <c r="T351" s="39" t="str">
        <f t="shared" si="117"/>
        <v/>
      </c>
      <c r="U351" s="13" t="str">
        <f t="shared" si="116"/>
        <v/>
      </c>
      <c r="W351" s="11"/>
    </row>
    <row r="352" spans="9:23" x14ac:dyDescent="0.25">
      <c r="I352" s="17" t="str">
        <f t="shared" si="114"/>
        <v/>
      </c>
      <c r="M352" s="16" t="str">
        <f t="shared" si="115"/>
        <v/>
      </c>
      <c r="S352" t="str">
        <f>IF(B352="","",VLOOKUP(Cmt(B352),Sheet2!A:B,2,FALSE))</f>
        <v/>
      </c>
      <c r="T352" s="39" t="str">
        <f t="shared" si="117"/>
        <v/>
      </c>
      <c r="U352" s="13" t="str">
        <f t="shared" si="116"/>
        <v/>
      </c>
      <c r="W352" s="11"/>
    </row>
    <row r="353" spans="9:23" x14ac:dyDescent="0.25">
      <c r="I353" s="17" t="str">
        <f t="shared" si="114"/>
        <v/>
      </c>
      <c r="M353" s="16" t="str">
        <f t="shared" si="115"/>
        <v/>
      </c>
      <c r="S353" t="str">
        <f>IF(B353="","",VLOOKUP(Cmt(B353),Sheet2!A:B,2,FALSE))</f>
        <v/>
      </c>
      <c r="T353" s="39" t="str">
        <f t="shared" si="117"/>
        <v/>
      </c>
      <c r="U353" s="13" t="str">
        <f t="shared" si="116"/>
        <v/>
      </c>
      <c r="W353" s="11"/>
    </row>
    <row r="354" spans="9:23" x14ac:dyDescent="0.25">
      <c r="I354" s="17" t="str">
        <f t="shared" si="114"/>
        <v/>
      </c>
      <c r="M354" s="16" t="str">
        <f t="shared" si="115"/>
        <v/>
      </c>
      <c r="S354" t="str">
        <f>IF(B354="","",VLOOKUP(Cmt(B354),Sheet2!A:B,2,FALSE))</f>
        <v/>
      </c>
      <c r="T354" s="39" t="str">
        <f t="shared" si="117"/>
        <v/>
      </c>
      <c r="U354" s="13" t="str">
        <f t="shared" si="116"/>
        <v/>
      </c>
      <c r="W354" s="11"/>
    </row>
    <row r="355" spans="9:23" x14ac:dyDescent="0.25">
      <c r="I355" s="17" t="str">
        <f t="shared" si="114"/>
        <v/>
      </c>
      <c r="M355" s="16" t="str">
        <f t="shared" si="115"/>
        <v/>
      </c>
      <c r="S355" t="str">
        <f>IF(B355="","",VLOOKUP(Cmt(B355),Sheet2!A:B,2,FALSE))</f>
        <v/>
      </c>
      <c r="T355" s="39" t="str">
        <f t="shared" si="117"/>
        <v/>
      </c>
      <c r="U355" s="13" t="str">
        <f t="shared" si="116"/>
        <v/>
      </c>
      <c r="W355" s="11"/>
    </row>
    <row r="356" spans="9:23" x14ac:dyDescent="0.25">
      <c r="I356" s="17" t="str">
        <f t="shared" si="114"/>
        <v/>
      </c>
      <c r="M356" s="16" t="str">
        <f t="shared" si="115"/>
        <v/>
      </c>
      <c r="S356" t="str">
        <f>IF(B356="","",VLOOKUP(Cmt(B356),Sheet2!A:B,2,FALSE))</f>
        <v/>
      </c>
      <c r="T356" s="39" t="str">
        <f t="shared" si="117"/>
        <v/>
      </c>
      <c r="U356" s="13" t="str">
        <f t="shared" si="116"/>
        <v/>
      </c>
      <c r="W356" s="11"/>
    </row>
    <row r="357" spans="9:23" x14ac:dyDescent="0.25">
      <c r="I357" s="17" t="str">
        <f t="shared" si="114"/>
        <v/>
      </c>
      <c r="M357" s="16" t="str">
        <f t="shared" si="115"/>
        <v/>
      </c>
      <c r="S357" t="str">
        <f>IF(B357="","",VLOOKUP(Cmt(B357),Sheet2!A:B,2,FALSE))</f>
        <v/>
      </c>
      <c r="T357" s="39" t="str">
        <f t="shared" si="117"/>
        <v/>
      </c>
      <c r="U357" s="13" t="str">
        <f t="shared" si="116"/>
        <v/>
      </c>
      <c r="W357" s="11"/>
    </row>
    <row r="358" spans="9:23" x14ac:dyDescent="0.25">
      <c r="I358" s="17" t="str">
        <f t="shared" si="114"/>
        <v/>
      </c>
      <c r="M358" s="16" t="str">
        <f t="shared" si="115"/>
        <v/>
      </c>
      <c r="S358" t="str">
        <f>IF(B358="","",VLOOKUP(Cmt(B358),Sheet2!A:B,2,FALSE))</f>
        <v/>
      </c>
      <c r="T358" s="39" t="str">
        <f t="shared" si="117"/>
        <v/>
      </c>
      <c r="U358" s="13" t="str">
        <f t="shared" si="116"/>
        <v/>
      </c>
      <c r="W358" s="11"/>
    </row>
    <row r="359" spans="9:23" x14ac:dyDescent="0.25">
      <c r="I359" s="17" t="str">
        <f t="shared" si="114"/>
        <v/>
      </c>
      <c r="M359" s="16" t="str">
        <f t="shared" si="115"/>
        <v/>
      </c>
      <c r="S359" t="str">
        <f>IF(B359="","",VLOOKUP(Cmt(B359),Sheet2!A:B,2,FALSE))</f>
        <v/>
      </c>
      <c r="T359" s="39" t="str">
        <f t="shared" si="117"/>
        <v/>
      </c>
      <c r="U359" s="13" t="str">
        <f t="shared" si="116"/>
        <v/>
      </c>
      <c r="W359" s="11"/>
    </row>
    <row r="360" spans="9:23" x14ac:dyDescent="0.25">
      <c r="I360" s="17" t="str">
        <f t="shared" si="114"/>
        <v/>
      </c>
      <c r="M360" s="16" t="str">
        <f t="shared" si="115"/>
        <v/>
      </c>
      <c r="S360" t="str">
        <f>IF(B360="","",VLOOKUP(Cmt(B360),Sheet2!A:B,2,FALSE))</f>
        <v/>
      </c>
      <c r="T360" s="39" t="str">
        <f t="shared" si="117"/>
        <v/>
      </c>
      <c r="U360" s="13" t="str">
        <f t="shared" si="116"/>
        <v/>
      </c>
      <c r="W360" s="11"/>
    </row>
    <row r="361" spans="9:23" x14ac:dyDescent="0.25">
      <c r="I361" s="17" t="str">
        <f t="shared" si="114"/>
        <v/>
      </c>
      <c r="M361" s="16" t="str">
        <f t="shared" si="115"/>
        <v/>
      </c>
      <c r="S361" t="str">
        <f>IF(B361="","",VLOOKUP(Cmt(B361),Sheet2!A:B,2,FALSE))</f>
        <v/>
      </c>
      <c r="T361" s="39" t="str">
        <f t="shared" si="117"/>
        <v/>
      </c>
      <c r="U361" s="13" t="str">
        <f t="shared" si="116"/>
        <v/>
      </c>
      <c r="W361" s="11"/>
    </row>
    <row r="362" spans="9:23" x14ac:dyDescent="0.25">
      <c r="I362" s="17" t="str">
        <f t="shared" si="114"/>
        <v/>
      </c>
      <c r="M362" s="16" t="str">
        <f t="shared" si="115"/>
        <v/>
      </c>
      <c r="S362" t="str">
        <f>IF(B362="","",VLOOKUP(Cmt(B362),Sheet2!A:B,2,FALSE))</f>
        <v/>
      </c>
      <c r="T362" s="39" t="str">
        <f t="shared" si="117"/>
        <v/>
      </c>
      <c r="U362" s="13" t="str">
        <f t="shared" si="116"/>
        <v/>
      </c>
      <c r="W362" s="11"/>
    </row>
    <row r="363" spans="9:23" x14ac:dyDescent="0.25">
      <c r="I363" s="17" t="str">
        <f t="shared" si="114"/>
        <v/>
      </c>
      <c r="M363" s="16" t="str">
        <f t="shared" si="115"/>
        <v/>
      </c>
      <c r="S363" t="str">
        <f>IF(B363="","",VLOOKUP(Cmt(B363),Sheet2!A:B,2,FALSE))</f>
        <v/>
      </c>
      <c r="T363" s="39" t="str">
        <f t="shared" si="117"/>
        <v/>
      </c>
      <c r="U363" s="13" t="str">
        <f t="shared" si="116"/>
        <v/>
      </c>
      <c r="W363" s="11"/>
    </row>
    <row r="364" spans="9:23" x14ac:dyDescent="0.25">
      <c r="I364" s="17" t="str">
        <f t="shared" si="114"/>
        <v/>
      </c>
      <c r="M364" s="16" t="str">
        <f t="shared" si="115"/>
        <v/>
      </c>
      <c r="S364" t="str">
        <f>IF(B364="","",VLOOKUP(Cmt(B364),Sheet2!A:B,2,FALSE))</f>
        <v/>
      </c>
      <c r="T364" s="39" t="str">
        <f t="shared" si="117"/>
        <v/>
      </c>
      <c r="U364" s="13" t="str">
        <f t="shared" si="116"/>
        <v/>
      </c>
      <c r="W364" s="11"/>
    </row>
    <row r="365" spans="9:23" x14ac:dyDescent="0.25">
      <c r="I365" s="17" t="str">
        <f t="shared" si="114"/>
        <v/>
      </c>
      <c r="M365" s="16" t="str">
        <f t="shared" si="115"/>
        <v/>
      </c>
      <c r="S365" t="str">
        <f>IF(B365="","",VLOOKUP(Cmt(B365),Sheet2!A:B,2,FALSE))</f>
        <v/>
      </c>
      <c r="T365" s="39" t="str">
        <f t="shared" si="117"/>
        <v/>
      </c>
      <c r="U365" s="13" t="str">
        <f t="shared" si="116"/>
        <v/>
      </c>
      <c r="W365" s="11"/>
    </row>
    <row r="366" spans="9:23" x14ac:dyDescent="0.25">
      <c r="I366" s="17" t="str">
        <f t="shared" si="114"/>
        <v/>
      </c>
      <c r="M366" s="16" t="str">
        <f t="shared" si="115"/>
        <v/>
      </c>
      <c r="S366" t="str">
        <f>IF(B366="","",VLOOKUP(Cmt(B366),Sheet2!A:B,2,FALSE))</f>
        <v/>
      </c>
      <c r="T366" s="39" t="str">
        <f t="shared" si="117"/>
        <v/>
      </c>
      <c r="U366" s="13" t="str">
        <f t="shared" si="116"/>
        <v/>
      </c>
      <c r="W366" s="11"/>
    </row>
    <row r="367" spans="9:23" x14ac:dyDescent="0.25">
      <c r="I367" s="17" t="str">
        <f t="shared" si="114"/>
        <v/>
      </c>
      <c r="M367" s="16" t="str">
        <f t="shared" si="115"/>
        <v/>
      </c>
      <c r="S367" t="str">
        <f>IF(B367="","",VLOOKUP(Cmt(B367),Sheet2!A:B,2,FALSE))</f>
        <v/>
      </c>
      <c r="T367" s="39" t="str">
        <f t="shared" si="117"/>
        <v/>
      </c>
      <c r="U367" s="13" t="str">
        <f t="shared" si="116"/>
        <v/>
      </c>
      <c r="W367" s="11"/>
    </row>
    <row r="368" spans="9:23" x14ac:dyDescent="0.25">
      <c r="I368" s="17" t="str">
        <f t="shared" si="114"/>
        <v/>
      </c>
      <c r="M368" s="16" t="str">
        <f t="shared" si="115"/>
        <v/>
      </c>
      <c r="S368" t="str">
        <f>IF(B368="","",VLOOKUP(Cmt(B368),Sheet2!A:B,2,FALSE))</f>
        <v/>
      </c>
      <c r="T368" s="39" t="str">
        <f t="shared" si="117"/>
        <v/>
      </c>
      <c r="U368" s="13" t="str">
        <f t="shared" si="116"/>
        <v/>
      </c>
      <c r="W368" s="11"/>
    </row>
    <row r="369" spans="9:23" x14ac:dyDescent="0.25">
      <c r="I369" s="17" t="str">
        <f t="shared" si="114"/>
        <v/>
      </c>
      <c r="M369" s="16" t="str">
        <f t="shared" si="115"/>
        <v/>
      </c>
      <c r="S369" t="str">
        <f>IF(B369="","",VLOOKUP(Cmt(B369),Sheet2!A:B,2,FALSE))</f>
        <v/>
      </c>
      <c r="T369" s="39" t="str">
        <f t="shared" si="117"/>
        <v/>
      </c>
      <c r="U369" s="13" t="str">
        <f t="shared" si="116"/>
        <v/>
      </c>
      <c r="W369" s="11"/>
    </row>
    <row r="370" spans="9:23" x14ac:dyDescent="0.25">
      <c r="I370" s="17" t="str">
        <f t="shared" si="114"/>
        <v/>
      </c>
      <c r="M370" s="16" t="str">
        <f t="shared" si="115"/>
        <v/>
      </c>
      <c r="S370" t="str">
        <f>IF(B370="","",VLOOKUP(Cmt(B370),Sheet2!A:B,2,FALSE))</f>
        <v/>
      </c>
      <c r="T370" s="39" t="str">
        <f t="shared" si="117"/>
        <v/>
      </c>
      <c r="U370" s="13" t="str">
        <f t="shared" si="116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1"/>
  <sheetViews>
    <sheetView workbookViewId="0">
      <pane ySplit="1" topLeftCell="A2" activePane="bottomLeft" state="frozen"/>
      <selection pane="bottomLeft" activeCell="A41" sqref="A41:K81"/>
    </sheetView>
  </sheetViews>
  <sheetFormatPr defaultRowHeight="13.8" x14ac:dyDescent="0.25"/>
  <cols>
    <col min="4" max="4" width="10.44140625" bestFit="1" customWidth="1"/>
    <col min="8" max="8" width="10.44140625" bestFit="1" customWidth="1"/>
  </cols>
  <sheetData>
    <row r="1" spans="1:11" x14ac:dyDescent="0.25">
      <c r="A1" s="13" t="s">
        <v>1</v>
      </c>
      <c r="B1" s="13" t="s">
        <v>2</v>
      </c>
      <c r="C1" s="13" t="s">
        <v>3</v>
      </c>
      <c r="D1" s="13" t="s">
        <v>95</v>
      </c>
      <c r="E1" s="13" t="s">
        <v>42</v>
      </c>
      <c r="F1" s="20" t="s">
        <v>5</v>
      </c>
      <c r="G1" s="13" t="s">
        <v>6</v>
      </c>
      <c r="H1" s="13" t="s">
        <v>20</v>
      </c>
      <c r="I1" s="13" t="s">
        <v>43</v>
      </c>
      <c r="J1" s="13" t="s">
        <v>4</v>
      </c>
      <c r="K1" s="3" t="s">
        <v>173</v>
      </c>
    </row>
    <row r="2" spans="1:11" x14ac:dyDescent="0.25">
      <c r="A2" s="1" t="s">
        <v>164</v>
      </c>
      <c r="B2" s="1">
        <v>16</v>
      </c>
      <c r="C2" s="1">
        <v>672.2</v>
      </c>
      <c r="D2" s="2">
        <v>43133</v>
      </c>
      <c r="E2" s="26">
        <v>0.3833333333333333</v>
      </c>
      <c r="F2" s="17">
        <v>1.6500000000000001E-2</v>
      </c>
      <c r="G2" s="1">
        <v>658.2</v>
      </c>
      <c r="H2" s="2">
        <v>43133</v>
      </c>
      <c r="I2" s="26">
        <v>0.62152777777777779</v>
      </c>
      <c r="J2" s="16">
        <v>-22400</v>
      </c>
      <c r="K2" t="s">
        <v>178</v>
      </c>
    </row>
    <row r="3" spans="1:11" x14ac:dyDescent="0.25">
      <c r="A3" s="13" t="s">
        <v>168</v>
      </c>
      <c r="B3" s="13">
        <v>1</v>
      </c>
      <c r="C3" s="13">
        <v>4406.8</v>
      </c>
      <c r="D3" s="21">
        <v>43126</v>
      </c>
      <c r="E3" s="33">
        <v>0.46249999999999997</v>
      </c>
      <c r="F3" s="20">
        <v>2.1999999999999999E-2</v>
      </c>
      <c r="G3" s="13">
        <v>4347.2</v>
      </c>
      <c r="H3" s="21">
        <v>43129</v>
      </c>
      <c r="I3" s="33">
        <v>0.46458333333333335</v>
      </c>
      <c r="J3" s="16">
        <v>-17880.000000000109</v>
      </c>
      <c r="K3" t="s">
        <v>179</v>
      </c>
    </row>
    <row r="4" spans="1:11" x14ac:dyDescent="0.25">
      <c r="A4" s="13" t="s">
        <v>167</v>
      </c>
      <c r="B4" s="13">
        <v>-5</v>
      </c>
      <c r="C4" s="13">
        <v>1998</v>
      </c>
      <c r="D4" s="21">
        <v>43132</v>
      </c>
      <c r="E4" s="33">
        <v>0.61805555555555558</v>
      </c>
      <c r="F4" s="20">
        <v>1.7000000000000001E-2</v>
      </c>
      <c r="G4" s="13">
        <v>2014.5</v>
      </c>
      <c r="H4" s="21">
        <v>43132</v>
      </c>
      <c r="I4" s="47">
        <v>0.88541666666666663</v>
      </c>
      <c r="J4" s="16">
        <v>-8250</v>
      </c>
      <c r="K4" t="s">
        <v>178</v>
      </c>
    </row>
    <row r="5" spans="1:11" x14ac:dyDescent="0.25">
      <c r="A5" s="13" t="s">
        <v>167</v>
      </c>
      <c r="B5" s="13">
        <v>-5</v>
      </c>
      <c r="C5" s="13">
        <v>1986.5</v>
      </c>
      <c r="D5" s="21">
        <v>43131</v>
      </c>
      <c r="E5" s="33">
        <v>0.40972222222222227</v>
      </c>
      <c r="F5" s="20">
        <v>1.4499999999999999E-2</v>
      </c>
      <c r="G5" s="13">
        <v>2001.5</v>
      </c>
      <c r="H5" s="21">
        <v>43131</v>
      </c>
      <c r="I5" s="33">
        <v>0.88194444444444453</v>
      </c>
      <c r="J5" s="16">
        <v>-7500</v>
      </c>
      <c r="K5" t="s">
        <v>178</v>
      </c>
    </row>
    <row r="6" spans="1:11" x14ac:dyDescent="0.25">
      <c r="A6" s="13" t="s">
        <v>167</v>
      </c>
      <c r="B6" s="13">
        <v>7</v>
      </c>
      <c r="C6" s="13">
        <v>2053</v>
      </c>
      <c r="D6" s="21">
        <v>43126</v>
      </c>
      <c r="E6" s="33">
        <v>0.58819444444444446</v>
      </c>
      <c r="F6" s="20">
        <v>2.1499999999999998E-2</v>
      </c>
      <c r="G6" s="13">
        <v>2043.5</v>
      </c>
      <c r="H6" s="21">
        <v>43126</v>
      </c>
      <c r="I6" s="33">
        <v>0.62013888888888891</v>
      </c>
      <c r="J6" s="16">
        <v>-6650</v>
      </c>
      <c r="K6" t="s">
        <v>178</v>
      </c>
    </row>
    <row r="7" spans="1:11" x14ac:dyDescent="0.25">
      <c r="A7" s="13" t="s">
        <v>167</v>
      </c>
      <c r="B7" s="13">
        <v>6</v>
      </c>
      <c r="C7" s="13">
        <v>2055.5</v>
      </c>
      <c r="D7" s="21">
        <v>43125</v>
      </c>
      <c r="E7" s="33">
        <v>0.88263888888888886</v>
      </c>
      <c r="F7" s="20">
        <v>2.1499999999999998E-2</v>
      </c>
      <c r="G7" s="13">
        <v>2044.5</v>
      </c>
      <c r="H7" s="21">
        <v>43126</v>
      </c>
      <c r="I7" s="33">
        <v>0.37986111111111115</v>
      </c>
      <c r="J7" s="16">
        <v>-6600</v>
      </c>
      <c r="K7" t="s">
        <v>178</v>
      </c>
    </row>
    <row r="8" spans="1:11" x14ac:dyDescent="0.25">
      <c r="A8" s="13" t="s">
        <v>169</v>
      </c>
      <c r="B8" s="13">
        <v>-10</v>
      </c>
      <c r="C8" s="13">
        <v>14800</v>
      </c>
      <c r="D8" s="21">
        <v>43126</v>
      </c>
      <c r="E8" s="33">
        <v>0.56597222222222221</v>
      </c>
      <c r="F8" s="20">
        <v>1.15E-2</v>
      </c>
      <c r="G8" s="13">
        <v>14930</v>
      </c>
      <c r="H8" s="21">
        <v>43129</v>
      </c>
      <c r="I8" s="33">
        <v>0.40833333333333338</v>
      </c>
      <c r="J8" s="16">
        <v>-6500</v>
      </c>
      <c r="K8" t="s">
        <v>174</v>
      </c>
    </row>
    <row r="9" spans="1:11" x14ac:dyDescent="0.25">
      <c r="A9" s="13" t="s">
        <v>54</v>
      </c>
      <c r="B9" s="13">
        <v>-3</v>
      </c>
      <c r="C9" s="13">
        <v>53220</v>
      </c>
      <c r="D9" s="21">
        <v>43126</v>
      </c>
      <c r="E9" s="33">
        <v>0.9243055555555556</v>
      </c>
      <c r="F9" s="20">
        <v>9.4999999999999998E-3</v>
      </c>
      <c r="G9" s="13">
        <v>53640</v>
      </c>
      <c r="H9" s="21">
        <v>43129</v>
      </c>
      <c r="I9" s="33">
        <v>0.4069444444444445</v>
      </c>
      <c r="J9" s="16">
        <v>-6300</v>
      </c>
      <c r="K9" t="s">
        <v>174</v>
      </c>
    </row>
    <row r="10" spans="1:11" x14ac:dyDescent="0.25">
      <c r="A10" s="1" t="s">
        <v>97</v>
      </c>
      <c r="B10" s="1">
        <v>1</v>
      </c>
      <c r="C10" s="1">
        <v>3152</v>
      </c>
      <c r="D10" s="2">
        <v>43132</v>
      </c>
      <c r="E10" s="26">
        <v>0.62152777777777779</v>
      </c>
      <c r="F10" s="17">
        <v>1.4E-2</v>
      </c>
      <c r="G10" s="1">
        <v>3131</v>
      </c>
      <c r="H10" s="2">
        <v>43133</v>
      </c>
      <c r="I10" s="26">
        <v>0.39861111111111108</v>
      </c>
      <c r="J10" s="16">
        <v>-6300</v>
      </c>
      <c r="K10" t="s">
        <v>179</v>
      </c>
    </row>
    <row r="11" spans="1:11" x14ac:dyDescent="0.25">
      <c r="A11" s="13" t="s">
        <v>155</v>
      </c>
      <c r="B11" s="13">
        <v>10</v>
      </c>
      <c r="C11" s="13">
        <v>1295.5</v>
      </c>
      <c r="D11" s="21">
        <v>43130</v>
      </c>
      <c r="E11" s="33">
        <v>0.92708333333333337</v>
      </c>
      <c r="F11" s="20">
        <v>1.2500000000000001E-2</v>
      </c>
      <c r="G11" s="13">
        <v>1285</v>
      </c>
      <c r="H11" s="21">
        <v>43131</v>
      </c>
      <c r="I11" s="33">
        <v>0.38125000000000003</v>
      </c>
      <c r="J11" s="16">
        <v>-6300</v>
      </c>
      <c r="K11" t="s">
        <v>178</v>
      </c>
    </row>
    <row r="12" spans="1:11" x14ac:dyDescent="0.25">
      <c r="A12" s="13" t="s">
        <v>56</v>
      </c>
      <c r="B12" s="13">
        <v>16</v>
      </c>
      <c r="C12" s="13">
        <v>5778</v>
      </c>
      <c r="D12" s="21">
        <v>43125</v>
      </c>
      <c r="E12" s="33">
        <v>0.37986111111111115</v>
      </c>
      <c r="F12" s="20">
        <v>7.3333333333333341E-3</v>
      </c>
      <c r="G12" s="13">
        <v>5704</v>
      </c>
      <c r="H12" s="21">
        <v>43130</v>
      </c>
      <c r="I12" s="33">
        <v>0.38194444444444442</v>
      </c>
      <c r="J12" s="16">
        <v>-5920</v>
      </c>
      <c r="K12" t="s">
        <v>176</v>
      </c>
    </row>
    <row r="13" spans="1:11" x14ac:dyDescent="0.25">
      <c r="A13" s="13" t="s">
        <v>53</v>
      </c>
      <c r="B13" s="13">
        <v>20</v>
      </c>
      <c r="C13" s="13">
        <v>3940</v>
      </c>
      <c r="D13" s="21">
        <v>43130</v>
      </c>
      <c r="E13" s="33">
        <v>0.88750000000000007</v>
      </c>
      <c r="F13" s="20">
        <v>1.3500000000000002E-2</v>
      </c>
      <c r="G13" s="13">
        <v>3915</v>
      </c>
      <c r="H13" s="21">
        <v>43131</v>
      </c>
      <c r="I13" s="33">
        <v>0.38125000000000003</v>
      </c>
      <c r="J13" s="16">
        <v>-5000</v>
      </c>
      <c r="K13" t="s">
        <v>178</v>
      </c>
    </row>
    <row r="14" spans="1:11" x14ac:dyDescent="0.25">
      <c r="A14" s="13" t="s">
        <v>55</v>
      </c>
      <c r="B14" s="13">
        <v>16</v>
      </c>
      <c r="C14" s="13">
        <v>667.6</v>
      </c>
      <c r="D14" s="21">
        <v>43130</v>
      </c>
      <c r="E14" s="33">
        <v>0.92708333333333337</v>
      </c>
      <c r="F14" s="20">
        <v>1.6500000000000001E-2</v>
      </c>
      <c r="G14" s="13">
        <v>664.8</v>
      </c>
      <c r="H14" s="21">
        <v>43131</v>
      </c>
      <c r="I14" s="33">
        <v>0.41944444444444445</v>
      </c>
      <c r="J14" s="16">
        <v>-4480.0000000001091</v>
      </c>
      <c r="K14" t="s">
        <v>178</v>
      </c>
    </row>
    <row r="15" spans="1:11" x14ac:dyDescent="0.25">
      <c r="A15" s="13" t="s">
        <v>165</v>
      </c>
      <c r="B15" s="13">
        <v>-13</v>
      </c>
      <c r="C15" s="13">
        <v>3595</v>
      </c>
      <c r="D15" s="21">
        <v>43131</v>
      </c>
      <c r="E15" s="33">
        <v>0.40972222222222227</v>
      </c>
      <c r="F15" s="20">
        <v>7.3333333333333341E-3</v>
      </c>
      <c r="G15" s="13">
        <v>3627</v>
      </c>
      <c r="H15" s="21">
        <v>43132</v>
      </c>
      <c r="I15" s="33">
        <v>0.38194444444444442</v>
      </c>
      <c r="J15" s="16">
        <v>-4160</v>
      </c>
      <c r="K15" t="s">
        <v>177</v>
      </c>
    </row>
    <row r="16" spans="1:11" x14ac:dyDescent="0.25">
      <c r="A16" s="13" t="s">
        <v>97</v>
      </c>
      <c r="B16" s="13">
        <v>1</v>
      </c>
      <c r="C16" s="13">
        <v>3142</v>
      </c>
      <c r="D16" s="21">
        <v>43132</v>
      </c>
      <c r="E16" s="33">
        <v>0.56597222222222221</v>
      </c>
      <c r="F16" s="20">
        <v>1.4E-2</v>
      </c>
      <c r="G16" s="13">
        <v>3128.2</v>
      </c>
      <c r="H16" s="21">
        <v>43132</v>
      </c>
      <c r="I16" s="33">
        <v>0.58750000000000002</v>
      </c>
      <c r="J16" s="16">
        <v>-4140.0000000000546</v>
      </c>
      <c r="K16" t="s">
        <v>179</v>
      </c>
    </row>
    <row r="17" spans="1:12" x14ac:dyDescent="0.25">
      <c r="A17" s="13" t="s">
        <v>160</v>
      </c>
      <c r="B17" s="13">
        <v>9</v>
      </c>
      <c r="C17" s="13">
        <v>26220</v>
      </c>
      <c r="D17" s="21">
        <v>43125</v>
      </c>
      <c r="E17" s="33">
        <v>0.37986111111111115</v>
      </c>
      <c r="F17" s="20">
        <v>1.7000000000000001E-2</v>
      </c>
      <c r="G17" s="13">
        <v>26140</v>
      </c>
      <c r="H17" s="21">
        <v>43126</v>
      </c>
      <c r="I17" s="33">
        <v>0.37986111111111115</v>
      </c>
      <c r="J17" s="16">
        <v>-3600</v>
      </c>
      <c r="K17" t="s">
        <v>174</v>
      </c>
    </row>
    <row r="18" spans="1:12" x14ac:dyDescent="0.25">
      <c r="A18" s="13" t="s">
        <v>168</v>
      </c>
      <c r="B18" s="13">
        <v>1</v>
      </c>
      <c r="C18" s="13">
        <v>4292</v>
      </c>
      <c r="D18" s="21">
        <v>43131</v>
      </c>
      <c r="E18" s="33">
        <v>0.47013888888888888</v>
      </c>
      <c r="F18" s="20">
        <v>1.4999999999999999E-2</v>
      </c>
      <c r="G18" s="13">
        <v>4280.3999999999996</v>
      </c>
      <c r="H18" s="21">
        <v>43131</v>
      </c>
      <c r="I18" s="33">
        <v>0.56805555555555554</v>
      </c>
      <c r="J18" s="16">
        <v>-3480.0000000001091</v>
      </c>
      <c r="K18" t="s">
        <v>179</v>
      </c>
    </row>
    <row r="19" spans="1:12" x14ac:dyDescent="0.25">
      <c r="A19" s="13" t="s">
        <v>67</v>
      </c>
      <c r="B19" s="13">
        <v>16</v>
      </c>
      <c r="C19" s="13">
        <v>3950</v>
      </c>
      <c r="D19" s="21">
        <v>43130</v>
      </c>
      <c r="E19" s="33">
        <v>0.92708333333333337</v>
      </c>
      <c r="F19" s="20">
        <v>9.6666666666666654E-3</v>
      </c>
      <c r="G19" s="13">
        <v>3929</v>
      </c>
      <c r="H19" s="21">
        <v>43131</v>
      </c>
      <c r="I19" s="33">
        <v>0.46527777777777773</v>
      </c>
      <c r="J19" s="16">
        <v>-3360</v>
      </c>
      <c r="K19" t="s">
        <v>178</v>
      </c>
    </row>
    <row r="20" spans="1:12" x14ac:dyDescent="0.25">
      <c r="A20" s="13" t="s">
        <v>67</v>
      </c>
      <c r="B20" s="13">
        <v>22</v>
      </c>
      <c r="C20" s="13">
        <v>3966</v>
      </c>
      <c r="D20" s="21">
        <v>43129</v>
      </c>
      <c r="E20" s="33">
        <v>0.46458333333333335</v>
      </c>
      <c r="F20" s="20">
        <v>1.3333333333333334E-2</v>
      </c>
      <c r="G20" s="13">
        <v>3951</v>
      </c>
      <c r="H20" s="21">
        <v>43130</v>
      </c>
      <c r="I20" s="33">
        <v>0.38194444444444442</v>
      </c>
      <c r="J20" s="16">
        <v>-3300</v>
      </c>
      <c r="K20" t="s">
        <v>178</v>
      </c>
      <c r="L20" s="1"/>
    </row>
    <row r="21" spans="1:12" x14ac:dyDescent="0.25">
      <c r="A21" s="13" t="s">
        <v>53</v>
      </c>
      <c r="B21" s="13">
        <v>22</v>
      </c>
      <c r="C21" s="13">
        <v>3951</v>
      </c>
      <c r="D21" s="21">
        <v>43129</v>
      </c>
      <c r="E21" s="33">
        <v>0.4375</v>
      </c>
      <c r="F21" s="20">
        <v>1.3000000000000001E-2</v>
      </c>
      <c r="G21" s="13">
        <v>3936</v>
      </c>
      <c r="H21" s="21">
        <v>43129</v>
      </c>
      <c r="I21" s="33">
        <v>0.88194444444444453</v>
      </c>
      <c r="J21" s="16">
        <v>-3300</v>
      </c>
      <c r="K21" t="s">
        <v>178</v>
      </c>
    </row>
    <row r="22" spans="1:12" x14ac:dyDescent="0.25">
      <c r="A22" s="13" t="s">
        <v>54</v>
      </c>
      <c r="B22" s="13">
        <v>-4</v>
      </c>
      <c r="C22" s="13">
        <v>53050</v>
      </c>
      <c r="D22" s="21">
        <v>43131</v>
      </c>
      <c r="E22" s="33">
        <v>0.57638888888888895</v>
      </c>
      <c r="F22" s="20">
        <v>1.55E-2</v>
      </c>
      <c r="G22" s="13">
        <v>53200</v>
      </c>
      <c r="H22" s="21">
        <v>43131</v>
      </c>
      <c r="I22" s="33">
        <v>0.88194444444444453</v>
      </c>
      <c r="J22" s="16">
        <v>-3000</v>
      </c>
      <c r="K22" t="s">
        <v>174</v>
      </c>
    </row>
    <row r="23" spans="1:12" x14ac:dyDescent="0.25">
      <c r="A23" s="13" t="s">
        <v>66</v>
      </c>
      <c r="B23" s="13">
        <v>12</v>
      </c>
      <c r="C23" s="13">
        <v>9554</v>
      </c>
      <c r="D23" s="21">
        <v>43125</v>
      </c>
      <c r="E23" s="33">
        <v>0.37986111111111115</v>
      </c>
      <c r="F23" s="20">
        <v>8.9999999999999993E-3</v>
      </c>
      <c r="G23" s="13">
        <v>9512</v>
      </c>
      <c r="H23" s="21">
        <v>43126</v>
      </c>
      <c r="I23" s="33">
        <v>0.42222222222222222</v>
      </c>
      <c r="J23" s="16">
        <v>-2520</v>
      </c>
      <c r="K23" t="s">
        <v>176</v>
      </c>
    </row>
    <row r="24" spans="1:12" x14ac:dyDescent="0.25">
      <c r="A24" s="13" t="s">
        <v>155</v>
      </c>
      <c r="B24" s="13">
        <v>10</v>
      </c>
      <c r="C24" s="13">
        <v>1300</v>
      </c>
      <c r="D24" s="21">
        <v>43132</v>
      </c>
      <c r="E24" s="33">
        <v>0.38194444444444442</v>
      </c>
      <c r="F24" s="20">
        <v>1.2500000000000001E-2</v>
      </c>
      <c r="G24" s="13">
        <v>1296</v>
      </c>
      <c r="H24" s="21">
        <v>43132</v>
      </c>
      <c r="I24" s="33">
        <v>0.44444444444444442</v>
      </c>
      <c r="J24" s="16">
        <v>-2400</v>
      </c>
      <c r="K24" t="s">
        <v>178</v>
      </c>
    </row>
    <row r="25" spans="1:12" x14ac:dyDescent="0.25">
      <c r="A25" s="13" t="s">
        <v>167</v>
      </c>
      <c r="B25" s="13">
        <v>3</v>
      </c>
      <c r="C25" s="13">
        <v>2025.5</v>
      </c>
      <c r="D25" s="21">
        <v>43132</v>
      </c>
      <c r="E25" s="33">
        <v>0.38194444444444442</v>
      </c>
      <c r="F25" s="20">
        <v>1.0500000000000001E-2</v>
      </c>
      <c r="G25" s="13">
        <v>2018.5</v>
      </c>
      <c r="H25" s="21">
        <v>43132</v>
      </c>
      <c r="I25" s="33">
        <v>0.44444444444444442</v>
      </c>
      <c r="J25" s="16">
        <v>-2100</v>
      </c>
      <c r="K25" t="s">
        <v>178</v>
      </c>
    </row>
    <row r="26" spans="1:12" x14ac:dyDescent="0.25">
      <c r="A26" s="13" t="s">
        <v>155</v>
      </c>
      <c r="B26" s="13">
        <v>14</v>
      </c>
      <c r="C26" s="13">
        <v>1295</v>
      </c>
      <c r="D26" s="21">
        <v>43126</v>
      </c>
      <c r="E26" s="33">
        <v>0.88958333333333339</v>
      </c>
      <c r="F26" s="20">
        <v>1.6500000000000001E-2</v>
      </c>
      <c r="G26" s="13">
        <v>1292.5</v>
      </c>
      <c r="H26" s="21">
        <v>43126</v>
      </c>
      <c r="I26" s="33">
        <v>0.9243055555555556</v>
      </c>
      <c r="J26" s="16">
        <v>-2100</v>
      </c>
      <c r="K26" t="s">
        <v>178</v>
      </c>
    </row>
    <row r="27" spans="1:12" x14ac:dyDescent="0.25">
      <c r="A27" s="13" t="s">
        <v>170</v>
      </c>
      <c r="B27" s="13">
        <v>13</v>
      </c>
      <c r="C27" s="13">
        <v>9955</v>
      </c>
      <c r="D27" s="21">
        <v>43125</v>
      </c>
      <c r="E27" s="33">
        <v>0.37986111111111115</v>
      </c>
      <c r="F27" s="20">
        <v>0.01</v>
      </c>
      <c r="G27" s="13">
        <v>9925</v>
      </c>
      <c r="H27" s="21">
        <v>43126</v>
      </c>
      <c r="I27" s="33">
        <v>0.40277777777777773</v>
      </c>
      <c r="J27" s="16">
        <v>-1950</v>
      </c>
      <c r="K27" t="s">
        <v>176</v>
      </c>
    </row>
    <row r="28" spans="1:12" x14ac:dyDescent="0.25">
      <c r="A28" s="13" t="s">
        <v>160</v>
      </c>
      <c r="B28" s="13">
        <v>8</v>
      </c>
      <c r="C28" s="13">
        <v>26733.75</v>
      </c>
      <c r="D28" s="21">
        <v>43131</v>
      </c>
      <c r="E28" s="33">
        <v>0.62083333333333335</v>
      </c>
      <c r="F28" s="20">
        <v>1.7000000000000001E-2</v>
      </c>
      <c r="G28" s="13">
        <v>26685</v>
      </c>
      <c r="H28" s="21">
        <v>43132</v>
      </c>
      <c r="I28" s="33">
        <v>0.38194444444444442</v>
      </c>
      <c r="J28" s="16">
        <v>-1950</v>
      </c>
      <c r="K28" t="s">
        <v>174</v>
      </c>
    </row>
    <row r="29" spans="1:12" x14ac:dyDescent="0.25">
      <c r="A29" s="13" t="s">
        <v>170</v>
      </c>
      <c r="B29" s="13">
        <v>9</v>
      </c>
      <c r="C29" s="13">
        <v>10020</v>
      </c>
      <c r="D29" s="21">
        <v>43126</v>
      </c>
      <c r="E29" s="33">
        <v>0.58819444444444446</v>
      </c>
      <c r="F29" s="20">
        <v>6.6666666666666671E-3</v>
      </c>
      <c r="G29" s="13">
        <v>9980</v>
      </c>
      <c r="H29" s="21">
        <v>43129</v>
      </c>
      <c r="I29" s="33">
        <v>0.58958333333333335</v>
      </c>
      <c r="J29" s="16">
        <v>-1800</v>
      </c>
      <c r="K29" t="s">
        <v>176</v>
      </c>
    </row>
    <row r="30" spans="1:12" x14ac:dyDescent="0.25">
      <c r="A30" s="13" t="s">
        <v>57</v>
      </c>
      <c r="B30" s="13">
        <v>11</v>
      </c>
      <c r="C30" s="13">
        <v>2336</v>
      </c>
      <c r="D30" s="21">
        <v>43132</v>
      </c>
      <c r="E30" s="47">
        <v>0.88541666666666663</v>
      </c>
      <c r="F30" s="20">
        <v>4.0000000000000001E-3</v>
      </c>
      <c r="G30" s="13">
        <v>2320</v>
      </c>
      <c r="H30" s="21">
        <v>43132</v>
      </c>
      <c r="I30" s="33">
        <v>0.92291666666666661</v>
      </c>
      <c r="J30" s="16">
        <v>-1760</v>
      </c>
      <c r="K30" t="s">
        <v>177</v>
      </c>
    </row>
    <row r="31" spans="1:12" x14ac:dyDescent="0.25">
      <c r="A31" s="13" t="s">
        <v>168</v>
      </c>
      <c r="B31" s="13">
        <v>1</v>
      </c>
      <c r="C31" s="13">
        <v>4287</v>
      </c>
      <c r="D31" s="21">
        <v>43131</v>
      </c>
      <c r="E31" s="33">
        <v>0.62083333333333335</v>
      </c>
      <c r="F31" s="20">
        <v>1.4999999999999999E-2</v>
      </c>
      <c r="G31" s="13">
        <v>4281.2</v>
      </c>
      <c r="H31" s="21">
        <v>43132</v>
      </c>
      <c r="I31" s="33">
        <v>0.44444444444444442</v>
      </c>
      <c r="J31" s="16">
        <v>-1740.0000000000546</v>
      </c>
      <c r="K31" t="s">
        <v>179</v>
      </c>
    </row>
    <row r="32" spans="1:12" x14ac:dyDescent="0.25">
      <c r="A32" s="13" t="s">
        <v>171</v>
      </c>
      <c r="B32" s="13">
        <v>-1</v>
      </c>
      <c r="C32" s="13">
        <v>91.71</v>
      </c>
      <c r="D32" s="21">
        <v>43125</v>
      </c>
      <c r="E32" s="33">
        <v>0.40763888888888888</v>
      </c>
      <c r="F32" s="20">
        <v>1.7999999999999999E-2</v>
      </c>
      <c r="G32" s="13">
        <v>91.875</v>
      </c>
      <c r="H32" s="21">
        <v>43126</v>
      </c>
      <c r="I32" s="33">
        <v>0.42222222222222222</v>
      </c>
      <c r="J32" s="16">
        <v>-1650.0000000000625</v>
      </c>
      <c r="K32" t="s">
        <v>180</v>
      </c>
    </row>
    <row r="33" spans="1:11" x14ac:dyDescent="0.25">
      <c r="A33" s="13" t="s">
        <v>171</v>
      </c>
      <c r="B33" s="13">
        <v>-1</v>
      </c>
      <c r="C33" s="13">
        <v>91.8</v>
      </c>
      <c r="D33" s="21">
        <v>43130</v>
      </c>
      <c r="E33" s="33">
        <v>0.58750000000000002</v>
      </c>
      <c r="F33" s="20">
        <v>1.7999999999999999E-2</v>
      </c>
      <c r="G33" s="13">
        <v>91.965000000000003</v>
      </c>
      <c r="H33" s="21">
        <v>43131</v>
      </c>
      <c r="I33" s="33">
        <v>0.41944444444444445</v>
      </c>
      <c r="J33" s="16">
        <v>-1650.0000000000625</v>
      </c>
      <c r="K33" t="s">
        <v>180</v>
      </c>
    </row>
    <row r="34" spans="1:11" x14ac:dyDescent="0.25">
      <c r="A34" s="13" t="s">
        <v>65</v>
      </c>
      <c r="B34" s="13">
        <v>-11</v>
      </c>
      <c r="C34" s="13">
        <v>2759</v>
      </c>
      <c r="D34" s="21">
        <v>43126</v>
      </c>
      <c r="E34" s="33">
        <v>0.37986111111111115</v>
      </c>
      <c r="F34" s="20">
        <v>4.6666666666666662E-3</v>
      </c>
      <c r="G34" s="13">
        <v>2773</v>
      </c>
      <c r="H34" s="21">
        <v>43129</v>
      </c>
      <c r="I34" s="33">
        <v>0.40833333333333338</v>
      </c>
      <c r="J34" s="16">
        <v>-1540</v>
      </c>
      <c r="K34" t="s">
        <v>177</v>
      </c>
    </row>
    <row r="35" spans="1:11" x14ac:dyDescent="0.25">
      <c r="A35" s="13" t="s">
        <v>65</v>
      </c>
      <c r="B35" s="13">
        <v>17</v>
      </c>
      <c r="C35" s="13">
        <v>2804</v>
      </c>
      <c r="D35" s="21">
        <v>43129</v>
      </c>
      <c r="E35" s="33">
        <v>0.46458333333333335</v>
      </c>
      <c r="F35" s="20">
        <v>7.3333333333333341E-3</v>
      </c>
      <c r="G35" s="13">
        <v>2795</v>
      </c>
      <c r="H35" s="21">
        <v>43130</v>
      </c>
      <c r="I35" s="33">
        <v>0.38194444444444442</v>
      </c>
      <c r="J35" s="16">
        <v>-1530</v>
      </c>
      <c r="K35" t="s">
        <v>177</v>
      </c>
    </row>
    <row r="36" spans="1:11" x14ac:dyDescent="0.25">
      <c r="A36" s="13" t="s">
        <v>59</v>
      </c>
      <c r="B36" s="13">
        <v>8</v>
      </c>
      <c r="C36" s="13">
        <v>102860</v>
      </c>
      <c r="D36" s="21">
        <v>43132</v>
      </c>
      <c r="E36" s="47">
        <v>0.88541666666666663</v>
      </c>
      <c r="F36" s="20">
        <v>1.3000000000000001E-2</v>
      </c>
      <c r="G36" s="13">
        <v>102690</v>
      </c>
      <c r="H36" s="21">
        <v>43132</v>
      </c>
      <c r="I36" s="33">
        <v>0.92291666666666661</v>
      </c>
      <c r="J36" s="16">
        <v>-1360</v>
      </c>
      <c r="K36" t="s">
        <v>174</v>
      </c>
    </row>
    <row r="37" spans="1:11" x14ac:dyDescent="0.25">
      <c r="A37" s="13" t="s">
        <v>172</v>
      </c>
      <c r="B37" s="13">
        <v>-1</v>
      </c>
      <c r="C37" s="13">
        <v>95.83</v>
      </c>
      <c r="D37" s="21">
        <v>43125</v>
      </c>
      <c r="E37" s="33">
        <v>0.47152777777777777</v>
      </c>
      <c r="F37" s="20">
        <v>0.02</v>
      </c>
      <c r="G37" s="13">
        <v>95.965000000000003</v>
      </c>
      <c r="H37" s="21">
        <v>43126</v>
      </c>
      <c r="I37" s="33">
        <v>0.40277777777777773</v>
      </c>
      <c r="J37" s="16">
        <v>-1350.0000000000512</v>
      </c>
      <c r="K37" t="s">
        <v>180</v>
      </c>
    </row>
    <row r="38" spans="1:11" x14ac:dyDescent="0.25">
      <c r="A38" s="13" t="s">
        <v>171</v>
      </c>
      <c r="B38" s="13">
        <v>-1</v>
      </c>
      <c r="C38" s="13">
        <v>91.825000000000003</v>
      </c>
      <c r="D38" s="21">
        <v>43129</v>
      </c>
      <c r="E38" s="33">
        <v>0.46458333333333335</v>
      </c>
      <c r="F38" s="20">
        <v>1.7999999999999999E-2</v>
      </c>
      <c r="G38" s="13">
        <v>91.954999999999998</v>
      </c>
      <c r="H38" s="21">
        <v>43129</v>
      </c>
      <c r="I38" s="33">
        <v>0.56736111111111109</v>
      </c>
      <c r="J38" s="16">
        <v>-1299.9999999999545</v>
      </c>
      <c r="K38" t="s">
        <v>180</v>
      </c>
    </row>
    <row r="39" spans="1:11" x14ac:dyDescent="0.25">
      <c r="A39" s="13" t="s">
        <v>57</v>
      </c>
      <c r="B39" s="13">
        <v>20</v>
      </c>
      <c r="C39" s="13">
        <v>2342</v>
      </c>
      <c r="D39" s="21">
        <v>43130</v>
      </c>
      <c r="E39" s="33">
        <v>0.88750000000000007</v>
      </c>
      <c r="F39" s="20">
        <v>7.0000000000000001E-3</v>
      </c>
      <c r="G39" s="13">
        <v>2336</v>
      </c>
      <c r="H39" s="21">
        <v>43131</v>
      </c>
      <c r="I39" s="33">
        <v>0.88194444444444453</v>
      </c>
      <c r="J39" s="16">
        <v>-1200</v>
      </c>
      <c r="K39" t="s">
        <v>177</v>
      </c>
    </row>
    <row r="40" spans="1:11" x14ac:dyDescent="0.25">
      <c r="A40" s="1" t="s">
        <v>162</v>
      </c>
      <c r="B40" s="1">
        <v>10</v>
      </c>
      <c r="C40" s="1">
        <v>5688</v>
      </c>
      <c r="D40" s="2">
        <v>43133</v>
      </c>
      <c r="E40" s="26">
        <v>0.56597222222222221</v>
      </c>
      <c r="F40" s="17">
        <v>4.6666666666666662E-3</v>
      </c>
      <c r="G40" s="1">
        <v>5664</v>
      </c>
      <c r="H40" s="2">
        <v>43133</v>
      </c>
      <c r="I40" s="26">
        <v>0.62152777777777779</v>
      </c>
      <c r="J40" s="16">
        <v>-1200</v>
      </c>
      <c r="K40" t="s">
        <v>176</v>
      </c>
    </row>
    <row r="41" spans="1:11" x14ac:dyDescent="0.25">
      <c r="A41" s="13" t="s">
        <v>63</v>
      </c>
      <c r="B41" s="13">
        <v>4</v>
      </c>
      <c r="C41" s="13">
        <v>2896</v>
      </c>
      <c r="D41" s="21">
        <v>43131</v>
      </c>
      <c r="E41" s="33">
        <v>0.62083333333333335</v>
      </c>
      <c r="F41" s="20">
        <v>1.6666666666666668E-3</v>
      </c>
      <c r="G41" s="13">
        <v>2872</v>
      </c>
      <c r="H41" s="21">
        <v>43132</v>
      </c>
      <c r="I41" s="33">
        <v>0.46180555555555558</v>
      </c>
      <c r="J41" s="16">
        <v>-960</v>
      </c>
      <c r="K41" t="s">
        <v>176</v>
      </c>
    </row>
    <row r="42" spans="1:11" x14ac:dyDescent="0.25">
      <c r="A42" s="13" t="s">
        <v>62</v>
      </c>
      <c r="B42" s="13">
        <v>-1</v>
      </c>
      <c r="C42" s="13">
        <v>275.8</v>
      </c>
      <c r="D42" s="21">
        <v>43132</v>
      </c>
      <c r="E42" s="47">
        <v>0.88541666666666663</v>
      </c>
      <c r="F42" s="20">
        <v>5.6666666666666671E-3</v>
      </c>
      <c r="G42" s="13">
        <v>276.7</v>
      </c>
      <c r="H42" s="21">
        <v>43133</v>
      </c>
      <c r="I42" s="33">
        <v>0.375</v>
      </c>
      <c r="J42" s="16">
        <v>-899.99999999997726</v>
      </c>
      <c r="K42" t="s">
        <v>175</v>
      </c>
    </row>
    <row r="43" spans="1:11" x14ac:dyDescent="0.25">
      <c r="A43" s="13" t="s">
        <v>53</v>
      </c>
      <c r="B43" s="13">
        <v>17</v>
      </c>
      <c r="C43" s="13">
        <v>3937</v>
      </c>
      <c r="D43" s="21">
        <v>43131</v>
      </c>
      <c r="E43" s="33">
        <v>0.92152777777777783</v>
      </c>
      <c r="F43" s="20">
        <v>1.0500000000000001E-2</v>
      </c>
      <c r="G43" s="13">
        <v>3932</v>
      </c>
      <c r="H43" s="21">
        <v>43132</v>
      </c>
      <c r="I43" s="47">
        <v>0.88541666666666663</v>
      </c>
      <c r="J43" s="16">
        <v>-850</v>
      </c>
      <c r="K43" t="s">
        <v>178</v>
      </c>
    </row>
    <row r="44" spans="1:11" x14ac:dyDescent="0.25">
      <c r="A44" s="13" t="s">
        <v>65</v>
      </c>
      <c r="B44" s="13">
        <v>27</v>
      </c>
      <c r="C44" s="13">
        <v>2807</v>
      </c>
      <c r="D44" s="21">
        <v>43130</v>
      </c>
      <c r="E44" s="33">
        <v>0.88750000000000007</v>
      </c>
      <c r="F44" s="20">
        <v>1.15E-2</v>
      </c>
      <c r="G44" s="13">
        <v>2804</v>
      </c>
      <c r="H44" s="21">
        <v>43131</v>
      </c>
      <c r="I44" s="33">
        <v>0.88194444444444453</v>
      </c>
      <c r="J44" s="16">
        <v>-810</v>
      </c>
      <c r="K44" t="s">
        <v>177</v>
      </c>
    </row>
    <row r="45" spans="1:11" x14ac:dyDescent="0.25">
      <c r="A45" s="13" t="s">
        <v>97</v>
      </c>
      <c r="B45" s="13">
        <v>1</v>
      </c>
      <c r="C45" s="13">
        <v>3197.4</v>
      </c>
      <c r="D45" s="21">
        <v>43126</v>
      </c>
      <c r="E45" s="33">
        <v>0.46249999999999997</v>
      </c>
      <c r="F45" s="20">
        <v>1.4E-2</v>
      </c>
      <c r="G45" s="13">
        <v>3195</v>
      </c>
      <c r="H45" s="21">
        <v>43129</v>
      </c>
      <c r="I45" s="33">
        <v>0.46458333333333335</v>
      </c>
      <c r="J45" s="16">
        <v>-720.00000000002728</v>
      </c>
      <c r="K45" t="s">
        <v>179</v>
      </c>
    </row>
    <row r="46" spans="1:11" x14ac:dyDescent="0.25">
      <c r="A46" s="13" t="s">
        <v>61</v>
      </c>
      <c r="B46" s="13">
        <v>12</v>
      </c>
      <c r="C46" s="13">
        <v>6660</v>
      </c>
      <c r="D46" s="21">
        <v>43129</v>
      </c>
      <c r="E46" s="33">
        <v>0.56736111111111109</v>
      </c>
      <c r="F46" s="20">
        <v>6.000000000000001E-3</v>
      </c>
      <c r="G46" s="13">
        <v>6648</v>
      </c>
      <c r="H46" s="21">
        <v>43129</v>
      </c>
      <c r="I46" s="33">
        <v>0.58958333333333335</v>
      </c>
      <c r="J46" s="16">
        <v>-720</v>
      </c>
      <c r="K46" t="s">
        <v>178</v>
      </c>
    </row>
    <row r="47" spans="1:11" x14ac:dyDescent="0.25">
      <c r="A47" s="13" t="s">
        <v>54</v>
      </c>
      <c r="B47" s="13">
        <v>-2</v>
      </c>
      <c r="C47" s="13">
        <v>53420</v>
      </c>
      <c r="D47" s="21">
        <v>43130</v>
      </c>
      <c r="E47" s="33">
        <v>0.38194444444444442</v>
      </c>
      <c r="F47" s="20">
        <v>7.4999999999999997E-3</v>
      </c>
      <c r="G47" s="13">
        <v>53490</v>
      </c>
      <c r="H47" s="21">
        <v>43130</v>
      </c>
      <c r="I47" s="33">
        <v>0.40277777777777773</v>
      </c>
      <c r="J47" s="16">
        <v>-700</v>
      </c>
      <c r="K47" t="s">
        <v>174</v>
      </c>
    </row>
    <row r="48" spans="1:11" x14ac:dyDescent="0.25">
      <c r="A48" s="1" t="s">
        <v>61</v>
      </c>
      <c r="B48" s="1">
        <v>13</v>
      </c>
      <c r="C48" s="1">
        <v>6670</v>
      </c>
      <c r="D48" s="2">
        <v>43133</v>
      </c>
      <c r="E48" s="26">
        <v>0.44444444444444442</v>
      </c>
      <c r="F48" s="17">
        <v>6.9999999999999993E-3</v>
      </c>
      <c r="G48" s="1">
        <v>6662</v>
      </c>
      <c r="H48" s="2">
        <v>43133</v>
      </c>
      <c r="I48" s="26">
        <v>0.46458333333333335</v>
      </c>
      <c r="J48" s="16">
        <v>-520</v>
      </c>
      <c r="K48" t="s">
        <v>178</v>
      </c>
    </row>
    <row r="49" spans="1:11" x14ac:dyDescent="0.25">
      <c r="A49" s="13" t="s">
        <v>58</v>
      </c>
      <c r="B49" s="13">
        <v>-10</v>
      </c>
      <c r="C49" s="13">
        <v>2088</v>
      </c>
      <c r="D49" s="21">
        <v>43130</v>
      </c>
      <c r="E49" s="33">
        <v>0.58750000000000002</v>
      </c>
      <c r="F49" s="20">
        <v>3.3333333333333335E-3</v>
      </c>
      <c r="G49" s="13">
        <v>2093</v>
      </c>
      <c r="H49" s="21">
        <v>43131</v>
      </c>
      <c r="I49" s="33">
        <v>0.40277777777777773</v>
      </c>
      <c r="J49" s="16">
        <v>-500</v>
      </c>
      <c r="K49" t="s">
        <v>177</v>
      </c>
    </row>
    <row r="50" spans="1:11" x14ac:dyDescent="0.25">
      <c r="A50" s="1" t="s">
        <v>56</v>
      </c>
      <c r="B50" s="1">
        <v>10</v>
      </c>
      <c r="C50" s="1">
        <v>5694</v>
      </c>
      <c r="D50" s="2">
        <v>43133</v>
      </c>
      <c r="E50" s="26">
        <v>0.3833333333333333</v>
      </c>
      <c r="F50" s="17">
        <v>4.333333333333334E-3</v>
      </c>
      <c r="G50" s="1">
        <v>5684</v>
      </c>
      <c r="H50" s="2">
        <v>43133</v>
      </c>
      <c r="I50" s="26">
        <v>0.39861111111111108</v>
      </c>
      <c r="J50" s="16">
        <v>-500</v>
      </c>
      <c r="K50" t="s">
        <v>176</v>
      </c>
    </row>
    <row r="51" spans="1:11" x14ac:dyDescent="0.25">
      <c r="A51" s="13" t="s">
        <v>90</v>
      </c>
      <c r="B51" s="13">
        <v>-6</v>
      </c>
      <c r="C51" s="13">
        <v>5186</v>
      </c>
      <c r="D51" s="21">
        <v>43130</v>
      </c>
      <c r="E51" s="33">
        <v>0.46875</v>
      </c>
      <c r="F51" s="20">
        <v>4.6666666666666662E-3</v>
      </c>
      <c r="G51" s="13">
        <v>5194</v>
      </c>
      <c r="H51" s="21">
        <v>43131</v>
      </c>
      <c r="I51" s="33">
        <v>0.40277777777777773</v>
      </c>
      <c r="J51" s="16">
        <v>-480</v>
      </c>
      <c r="K51" t="s">
        <v>177</v>
      </c>
    </row>
    <row r="52" spans="1:11" x14ac:dyDescent="0.25">
      <c r="A52" s="13" t="s">
        <v>64</v>
      </c>
      <c r="B52" s="13">
        <v>-9</v>
      </c>
      <c r="C52" s="13">
        <v>2783</v>
      </c>
      <c r="D52" s="21">
        <v>43132</v>
      </c>
      <c r="E52" s="33">
        <v>0.4375</v>
      </c>
      <c r="F52" s="20">
        <v>4.0000000000000001E-3</v>
      </c>
      <c r="G52" s="13">
        <v>2788</v>
      </c>
      <c r="H52" s="21">
        <v>43133</v>
      </c>
      <c r="I52" s="33">
        <v>0.3833333333333333</v>
      </c>
      <c r="J52" s="16">
        <v>-450</v>
      </c>
      <c r="K52" t="s">
        <v>176</v>
      </c>
    </row>
    <row r="53" spans="1:11" x14ac:dyDescent="0.25">
      <c r="A53" s="13" t="s">
        <v>63</v>
      </c>
      <c r="B53" s="13">
        <v>9</v>
      </c>
      <c r="C53" s="13">
        <v>2918</v>
      </c>
      <c r="D53" s="21">
        <v>43126</v>
      </c>
      <c r="E53" s="33">
        <v>0.88958333333333339</v>
      </c>
      <c r="F53" s="20">
        <v>3.666666666666667E-3</v>
      </c>
      <c r="G53" s="13">
        <v>2914</v>
      </c>
      <c r="H53" s="21">
        <v>43129</v>
      </c>
      <c r="I53" s="33">
        <v>0.88194444444444453</v>
      </c>
      <c r="J53" s="16">
        <v>-360</v>
      </c>
      <c r="K53" t="s">
        <v>176</v>
      </c>
    </row>
    <row r="54" spans="1:11" x14ac:dyDescent="0.25">
      <c r="A54" s="1" t="s">
        <v>56</v>
      </c>
      <c r="B54" s="1">
        <v>10</v>
      </c>
      <c r="C54" s="1">
        <v>5696</v>
      </c>
      <c r="D54" s="2">
        <v>43133</v>
      </c>
      <c r="E54" s="26">
        <v>0.44444444444444442</v>
      </c>
      <c r="F54" s="17">
        <v>4.333333333333334E-3</v>
      </c>
      <c r="G54" s="1">
        <v>5690</v>
      </c>
      <c r="H54" s="2">
        <v>43133</v>
      </c>
      <c r="I54" s="26">
        <v>0.46458333333333335</v>
      </c>
      <c r="J54" s="16">
        <v>-300</v>
      </c>
      <c r="K54" t="s">
        <v>176</v>
      </c>
    </row>
    <row r="55" spans="1:11" x14ac:dyDescent="0.25">
      <c r="A55" s="1" t="s">
        <v>61</v>
      </c>
      <c r="B55" s="1">
        <v>13</v>
      </c>
      <c r="C55" s="1">
        <v>6664</v>
      </c>
      <c r="D55" s="2">
        <v>43133</v>
      </c>
      <c r="E55" s="26">
        <v>0.3833333333333333</v>
      </c>
      <c r="F55" s="17">
        <v>6.9999999999999993E-3</v>
      </c>
      <c r="G55" s="1">
        <v>6660</v>
      </c>
      <c r="H55" s="2">
        <v>43133</v>
      </c>
      <c r="I55" s="26">
        <v>0.39861111111111108</v>
      </c>
      <c r="J55" s="16">
        <v>-260</v>
      </c>
      <c r="K55" t="s">
        <v>178</v>
      </c>
    </row>
    <row r="56" spans="1:11" x14ac:dyDescent="0.25">
      <c r="A56" s="13" t="s">
        <v>64</v>
      </c>
      <c r="B56" s="13">
        <v>-1</v>
      </c>
      <c r="C56" s="13">
        <v>2835</v>
      </c>
      <c r="D56" s="21">
        <v>43126</v>
      </c>
      <c r="E56" s="33">
        <v>0.37986111111111115</v>
      </c>
      <c r="F56" s="20">
        <v>6.6666666666666664E-4</v>
      </c>
      <c r="G56" s="13">
        <v>2843</v>
      </c>
      <c r="H56" s="21">
        <v>43126</v>
      </c>
      <c r="I56" s="33">
        <v>0.89027777777777783</v>
      </c>
      <c r="J56" s="16">
        <v>-80</v>
      </c>
      <c r="K56" t="s">
        <v>176</v>
      </c>
    </row>
    <row r="57" spans="1:11" x14ac:dyDescent="0.25">
      <c r="A57" s="13" t="s">
        <v>155</v>
      </c>
      <c r="B57" s="13">
        <v>13</v>
      </c>
      <c r="C57" s="13">
        <v>1292</v>
      </c>
      <c r="D57" s="21">
        <v>43130</v>
      </c>
      <c r="E57" s="33">
        <v>0.38194444444444442</v>
      </c>
      <c r="F57" s="20">
        <v>1.55E-2</v>
      </c>
      <c r="G57" s="13">
        <v>1292</v>
      </c>
      <c r="H57" s="21">
        <v>43130</v>
      </c>
      <c r="I57" s="33">
        <v>0.62083333333333335</v>
      </c>
      <c r="J57" s="16">
        <v>0</v>
      </c>
      <c r="K57" t="s">
        <v>178</v>
      </c>
    </row>
    <row r="58" spans="1:11" x14ac:dyDescent="0.25">
      <c r="A58" s="13" t="s">
        <v>55</v>
      </c>
      <c r="B58" s="13">
        <v>24</v>
      </c>
      <c r="C58" s="13">
        <v>668.6</v>
      </c>
      <c r="D58" s="21">
        <v>43126</v>
      </c>
      <c r="E58" s="33">
        <v>0.42222222222222222</v>
      </c>
      <c r="F58" s="20">
        <v>2.5000000000000001E-2</v>
      </c>
      <c r="G58" s="13">
        <v>668.6</v>
      </c>
      <c r="H58" s="21">
        <v>43129</v>
      </c>
      <c r="I58" s="33">
        <v>0.92361111111111116</v>
      </c>
      <c r="J58" s="16">
        <v>0</v>
      </c>
      <c r="K58" t="s">
        <v>178</v>
      </c>
    </row>
    <row r="59" spans="1:11" x14ac:dyDescent="0.25">
      <c r="A59" s="13" t="s">
        <v>58</v>
      </c>
      <c r="B59" s="13">
        <v>-11</v>
      </c>
      <c r="C59" s="13">
        <v>2089</v>
      </c>
      <c r="D59" s="21">
        <v>43125</v>
      </c>
      <c r="E59" s="33">
        <v>0.40763888888888888</v>
      </c>
      <c r="F59" s="20">
        <v>3.666666666666667E-3</v>
      </c>
      <c r="G59" s="13">
        <v>2088</v>
      </c>
      <c r="H59" s="21">
        <v>43126</v>
      </c>
      <c r="I59" s="33">
        <v>0.58819444444444446</v>
      </c>
      <c r="J59" s="16">
        <v>110</v>
      </c>
      <c r="K59" t="s">
        <v>177</v>
      </c>
    </row>
    <row r="60" spans="1:11" x14ac:dyDescent="0.25">
      <c r="A60" s="13" t="s">
        <v>61</v>
      </c>
      <c r="B60" s="13">
        <v>12</v>
      </c>
      <c r="C60" s="13">
        <v>6648</v>
      </c>
      <c r="D60" s="21">
        <v>43129</v>
      </c>
      <c r="E60" s="33">
        <v>0.62152777777777779</v>
      </c>
      <c r="F60" s="20">
        <v>6.000000000000001E-3</v>
      </c>
      <c r="G60" s="13">
        <v>6650</v>
      </c>
      <c r="H60" s="21">
        <v>43130</v>
      </c>
      <c r="I60" s="33">
        <v>0.37638888888888888</v>
      </c>
      <c r="J60" s="16">
        <v>120</v>
      </c>
      <c r="K60" t="s">
        <v>178</v>
      </c>
    </row>
    <row r="61" spans="1:11" x14ac:dyDescent="0.25">
      <c r="A61" s="13" t="s">
        <v>63</v>
      </c>
      <c r="B61" s="13">
        <v>1</v>
      </c>
      <c r="C61" s="13">
        <v>2890</v>
      </c>
      <c r="D61" s="21">
        <v>43132</v>
      </c>
      <c r="E61" s="33">
        <v>0.92291666666666661</v>
      </c>
      <c r="F61" s="20">
        <v>1.6666666666666668E-3</v>
      </c>
      <c r="G61" s="13">
        <v>2922</v>
      </c>
      <c r="H61" s="21">
        <v>43133</v>
      </c>
      <c r="I61" s="33">
        <v>0.375</v>
      </c>
      <c r="J61" s="16">
        <v>320</v>
      </c>
      <c r="K61" t="s">
        <v>176</v>
      </c>
    </row>
    <row r="62" spans="1:11" x14ac:dyDescent="0.25">
      <c r="A62" s="13" t="s">
        <v>64</v>
      </c>
      <c r="B62" s="13">
        <v>-2</v>
      </c>
      <c r="C62" s="13">
        <v>2823</v>
      </c>
      <c r="D62" s="21">
        <v>43129</v>
      </c>
      <c r="E62" s="33">
        <v>0.92361111111111116</v>
      </c>
      <c r="F62" s="20">
        <v>6.6666666666666664E-4</v>
      </c>
      <c r="G62" s="13">
        <v>2782</v>
      </c>
      <c r="H62" s="21">
        <v>43131</v>
      </c>
      <c r="I62" s="33">
        <v>0.88194444444444453</v>
      </c>
      <c r="J62" s="16">
        <v>820</v>
      </c>
      <c r="K62" t="s">
        <v>176</v>
      </c>
    </row>
    <row r="63" spans="1:11" x14ac:dyDescent="0.25">
      <c r="A63" s="13" t="s">
        <v>61</v>
      </c>
      <c r="B63" s="13">
        <v>14</v>
      </c>
      <c r="C63" s="13">
        <v>6638</v>
      </c>
      <c r="D63" s="21">
        <v>43132</v>
      </c>
      <c r="E63" s="33">
        <v>0.38194444444444442</v>
      </c>
      <c r="F63" s="20">
        <v>6.9999999999999993E-3</v>
      </c>
      <c r="G63" s="13">
        <v>6650</v>
      </c>
      <c r="H63" s="21">
        <v>43132</v>
      </c>
      <c r="I63" s="33">
        <v>0.44444444444444442</v>
      </c>
      <c r="J63" s="16">
        <v>840</v>
      </c>
      <c r="K63" t="s">
        <v>178</v>
      </c>
    </row>
    <row r="64" spans="1:11" x14ac:dyDescent="0.25">
      <c r="A64" s="13" t="s">
        <v>54</v>
      </c>
      <c r="B64" s="13">
        <v>-2</v>
      </c>
      <c r="C64" s="13">
        <v>53510</v>
      </c>
      <c r="D64" s="21">
        <v>43129</v>
      </c>
      <c r="E64" s="33">
        <v>0.88194444444444453</v>
      </c>
      <c r="F64" s="20">
        <v>7.4999999999999997E-3</v>
      </c>
      <c r="G64" s="13">
        <v>53420</v>
      </c>
      <c r="H64" s="21">
        <v>43129</v>
      </c>
      <c r="I64" s="33">
        <v>0.92361111111111116</v>
      </c>
      <c r="J64" s="16">
        <v>900</v>
      </c>
      <c r="K64" t="s">
        <v>174</v>
      </c>
    </row>
    <row r="65" spans="1:11" x14ac:dyDescent="0.25">
      <c r="A65" s="13" t="s">
        <v>67</v>
      </c>
      <c r="B65" s="13">
        <v>16</v>
      </c>
      <c r="C65" s="13">
        <v>3964</v>
      </c>
      <c r="D65" s="21">
        <v>43131</v>
      </c>
      <c r="E65" s="33">
        <v>0.92152777777777783</v>
      </c>
      <c r="F65" s="20">
        <v>9.6666666666666654E-3</v>
      </c>
      <c r="G65" s="13">
        <v>3970</v>
      </c>
      <c r="H65" s="21">
        <v>43132</v>
      </c>
      <c r="I65" s="47">
        <v>0.88541666666666663</v>
      </c>
      <c r="J65" s="16">
        <v>960</v>
      </c>
      <c r="K65" t="s">
        <v>178</v>
      </c>
    </row>
    <row r="66" spans="1:11" x14ac:dyDescent="0.25">
      <c r="A66" s="13" t="s">
        <v>57</v>
      </c>
      <c r="B66" s="13">
        <v>16</v>
      </c>
      <c r="C66" s="13">
        <v>2287</v>
      </c>
      <c r="D66" s="21">
        <v>43124</v>
      </c>
      <c r="E66" s="33">
        <v>0.87916666666666676</v>
      </c>
      <c r="F66" s="20">
        <v>5.6666666666666671E-3</v>
      </c>
      <c r="G66" s="13">
        <v>2295</v>
      </c>
      <c r="H66" s="21">
        <v>43126</v>
      </c>
      <c r="I66" s="33">
        <v>0.37986111111111115</v>
      </c>
      <c r="J66" s="16">
        <v>1280</v>
      </c>
      <c r="K66" t="s">
        <v>177</v>
      </c>
    </row>
    <row r="67" spans="1:11" x14ac:dyDescent="0.25">
      <c r="A67" s="13" t="s">
        <v>60</v>
      </c>
      <c r="B67" s="13">
        <v>-1</v>
      </c>
      <c r="C67" s="13">
        <v>6169.4</v>
      </c>
      <c r="D67" s="21">
        <v>43131</v>
      </c>
      <c r="E67" s="33">
        <v>0.5756944444444444</v>
      </c>
      <c r="F67" s="20">
        <v>1.7999999999999999E-2</v>
      </c>
      <c r="G67" s="13">
        <v>6160.2</v>
      </c>
      <c r="H67" s="21">
        <v>43131</v>
      </c>
      <c r="I67" s="33">
        <v>0.62083333333333335</v>
      </c>
      <c r="J67" s="16">
        <v>1839.9999999999636</v>
      </c>
      <c r="K67" t="s">
        <v>179</v>
      </c>
    </row>
    <row r="68" spans="1:11" x14ac:dyDescent="0.25">
      <c r="A68" s="13" t="s">
        <v>54</v>
      </c>
      <c r="B68" s="13">
        <v>-3</v>
      </c>
      <c r="C68" s="13">
        <v>53226.67</v>
      </c>
      <c r="D68" s="21">
        <v>43132</v>
      </c>
      <c r="E68" s="33">
        <v>0.38194444444444442</v>
      </c>
      <c r="F68" s="20">
        <v>1.0500000000000001E-2</v>
      </c>
      <c r="G68" s="13">
        <v>53090</v>
      </c>
      <c r="H68" s="21">
        <v>43133</v>
      </c>
      <c r="I68" s="33">
        <v>0.38541666666666669</v>
      </c>
      <c r="J68" s="16">
        <v>2050.0499999999738</v>
      </c>
      <c r="K68" t="s">
        <v>174</v>
      </c>
    </row>
    <row r="69" spans="1:11" x14ac:dyDescent="0.25">
      <c r="A69" s="13" t="s">
        <v>169</v>
      </c>
      <c r="B69" s="13">
        <v>-14</v>
      </c>
      <c r="C69" s="13">
        <v>14615</v>
      </c>
      <c r="D69" s="21">
        <v>43131</v>
      </c>
      <c r="E69" s="33">
        <v>0.47013888888888888</v>
      </c>
      <c r="F69" s="20">
        <v>1.6E-2</v>
      </c>
      <c r="G69" s="13">
        <v>14585</v>
      </c>
      <c r="H69" s="21">
        <v>43132</v>
      </c>
      <c r="I69" s="47">
        <v>0.88541666666666663</v>
      </c>
      <c r="J69" s="16">
        <v>2100</v>
      </c>
      <c r="K69" t="s">
        <v>174</v>
      </c>
    </row>
    <row r="70" spans="1:11" x14ac:dyDescent="0.25">
      <c r="A70" s="13" t="s">
        <v>167</v>
      </c>
      <c r="B70" s="13">
        <v>7</v>
      </c>
      <c r="C70" s="13">
        <v>2034.5</v>
      </c>
      <c r="D70" s="21">
        <v>43129</v>
      </c>
      <c r="E70" s="33">
        <v>0.40833333333333338</v>
      </c>
      <c r="F70" s="20">
        <v>2.1499999999999998E-2</v>
      </c>
      <c r="G70" s="13">
        <v>2038</v>
      </c>
      <c r="H70" s="21">
        <v>43129</v>
      </c>
      <c r="I70" s="33">
        <v>0.92361111111111116</v>
      </c>
      <c r="J70" s="16">
        <v>2450</v>
      </c>
      <c r="K70" t="s">
        <v>178</v>
      </c>
    </row>
    <row r="71" spans="1:11" x14ac:dyDescent="0.25">
      <c r="A71" s="13" t="s">
        <v>54</v>
      </c>
      <c r="B71" s="13">
        <v>-2</v>
      </c>
      <c r="C71" s="13">
        <v>53490</v>
      </c>
      <c r="D71" s="21">
        <v>43130</v>
      </c>
      <c r="E71" s="33">
        <v>0.42152777777777778</v>
      </c>
      <c r="F71" s="20">
        <v>7.4999999999999997E-3</v>
      </c>
      <c r="G71" s="13">
        <v>53140</v>
      </c>
      <c r="H71" s="21">
        <v>43131</v>
      </c>
      <c r="I71" s="33">
        <v>0.46875</v>
      </c>
      <c r="J71" s="16">
        <v>3500</v>
      </c>
      <c r="K71" t="s">
        <v>174</v>
      </c>
    </row>
    <row r="72" spans="1:11" x14ac:dyDescent="0.25">
      <c r="A72" s="13" t="s">
        <v>90</v>
      </c>
      <c r="B72" s="13">
        <v>-9</v>
      </c>
      <c r="C72" s="13">
        <v>5192</v>
      </c>
      <c r="D72" s="21">
        <v>43131</v>
      </c>
      <c r="E72" s="33">
        <v>0.62083333333333335</v>
      </c>
      <c r="F72" s="20">
        <v>7.0000000000000001E-3</v>
      </c>
      <c r="G72" s="13">
        <v>5148</v>
      </c>
      <c r="H72" s="21">
        <v>43132</v>
      </c>
      <c r="I72" s="47">
        <v>0.88541666666666663</v>
      </c>
      <c r="J72" s="16">
        <v>3960</v>
      </c>
      <c r="K72" t="s">
        <v>177</v>
      </c>
    </row>
    <row r="73" spans="1:11" x14ac:dyDescent="0.25">
      <c r="A73" s="13" t="s">
        <v>57</v>
      </c>
      <c r="B73" s="13">
        <v>22</v>
      </c>
      <c r="C73" s="13">
        <v>2305</v>
      </c>
      <c r="D73" s="21">
        <v>43129</v>
      </c>
      <c r="E73" s="33">
        <v>0.40833333333333338</v>
      </c>
      <c r="F73" s="20">
        <v>7.6666666666666662E-3</v>
      </c>
      <c r="G73" s="13">
        <v>2329</v>
      </c>
      <c r="H73" s="21">
        <v>43130</v>
      </c>
      <c r="I73" s="33">
        <v>0.38194444444444442</v>
      </c>
      <c r="J73" s="16">
        <v>5280</v>
      </c>
      <c r="K73" t="s">
        <v>177</v>
      </c>
    </row>
    <row r="74" spans="1:11" x14ac:dyDescent="0.25">
      <c r="A74" s="13" t="s">
        <v>165</v>
      </c>
      <c r="B74" s="13">
        <v>-13</v>
      </c>
      <c r="C74" s="13">
        <v>3685</v>
      </c>
      <c r="D74" s="21">
        <v>43126</v>
      </c>
      <c r="E74" s="33">
        <v>0.37986111111111115</v>
      </c>
      <c r="F74" s="20">
        <v>8.0000000000000002E-3</v>
      </c>
      <c r="G74" s="13">
        <v>3628</v>
      </c>
      <c r="H74" s="21">
        <v>43130</v>
      </c>
      <c r="I74" s="33">
        <v>0.58888888888888891</v>
      </c>
      <c r="J74" s="16">
        <v>7410</v>
      </c>
      <c r="K74" t="s">
        <v>177</v>
      </c>
    </row>
    <row r="75" spans="1:11" x14ac:dyDescent="0.25">
      <c r="A75" s="13" t="s">
        <v>169</v>
      </c>
      <c r="B75" s="13">
        <v>-10</v>
      </c>
      <c r="C75" s="13">
        <v>14845</v>
      </c>
      <c r="D75" s="21">
        <v>43129</v>
      </c>
      <c r="E75" s="33">
        <v>0.92361111111111116</v>
      </c>
      <c r="F75" s="20">
        <v>1.15E-2</v>
      </c>
      <c r="G75" s="13">
        <v>14645</v>
      </c>
      <c r="H75" s="21">
        <v>43131</v>
      </c>
      <c r="I75" s="33">
        <v>0.40972222222222227</v>
      </c>
      <c r="J75" s="16">
        <v>10000</v>
      </c>
      <c r="K75" t="s">
        <v>174</v>
      </c>
    </row>
    <row r="76" spans="1:11" x14ac:dyDescent="0.25">
      <c r="A76" s="13" t="s">
        <v>60</v>
      </c>
      <c r="B76" s="13">
        <v>1</v>
      </c>
      <c r="C76" s="13">
        <v>6316.2</v>
      </c>
      <c r="D76" s="21">
        <v>43122</v>
      </c>
      <c r="E76" s="33">
        <v>0.56944444444444442</v>
      </c>
      <c r="F76" s="20">
        <v>1.9E-2</v>
      </c>
      <c r="G76" s="13">
        <v>6367.2</v>
      </c>
      <c r="H76" s="21">
        <v>43129</v>
      </c>
      <c r="I76" s="33">
        <v>0.4375</v>
      </c>
      <c r="J76" s="13">
        <v>10200</v>
      </c>
      <c r="K76" t="s">
        <v>179</v>
      </c>
    </row>
    <row r="77" spans="1:11" x14ac:dyDescent="0.25">
      <c r="A77" s="13" t="s">
        <v>59</v>
      </c>
      <c r="B77" s="13">
        <v>13</v>
      </c>
      <c r="C77" s="13">
        <v>104300</v>
      </c>
      <c r="D77" s="21">
        <v>43126</v>
      </c>
      <c r="E77" s="33">
        <v>0.88888888888888884</v>
      </c>
      <c r="F77" s="20">
        <v>2.0499999999999997E-2</v>
      </c>
      <c r="G77" s="13">
        <v>105200</v>
      </c>
      <c r="H77" s="21">
        <v>43130</v>
      </c>
      <c r="I77" s="33">
        <v>0.38194444444444442</v>
      </c>
      <c r="J77" s="16">
        <v>11700</v>
      </c>
      <c r="K77" t="s">
        <v>174</v>
      </c>
    </row>
    <row r="78" spans="1:11" x14ac:dyDescent="0.25">
      <c r="A78" s="13" t="s">
        <v>155</v>
      </c>
      <c r="B78" s="13">
        <v>15</v>
      </c>
      <c r="C78" s="13">
        <v>1290</v>
      </c>
      <c r="D78" s="21">
        <v>43124</v>
      </c>
      <c r="E78" s="33">
        <v>0.87916666666666676</v>
      </c>
      <c r="F78" s="20">
        <v>1.7500000000000002E-2</v>
      </c>
      <c r="G78" s="13">
        <v>1306</v>
      </c>
      <c r="H78" s="21">
        <v>43126</v>
      </c>
      <c r="I78" s="33">
        <v>0.37986111111111115</v>
      </c>
      <c r="J78" s="16">
        <v>14400</v>
      </c>
      <c r="K78" t="s">
        <v>178</v>
      </c>
    </row>
    <row r="79" spans="1:11" x14ac:dyDescent="0.25">
      <c r="A79" s="13" t="s">
        <v>160</v>
      </c>
      <c r="B79" s="13">
        <v>9</v>
      </c>
      <c r="C79" s="13">
        <v>26205</v>
      </c>
      <c r="D79" s="21">
        <v>43126</v>
      </c>
      <c r="E79" s="33">
        <v>0.88958333333333339</v>
      </c>
      <c r="F79" s="20">
        <v>1.8000000000000002E-2</v>
      </c>
      <c r="G79" s="13">
        <v>26815</v>
      </c>
      <c r="H79" s="21">
        <v>43130</v>
      </c>
      <c r="I79" s="33">
        <v>0.38194444444444442</v>
      </c>
      <c r="J79" s="16">
        <v>27450</v>
      </c>
      <c r="K79" t="s">
        <v>174</v>
      </c>
    </row>
    <row r="80" spans="1:11" x14ac:dyDescent="0.25">
      <c r="A80" s="13" t="s">
        <v>59</v>
      </c>
      <c r="B80" s="13">
        <v>12</v>
      </c>
      <c r="C80" s="13">
        <v>99710</v>
      </c>
      <c r="D80" s="21">
        <v>43125</v>
      </c>
      <c r="E80" s="33">
        <v>0.87916666666666676</v>
      </c>
      <c r="F80" s="20">
        <v>1.8500000000000003E-2</v>
      </c>
      <c r="G80" s="13">
        <v>103760</v>
      </c>
      <c r="H80" s="21">
        <v>43126</v>
      </c>
      <c r="I80" s="33">
        <v>0.37986111111111115</v>
      </c>
      <c r="J80" s="16">
        <v>48600</v>
      </c>
      <c r="K80" t="s">
        <v>174</v>
      </c>
    </row>
    <row r="81" spans="1:11" x14ac:dyDescent="0.25">
      <c r="A81" s="13" t="s">
        <v>168</v>
      </c>
      <c r="B81" s="13">
        <v>1</v>
      </c>
      <c r="C81" s="13">
        <v>4106.8</v>
      </c>
      <c r="D81" s="21">
        <v>43102</v>
      </c>
      <c r="E81" s="33">
        <v>0.61875000000000002</v>
      </c>
      <c r="F81" s="20">
        <v>2.5999999999999999E-2</v>
      </c>
      <c r="G81" s="13">
        <v>4385.8</v>
      </c>
      <c r="H81" s="21">
        <v>43126</v>
      </c>
      <c r="I81" s="33">
        <v>0.40277777777777773</v>
      </c>
      <c r="J81" s="16">
        <v>83700</v>
      </c>
      <c r="K81" t="s">
        <v>179</v>
      </c>
    </row>
  </sheetData>
  <sortState ref="A2:K81">
    <sortCondition ref="J2:J81"/>
    <sortCondition ref="A2:A81"/>
    <sortCondition ref="D2:D8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8" x14ac:dyDescent="0.25"/>
  <cols>
    <col min="1" max="1" width="9" style="58" bestFit="1" customWidth="1"/>
    <col min="2" max="2" width="10.44140625" style="57" bestFit="1" customWidth="1"/>
  </cols>
  <sheetData>
    <row r="1" spans="1:2" x14ac:dyDescent="0.25">
      <c r="A1" s="58" t="s">
        <v>230</v>
      </c>
      <c r="B1" s="57" t="s">
        <v>282</v>
      </c>
    </row>
    <row r="2" spans="1:2" x14ac:dyDescent="0.25">
      <c r="A2" s="58" t="s">
        <v>231</v>
      </c>
      <c r="B2" s="57">
        <v>5</v>
      </c>
    </row>
    <row r="3" spans="1:2" x14ac:dyDescent="0.25">
      <c r="A3" s="58" t="s">
        <v>232</v>
      </c>
      <c r="B3" s="57">
        <v>5</v>
      </c>
    </row>
    <row r="4" spans="1:2" x14ac:dyDescent="0.25">
      <c r="A4" s="58" t="s">
        <v>233</v>
      </c>
      <c r="B4" s="57">
        <v>5</v>
      </c>
    </row>
    <row r="5" spans="1:2" x14ac:dyDescent="0.25">
      <c r="A5" s="58" t="s">
        <v>234</v>
      </c>
      <c r="B5" s="57">
        <v>5</v>
      </c>
    </row>
    <row r="6" spans="1:2" x14ac:dyDescent="0.25">
      <c r="A6" s="58" t="s">
        <v>235</v>
      </c>
      <c r="B6" s="57">
        <v>1</v>
      </c>
    </row>
    <row r="7" spans="1:2" x14ac:dyDescent="0.25">
      <c r="A7" s="58" t="s">
        <v>236</v>
      </c>
      <c r="B7" s="57">
        <v>1</v>
      </c>
    </row>
    <row r="8" spans="1:2" x14ac:dyDescent="0.25">
      <c r="A8" s="58" t="s">
        <v>237</v>
      </c>
      <c r="B8" s="57">
        <v>1000</v>
      </c>
    </row>
    <row r="9" spans="1:2" x14ac:dyDescent="0.25">
      <c r="A9" s="58" t="s">
        <v>238</v>
      </c>
      <c r="B9" s="57">
        <v>15</v>
      </c>
    </row>
    <row r="10" spans="1:2" x14ac:dyDescent="0.25">
      <c r="A10" s="58" t="s">
        <v>239</v>
      </c>
      <c r="B10" s="57">
        <v>10</v>
      </c>
    </row>
    <row r="11" spans="1:2" x14ac:dyDescent="0.25">
      <c r="A11" s="58" t="s">
        <v>240</v>
      </c>
      <c r="B11" s="57">
        <v>10</v>
      </c>
    </row>
    <row r="12" spans="1:2" x14ac:dyDescent="0.25">
      <c r="A12" s="58" t="s">
        <v>241</v>
      </c>
      <c r="B12" s="57">
        <v>10</v>
      </c>
    </row>
    <row r="13" spans="1:2" x14ac:dyDescent="0.25">
      <c r="A13" s="58" t="s">
        <v>242</v>
      </c>
      <c r="B13" s="57">
        <v>50</v>
      </c>
    </row>
    <row r="14" spans="1:2" x14ac:dyDescent="0.25">
      <c r="A14" s="58" t="s">
        <v>243</v>
      </c>
      <c r="B14" s="57">
        <v>10</v>
      </c>
    </row>
    <row r="15" spans="1:2" x14ac:dyDescent="0.25">
      <c r="A15" s="58" t="s">
        <v>244</v>
      </c>
      <c r="B15" s="57">
        <v>10</v>
      </c>
    </row>
    <row r="16" spans="1:2" x14ac:dyDescent="0.25">
      <c r="A16" s="58" t="s">
        <v>245</v>
      </c>
      <c r="B16" s="57">
        <v>20</v>
      </c>
    </row>
    <row r="17" spans="1:2" x14ac:dyDescent="0.25">
      <c r="A17" s="58" t="s">
        <v>246</v>
      </c>
      <c r="B17" s="57">
        <v>50</v>
      </c>
    </row>
    <row r="18" spans="1:2" x14ac:dyDescent="0.25">
      <c r="A18" s="58" t="s">
        <v>247</v>
      </c>
      <c r="B18" s="57">
        <v>5</v>
      </c>
    </row>
    <row r="19" spans="1:2" x14ac:dyDescent="0.25">
      <c r="A19" s="58" t="s">
        <v>248</v>
      </c>
      <c r="B19" s="57">
        <v>10</v>
      </c>
    </row>
    <row r="20" spans="1:2" x14ac:dyDescent="0.25">
      <c r="A20" s="58" t="s">
        <v>249</v>
      </c>
      <c r="B20" s="57">
        <v>10</v>
      </c>
    </row>
    <row r="21" spans="1:2" x14ac:dyDescent="0.25">
      <c r="A21" s="58" t="s">
        <v>250</v>
      </c>
      <c r="B21" s="57">
        <v>20</v>
      </c>
    </row>
    <row r="22" spans="1:2" x14ac:dyDescent="0.25">
      <c r="A22" s="58" t="s">
        <v>251</v>
      </c>
      <c r="B22" s="57">
        <v>10</v>
      </c>
    </row>
    <row r="23" spans="1:2" x14ac:dyDescent="0.25">
      <c r="A23" s="58" t="s">
        <v>252</v>
      </c>
      <c r="B23" s="57">
        <v>10</v>
      </c>
    </row>
    <row r="24" spans="1:2" x14ac:dyDescent="0.25">
      <c r="A24" s="58" t="s">
        <v>253</v>
      </c>
      <c r="B24" s="57">
        <v>20</v>
      </c>
    </row>
    <row r="25" spans="1:2" x14ac:dyDescent="0.25">
      <c r="A25" s="58" t="s">
        <v>254</v>
      </c>
      <c r="B25" s="57">
        <v>20</v>
      </c>
    </row>
    <row r="26" spans="1:2" x14ac:dyDescent="0.25">
      <c r="A26" s="58" t="s">
        <v>255</v>
      </c>
      <c r="B26" s="57">
        <v>5</v>
      </c>
    </row>
    <row r="27" spans="1:2" x14ac:dyDescent="0.25">
      <c r="A27" s="58" t="s">
        <v>256</v>
      </c>
      <c r="B27" s="57">
        <v>5</v>
      </c>
    </row>
    <row r="28" spans="1:2" x14ac:dyDescent="0.25">
      <c r="A28" s="58" t="s">
        <v>257</v>
      </c>
      <c r="B28" s="57">
        <v>10</v>
      </c>
    </row>
    <row r="29" spans="1:2" x14ac:dyDescent="0.25">
      <c r="A29" s="58" t="s">
        <v>258</v>
      </c>
      <c r="B29" s="57">
        <v>20</v>
      </c>
    </row>
    <row r="30" spans="1:2" x14ac:dyDescent="0.25">
      <c r="A30" s="58" t="s">
        <v>259</v>
      </c>
      <c r="B30" s="57">
        <v>100</v>
      </c>
    </row>
    <row r="31" spans="1:2" x14ac:dyDescent="0.25">
      <c r="A31" s="58" t="s">
        <v>260</v>
      </c>
      <c r="B31" s="57">
        <v>5</v>
      </c>
    </row>
    <row r="32" spans="1:2" x14ac:dyDescent="0.25">
      <c r="A32" s="58" t="s">
        <v>261</v>
      </c>
      <c r="B32" s="57">
        <v>5</v>
      </c>
    </row>
    <row r="33" spans="1:2" x14ac:dyDescent="0.25">
      <c r="A33" s="58" t="s">
        <v>262</v>
      </c>
      <c r="B33" s="57">
        <v>10</v>
      </c>
    </row>
    <row r="34" spans="1:2" x14ac:dyDescent="0.25">
      <c r="A34" s="58" t="s">
        <v>263</v>
      </c>
      <c r="B34" s="57">
        <v>10</v>
      </c>
    </row>
    <row r="35" spans="1:2" x14ac:dyDescent="0.25">
      <c r="A35" s="58" t="s">
        <v>264</v>
      </c>
      <c r="B35" s="57">
        <v>10</v>
      </c>
    </row>
    <row r="36" spans="1:2" x14ac:dyDescent="0.25">
      <c r="A36" s="58" t="s">
        <v>265</v>
      </c>
      <c r="B36" s="57">
        <v>10</v>
      </c>
    </row>
    <row r="37" spans="1:2" x14ac:dyDescent="0.25">
      <c r="A37" s="58" t="s">
        <v>226</v>
      </c>
      <c r="B37" s="57">
        <v>10</v>
      </c>
    </row>
    <row r="38" spans="1:2" x14ac:dyDescent="0.25">
      <c r="A38" s="58" t="s">
        <v>266</v>
      </c>
      <c r="B38" s="57">
        <v>10</v>
      </c>
    </row>
    <row r="39" spans="1:2" x14ac:dyDescent="0.25">
      <c r="A39" s="58" t="s">
        <v>267</v>
      </c>
      <c r="B39" s="57">
        <v>10</v>
      </c>
    </row>
    <row r="40" spans="1:2" x14ac:dyDescent="0.25">
      <c r="A40" s="58" t="s">
        <v>268</v>
      </c>
      <c r="B40" s="57">
        <v>500</v>
      </c>
    </row>
    <row r="41" spans="1:2" x14ac:dyDescent="0.25">
      <c r="A41" s="58" t="s">
        <v>269</v>
      </c>
      <c r="B41" s="57">
        <v>500</v>
      </c>
    </row>
    <row r="42" spans="1:2" x14ac:dyDescent="0.25">
      <c r="A42" s="58" t="s">
        <v>270</v>
      </c>
      <c r="B42" s="57">
        <v>5</v>
      </c>
    </row>
    <row r="43" spans="1:2" x14ac:dyDescent="0.25">
      <c r="A43" s="58" t="s">
        <v>271</v>
      </c>
      <c r="B43" s="57">
        <v>5</v>
      </c>
    </row>
    <row r="44" spans="1:2" x14ac:dyDescent="0.25">
      <c r="A44" s="58" t="s">
        <v>272</v>
      </c>
      <c r="B44" s="57">
        <v>5</v>
      </c>
    </row>
    <row r="45" spans="1:2" x14ac:dyDescent="0.25">
      <c r="A45" s="58" t="s">
        <v>273</v>
      </c>
      <c r="B45" s="57">
        <v>5</v>
      </c>
    </row>
    <row r="46" spans="1:2" x14ac:dyDescent="0.25">
      <c r="A46" s="58" t="s">
        <v>274</v>
      </c>
      <c r="B46" s="57">
        <v>100</v>
      </c>
    </row>
    <row r="47" spans="1:2" x14ac:dyDescent="0.25">
      <c r="A47" s="58" t="s">
        <v>275</v>
      </c>
      <c r="B47" s="57">
        <v>60</v>
      </c>
    </row>
    <row r="48" spans="1:2" x14ac:dyDescent="0.25">
      <c r="A48" s="58" t="s">
        <v>276</v>
      </c>
      <c r="B48" s="57">
        <v>100</v>
      </c>
    </row>
    <row r="49" spans="1:2" x14ac:dyDescent="0.25">
      <c r="A49" s="58" t="s">
        <v>277</v>
      </c>
      <c r="B49" s="57">
        <v>300</v>
      </c>
    </row>
    <row r="50" spans="1:2" x14ac:dyDescent="0.25">
      <c r="A50" s="58" t="s">
        <v>278</v>
      </c>
      <c r="B50" s="57">
        <v>200</v>
      </c>
    </row>
    <row r="51" spans="1:2" x14ac:dyDescent="0.25">
      <c r="A51" s="58" t="s">
        <v>279</v>
      </c>
      <c r="B51" s="57">
        <v>300</v>
      </c>
    </row>
    <row r="52" spans="1:2" x14ac:dyDescent="0.25">
      <c r="A52" s="58" t="s">
        <v>280</v>
      </c>
      <c r="B52" s="57">
        <v>10000</v>
      </c>
    </row>
    <row r="53" spans="1:2" x14ac:dyDescent="0.25">
      <c r="A53" s="58" t="s">
        <v>281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2018-02-08T14:04:54Z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