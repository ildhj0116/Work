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6" i="2" l="1"/>
  <c r="C85" i="2" l="1"/>
  <c r="I371" i="1"/>
  <c r="C84" i="2" l="1"/>
  <c r="C83" i="2" l="1"/>
  <c r="C82" i="2" l="1"/>
  <c r="C81" i="2" l="1"/>
  <c r="C80" i="2" l="1"/>
  <c r="C79" i="2" l="1"/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10" i="1"/>
  <c r="S309" i="1"/>
  <c r="S308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25" i="1"/>
  <c r="S28" i="1"/>
  <c r="S29" i="1"/>
  <c r="S30" i="1"/>
  <c r="S31" i="1"/>
  <c r="S32" i="1"/>
  <c r="S34" i="1"/>
  <c r="M301" i="1"/>
  <c r="M305" i="1"/>
  <c r="M371" i="1"/>
  <c r="M372" i="1"/>
  <c r="M373" i="1"/>
  <c r="M374" i="1"/>
  <c r="I215" i="1"/>
  <c r="S305" i="1"/>
  <c r="S374" i="1"/>
  <c r="S373" i="1"/>
  <c r="S353" i="1"/>
  <c r="S350" i="1"/>
  <c r="S359" i="1"/>
  <c r="S348" i="1"/>
  <c r="S340" i="1"/>
  <c r="S343" i="1"/>
  <c r="S312" i="1"/>
  <c r="S307" i="1"/>
  <c r="S344" i="1"/>
  <c r="S360" i="1"/>
  <c r="S322" i="1"/>
  <c r="S339" i="1"/>
  <c r="S334" i="1"/>
  <c r="S371" i="1"/>
  <c r="S320" i="1"/>
  <c r="S325" i="1"/>
  <c r="S355" i="1"/>
  <c r="S333" i="1"/>
  <c r="S349" i="1"/>
  <c r="S329" i="1"/>
  <c r="S311" i="1"/>
  <c r="S368" i="1"/>
  <c r="S369" i="1"/>
  <c r="S336" i="1"/>
  <c r="S357" i="1"/>
  <c r="S338" i="1"/>
  <c r="S346" i="1"/>
  <c r="S366" i="1"/>
  <c r="S363" i="1"/>
  <c r="S323" i="1"/>
  <c r="S327" i="1"/>
  <c r="S315" i="1"/>
  <c r="S335" i="1"/>
  <c r="S313" i="1"/>
  <c r="S362" i="1"/>
  <c r="S330" i="1"/>
  <c r="S356" i="1"/>
  <c r="S328" i="1"/>
  <c r="S352" i="1"/>
  <c r="S364" i="1"/>
  <c r="S361" i="1"/>
  <c r="S367" i="1"/>
  <c r="S341" i="1"/>
  <c r="S372" i="1"/>
  <c r="S342" i="1"/>
  <c r="S314" i="1"/>
  <c r="S318" i="1"/>
  <c r="S358" i="1"/>
  <c r="S331" i="1"/>
  <c r="S347" i="1"/>
  <c r="S351" i="1"/>
  <c r="S317" i="1"/>
  <c r="S326" i="1"/>
  <c r="S324" i="1"/>
  <c r="S316" i="1"/>
  <c r="S365" i="1"/>
  <c r="S370" i="1"/>
  <c r="S321" i="1"/>
  <c r="S319" i="1"/>
  <c r="S332" i="1"/>
  <c r="S354" i="1"/>
  <c r="S337" i="1"/>
  <c r="S345" i="1"/>
  <c r="T374" i="1" l="1"/>
  <c r="T373" i="1"/>
  <c r="M351" i="1"/>
  <c r="M370" i="1"/>
  <c r="M366" i="1"/>
  <c r="M365" i="1"/>
  <c r="M364" i="1"/>
  <c r="M367" i="1"/>
  <c r="M369" i="1"/>
  <c r="M363" i="1"/>
  <c r="M357" i="1"/>
  <c r="M359" i="1"/>
  <c r="M368" i="1"/>
  <c r="M358" i="1"/>
  <c r="M362" i="1"/>
  <c r="M360" i="1"/>
  <c r="M361" i="1"/>
  <c r="M353" i="1"/>
  <c r="M356" i="1"/>
  <c r="M350" i="1"/>
  <c r="M354" i="1"/>
  <c r="M355" i="1"/>
  <c r="M347" i="1"/>
  <c r="M338" i="1"/>
  <c r="M345" i="1"/>
  <c r="M348" i="1"/>
  <c r="M349" i="1"/>
  <c r="M344" i="1"/>
  <c r="M337" i="1"/>
  <c r="M334" i="1"/>
  <c r="M335" i="1"/>
  <c r="M352" i="1"/>
  <c r="M343" i="1"/>
  <c r="M340" i="1"/>
  <c r="M333" i="1"/>
  <c r="M346" i="1"/>
  <c r="M342" i="1"/>
  <c r="M339" i="1"/>
  <c r="M341" i="1"/>
  <c r="M331" i="1"/>
  <c r="M330" i="1"/>
  <c r="M332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12" i="1"/>
  <c r="T313" i="1" s="1"/>
  <c r="T314" i="1" s="1"/>
  <c r="T315" i="1" s="1"/>
  <c r="T301" i="1"/>
  <c r="T364" i="1"/>
  <c r="T365" i="1" s="1"/>
  <c r="T366" i="1" s="1"/>
  <c r="T367" i="1" s="1"/>
  <c r="T368" i="1" s="1"/>
  <c r="T369" i="1" s="1"/>
  <c r="T370" i="1" s="1"/>
  <c r="T371" i="1" s="1"/>
  <c r="T372" i="1" s="1"/>
  <c r="T332" i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U361" i="1" s="1"/>
  <c r="I362" i="1"/>
  <c r="U362" i="1" s="1"/>
  <c r="I363" i="1"/>
  <c r="I364" i="1"/>
  <c r="I365" i="1"/>
  <c r="I366" i="1"/>
  <c r="I367" i="1"/>
  <c r="I368" i="1"/>
  <c r="I369" i="1"/>
  <c r="I370" i="1"/>
  <c r="I372" i="1"/>
  <c r="I373" i="1"/>
  <c r="I374" i="1"/>
  <c r="I210" i="1"/>
  <c r="S146" i="1"/>
  <c r="S90" i="1"/>
  <c r="S8" i="1"/>
  <c r="S92" i="1"/>
  <c r="S280" i="1"/>
  <c r="S36" i="1"/>
  <c r="S13" i="1"/>
  <c r="S279" i="1"/>
  <c r="S99" i="1"/>
  <c r="S276" i="1"/>
  <c r="S33" i="1"/>
  <c r="S35" i="1"/>
  <c r="S53" i="1"/>
  <c r="S287" i="1"/>
  <c r="S158" i="1"/>
  <c r="S97" i="1"/>
  <c r="S191" i="1"/>
  <c r="S262" i="1"/>
  <c r="S258" i="1"/>
  <c r="S83" i="1"/>
  <c r="S252" i="1"/>
  <c r="S130" i="1"/>
  <c r="S157" i="1"/>
  <c r="S151" i="1"/>
  <c r="S60" i="1"/>
  <c r="S297" i="1"/>
  <c r="S89" i="1"/>
  <c r="S183" i="1"/>
  <c r="S224" i="1"/>
  <c r="S272" i="1"/>
  <c r="S63" i="1"/>
  <c r="S166" i="1"/>
  <c r="S133" i="1"/>
  <c r="S264" i="1"/>
  <c r="S148" i="1"/>
  <c r="S187" i="1"/>
  <c r="S194" i="1"/>
  <c r="S195" i="1"/>
  <c r="S298" i="1"/>
  <c r="S265" i="1"/>
  <c r="S179" i="1"/>
  <c r="S215" i="1"/>
  <c r="S42" i="1"/>
  <c r="S65" i="1"/>
  <c r="S106" i="1"/>
  <c r="S254" i="1"/>
  <c r="S231" i="1"/>
  <c r="S96" i="1"/>
  <c r="S14" i="1"/>
  <c r="S197" i="1"/>
  <c r="S51" i="1"/>
  <c r="S56" i="1"/>
  <c r="S127" i="1"/>
  <c r="S295" i="1"/>
  <c r="S132" i="1"/>
  <c r="S230" i="1"/>
  <c r="S120" i="1"/>
  <c r="S294" i="1"/>
  <c r="S37" i="1"/>
  <c r="S69" i="1"/>
  <c r="S250" i="1"/>
  <c r="S217" i="1"/>
  <c r="S20" i="1"/>
  <c r="S7" i="1"/>
  <c r="S289" i="1"/>
  <c r="S143" i="1"/>
  <c r="S46" i="1"/>
  <c r="S212" i="1"/>
  <c r="S206" i="1"/>
  <c r="S155" i="1"/>
  <c r="S285" i="1"/>
  <c r="S201" i="1"/>
  <c r="S178" i="1"/>
  <c r="S22" i="1"/>
  <c r="S225" i="1"/>
  <c r="S246" i="1"/>
  <c r="S40" i="1"/>
  <c r="S9" i="1"/>
  <c r="S145" i="1"/>
  <c r="S124" i="1"/>
  <c r="S136" i="1"/>
  <c r="S181" i="1"/>
  <c r="S125" i="1"/>
  <c r="S302" i="1"/>
  <c r="S45" i="1"/>
  <c r="S257" i="1"/>
  <c r="S235" i="1"/>
  <c r="S108" i="1"/>
  <c r="S152" i="1"/>
  <c r="S12" i="1"/>
  <c r="S105" i="1"/>
  <c r="S292" i="1"/>
  <c r="S162" i="1"/>
  <c r="S21" i="1"/>
  <c r="S43" i="1"/>
  <c r="S81" i="1"/>
  <c r="S232" i="1"/>
  <c r="S239" i="1"/>
  <c r="S172" i="1"/>
  <c r="S284" i="1"/>
  <c r="S274" i="1"/>
  <c r="S73" i="1"/>
  <c r="S117" i="1"/>
  <c r="S78" i="1"/>
  <c r="S38" i="1"/>
  <c r="S167" i="1"/>
  <c r="S184" i="1"/>
  <c r="S26" i="1"/>
  <c r="S48" i="1"/>
  <c r="S205" i="1"/>
  <c r="S269" i="1"/>
  <c r="S91" i="1"/>
  <c r="S62" i="1"/>
  <c r="S234" i="1"/>
  <c r="S268" i="1"/>
  <c r="S87" i="1"/>
  <c r="S244" i="1"/>
  <c r="S299" i="1"/>
  <c r="S119" i="1"/>
  <c r="S77" i="1"/>
  <c r="S220" i="1"/>
  <c r="S61" i="1"/>
  <c r="S226" i="1"/>
  <c r="S165" i="1"/>
  <c r="S110" i="1"/>
  <c r="S277" i="1"/>
  <c r="S139" i="1"/>
  <c r="S173" i="1"/>
  <c r="S27" i="1"/>
  <c r="S123" i="1"/>
  <c r="S248" i="1"/>
  <c r="S278" i="1"/>
  <c r="S261" i="1"/>
  <c r="S2" i="1"/>
  <c r="S10" i="1"/>
  <c r="S176" i="1"/>
  <c r="S144" i="1"/>
  <c r="S95" i="1"/>
  <c r="S112" i="1"/>
  <c r="S160" i="1"/>
  <c r="S300" i="1"/>
  <c r="S159" i="1"/>
  <c r="S102" i="1"/>
  <c r="S177" i="1"/>
  <c r="S142" i="1"/>
  <c r="S16" i="1"/>
  <c r="S228" i="1"/>
  <c r="S303" i="1"/>
  <c r="S240" i="1"/>
  <c r="S121" i="1"/>
  <c r="S93" i="1"/>
  <c r="S116" i="1"/>
  <c r="S55" i="1"/>
  <c r="S44" i="1"/>
  <c r="S203" i="1"/>
  <c r="S245" i="1"/>
  <c r="S218" i="1"/>
  <c r="S79" i="1"/>
  <c r="S39" i="1"/>
  <c r="S221" i="1"/>
  <c r="S223" i="1"/>
  <c r="S85" i="1"/>
  <c r="S247" i="1"/>
  <c r="S109" i="1"/>
  <c r="S283" i="1"/>
  <c r="S185" i="1"/>
  <c r="S115" i="1"/>
  <c r="S128" i="1"/>
  <c r="S57" i="1"/>
  <c r="S126" i="1"/>
  <c r="S76" i="1"/>
  <c r="S214" i="1"/>
  <c r="S270" i="1"/>
  <c r="S54" i="1"/>
  <c r="S171" i="1"/>
  <c r="S275" i="1"/>
  <c r="S227" i="1"/>
  <c r="S24" i="1"/>
  <c r="S17" i="1"/>
  <c r="S137" i="1"/>
  <c r="S238" i="1"/>
  <c r="S101" i="1"/>
  <c r="S202" i="1"/>
  <c r="S153" i="1"/>
  <c r="S182" i="1"/>
  <c r="S198" i="1"/>
  <c r="S58" i="1"/>
  <c r="S147" i="1"/>
  <c r="S163" i="1"/>
  <c r="S131" i="1"/>
  <c r="S71" i="1"/>
  <c r="S196" i="1"/>
  <c r="S219" i="1"/>
  <c r="S229" i="1"/>
  <c r="S94" i="1"/>
  <c r="S216" i="1"/>
  <c r="S192" i="1"/>
  <c r="S200" i="1"/>
  <c r="S237" i="1"/>
  <c r="S290" i="1"/>
  <c r="S98" i="1"/>
  <c r="S260" i="1"/>
  <c r="S168" i="1"/>
  <c r="S210" i="1"/>
  <c r="S251" i="1"/>
  <c r="S4" i="1"/>
  <c r="S47" i="1"/>
  <c r="S154" i="1"/>
  <c r="S266" i="1"/>
  <c r="S104" i="1"/>
  <c r="S111" i="1"/>
  <c r="S174" i="1"/>
  <c r="S80" i="1"/>
  <c r="S193" i="1"/>
  <c r="S107" i="1"/>
  <c r="S141" i="1"/>
  <c r="S259" i="1"/>
  <c r="S64" i="1"/>
  <c r="S288" i="1"/>
  <c r="S243" i="1"/>
  <c r="S180" i="1"/>
  <c r="S100" i="1"/>
  <c r="S161" i="1"/>
  <c r="S88" i="1"/>
  <c r="S208" i="1"/>
  <c r="S122" i="1"/>
  <c r="S3" i="1"/>
  <c r="S82" i="1"/>
  <c r="S70" i="1"/>
  <c r="S282" i="1"/>
  <c r="S67" i="1"/>
  <c r="S236" i="1"/>
  <c r="S11" i="1"/>
  <c r="S175" i="1"/>
  <c r="S222" i="1"/>
  <c r="S286" i="1"/>
  <c r="S291" i="1"/>
  <c r="S50" i="1"/>
  <c r="S273" i="1"/>
  <c r="S23" i="1"/>
  <c r="S306" i="1"/>
  <c r="S263" i="1"/>
  <c r="S140" i="1"/>
  <c r="S18" i="1"/>
  <c r="S189" i="1"/>
  <c r="S256" i="1"/>
  <c r="S296" i="1"/>
  <c r="S213" i="1"/>
  <c r="S84" i="1"/>
  <c r="S304" i="1"/>
  <c r="S6" i="1"/>
  <c r="S135" i="1"/>
  <c r="S190" i="1"/>
  <c r="S52" i="1"/>
  <c r="S68" i="1"/>
  <c r="S134" i="1"/>
  <c r="S15" i="1"/>
  <c r="S293" i="1"/>
  <c r="S150" i="1"/>
  <c r="S5" i="1"/>
  <c r="S242" i="1"/>
  <c r="S249" i="1"/>
  <c r="S72" i="1"/>
  <c r="S49" i="1"/>
  <c r="S169" i="1"/>
  <c r="S253" i="1"/>
  <c r="S255" i="1"/>
  <c r="S19" i="1"/>
  <c r="S233" i="1"/>
  <c r="S129" i="1"/>
  <c r="S211" i="1"/>
  <c r="S86" i="1"/>
  <c r="S204" i="1"/>
  <c r="S138" i="1"/>
  <c r="S199" i="1"/>
  <c r="S149" i="1"/>
  <c r="S113" i="1"/>
  <c r="S75" i="1"/>
  <c r="S267" i="1"/>
  <c r="S241" i="1"/>
  <c r="S74" i="1"/>
  <c r="S41" i="1"/>
  <c r="S207" i="1"/>
  <c r="S114" i="1"/>
  <c r="S59" i="1"/>
  <c r="S118" i="1"/>
  <c r="S66" i="1"/>
  <c r="S209" i="1"/>
  <c r="S186" i="1"/>
  <c r="S271" i="1"/>
  <c r="S188" i="1"/>
  <c r="S156" i="1"/>
  <c r="S103" i="1"/>
  <c r="S170" i="1"/>
  <c r="U374" i="1" l="1"/>
  <c r="U373" i="1"/>
  <c r="U372" i="1"/>
  <c r="U371" i="1"/>
  <c r="U370" i="1"/>
  <c r="U369" i="1"/>
  <c r="U366" i="1"/>
  <c r="U365" i="1"/>
  <c r="U368" i="1"/>
  <c r="U367" i="1"/>
  <c r="U364" i="1"/>
  <c r="U363" i="1"/>
  <c r="U360" i="1"/>
  <c r="U357" i="1"/>
  <c r="U359" i="1"/>
  <c r="U358" i="1"/>
  <c r="U356" i="1"/>
  <c r="U354" i="1"/>
  <c r="U355" i="1"/>
  <c r="U353" i="1"/>
  <c r="U351" i="1"/>
  <c r="U352" i="1"/>
  <c r="U350" i="1"/>
  <c r="U349" i="1"/>
  <c r="U347" i="1"/>
  <c r="U348" i="1"/>
  <c r="U346" i="1"/>
  <c r="U345" i="1"/>
  <c r="U344" i="1"/>
  <c r="U343" i="1"/>
  <c r="U342" i="1"/>
  <c r="U341" i="1"/>
  <c r="U340" i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<sst xmlns="http://schemas.openxmlformats.org/spreadsheetml/2006/main" count="591" uniqueCount="425">
  <si>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</si>
  <si>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</si>
  <si>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</si>
  <si>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</si>
  <si>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</si>
  <si>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</si>
  <si>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</si>
  <si>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</si>
  <si>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</si>
  <si>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</si>
  <si>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</si>
  <si>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</si>
  <si>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</si>
  <si>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</si>
  <si>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</si>
  <si>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</si>
  <si>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</si>
  <si>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</si>
  <si>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</si>
  <si>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</si>
  <si>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</si>
  <si>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</si>
  <si>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</si>
  <si>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</si>
  <si>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</si>
  <si>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</si>
  <si>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</si>
  <si>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</si>
  <si>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</si>
  <si>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</si>
  <si>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</si>
  <si>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</si>
  <si>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</si>
  <si>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</si>
  <si>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</si>
  <si>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</si>
  <si>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</si>
  <si>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</si>
  <si>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</si>
  <si>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</si>
  <si>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</si>
  <si>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</si>
  <si>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</si>
  <si>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</si>
  <si>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</si>
  <si>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</si>
  <si>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</si>
  <si>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</si>
  <si>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</si>
  <si>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</si>
  <si>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</si>
  <si>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</si>
  <si>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CS1805</t>
  </si>
  <si>
    <t>SF805</t>
  </si>
  <si>
    <t>BU1806</t>
  </si>
  <si>
    <t>MA805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</si>
  <si>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</si>
  <si>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</si>
  <si>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</si>
  <si>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</si>
  <si>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</si>
  <si>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</si>
  <si>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</si>
  <si>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</si>
  <si>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</si>
  <si>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</si>
  <si>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</si>
  <si>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</si>
  <si>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</si>
  <si>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</si>
  <si>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</si>
  <si>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</si>
  <si>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</si>
  <si>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</si>
  <si>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</si>
  <si>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</si>
  <si>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</si>
  <si>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</si>
  <si>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</si>
  <si>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</si>
  <si>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</si>
  <si>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</si>
  <si>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</si>
  <si>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</si>
  <si>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</si>
  <si>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</si>
  <si>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</si>
  <si>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</si>
  <si>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</si>
  <si>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</si>
  <si>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</si>
  <si>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</si>
  <si>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</si>
  <si>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</si>
  <si>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</si>
  <si>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</si>
  <si>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</si>
  <si>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</si>
  <si>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</si>
  <si>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</si>
  <si>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</si>
  <si>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</si>
  <si>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</si>
  <si>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</si>
  <si>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</si>
  <si>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</si>
  <si>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</si>
  <si>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</si>
  <si>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</si>
  <si>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</si>
  <si>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</si>
  <si>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</si>
  <si>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</si>
  <si>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</si>
  <si>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</si>
  <si>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</si>
  <si>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</si>
  <si>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</si>
  <si>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</si>
  <si>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</si>
  <si>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</si>
  <si>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</si>
  <si>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</si>
  <si>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</si>
  <si>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</si>
  <si>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</si>
  <si>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</si>
  <si>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</si>
  <si>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</si>
  <si>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</si>
  <si>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</si>
  <si>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</si>
  <si>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</si>
  <si>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</si>
  <si>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</si>
  <si>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</si>
  <si>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</si>
  <si>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</si>
  <si>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</si>
  <si>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</si>
  <si>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</si>
  <si>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</si>
  <si>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</si>
  <si>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</si>
  <si>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</si>
  <si>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</si>
  <si>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</si>
  <si>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</si>
  <si>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</si>
  <si>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</si>
  <si>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</si>
  <si>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</si>
  <si>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</si>
  <si>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</si>
  <si>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</si>
  <si>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</si>
  <si>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</si>
  <si>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</si>
  <si>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</si>
  <si>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</si>
  <si>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</si>
  <si>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</si>
  <si>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</si>
  <si>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</si>
  <si>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</si>
  <si>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</si>
  <si>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</si>
  <si>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</si>
  <si>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</si>
  <si>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</si>
  <si>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</si>
  <si>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</si>
  <si>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</si>
  <si>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</si>
  <si>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</si>
  <si>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</si>
  <si>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</si>
  <si>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</si>
  <si>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</si>
  <si>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</si>
  <si>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</si>
  <si>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</si>
  <si>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</si>
  <si>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</si>
  <si>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</si>
  <si>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</si>
  <si>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</si>
  <si>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</si>
  <si>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</si>
  <si>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</si>
  <si>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</si>
  <si>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</si>
  <si>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</si>
  <si>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</si>
  <si>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</si>
  <si>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</si>
  <si>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</si>
  <si>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</si>
  <si>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</si>
  <si>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</si>
  <si>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</si>
  <si>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</si>
  <si>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</si>
  <si>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</si>
  <si>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</si>
  <si>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</si>
  <si>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</si>
  <si>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</si>
  <si>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</si>
  <si>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</si>
  <si>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</si>
  <si>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</si>
  <si>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</si>
  <si>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</si>
  <si>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</si>
  <si>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</si>
  <si>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</si>
  <si>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</si>
  <si>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</si>
  <si>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</si>
  <si>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</si>
  <si>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</si>
  <si>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</si>
  <si>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</si>
  <si>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</si>
  <si>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</si>
  <si>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</si>
  <si>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</si>
  <si>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</si>
  <si>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</si>
  <si>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</si>
  <si>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</si>
  <si>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</si>
  <si>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</si>
  <si>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</si>
  <si>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</si>
  <si>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</si>
  <si>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</si>
  <si>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</si>
  <si>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</si>
  <si>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</si>
  <si>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</si>
  <si>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</si>
  <si>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</si>
  <si>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</si>
  <si>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</si>
  <si>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</si>
  <si>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</si>
  <si>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</si>
  <si>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</si>
  <si>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</si>
  <si>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</si>
  <si>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</si>
  <si>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</si>
  <si>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</si>
  <si>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</si>
  <si>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</si>
  <si>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</si>
  <si>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</si>
  <si>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</si>
  <si>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</si>
  <si>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</si>
  <si>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</si>
  <si>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</si>
  <si>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</si>
  <si>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</si>
  <si>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</si>
  <si>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</si>
  <si>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</si>
  <si>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</si>
  <si>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</si>
  <si>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</si>
  <si>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</si>
  <si>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</si>
  <si>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</si>
  <si>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</si>
  <si>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</si>
  <si>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</si>
  <si>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</si>
  <si>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</si>
  <si>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</si>
  <si>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</si>
  <si>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</si>
  <si>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</si>
  <si>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</si>
  <si>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</si>
  <si>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</si>
  <si>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</si>
  <si>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</si>
  <si>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</si>
  <si>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</si>
  <si>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</si>
  <si>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</si>
  <si>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</si>
  <si>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</si>
  <si>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</si>
  <si>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</si>
  <si>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</si>
  <si>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</si>
  <si>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</si>
  <si>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</si>
  <si>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</si>
  <si>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</si>
  <si>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</si>
  <si>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</si>
  <si>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</si>
  <si>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</si>
  <si>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</si>
  <si>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</si>
  <si>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</si>
  <si>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</si>
  <si>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</si>
  <si>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</si>
  <si>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</si>
  <si>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</si>
  <si>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</si>
  <si>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</si>
  <si>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</si>
  <si>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</si>
  <si>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</si>
  <si>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</si>
  <si>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</si>
  <si>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</si>
  <si>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</si>
  <si>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</si>
  <si>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</si>
  <si>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</si>
  <si>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</si>
  <si>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平仓时间</t>
    <phoneticPr fontId="1" type="noConversion"/>
  </si>
  <si>
    <t>平仓盈亏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</si>
  <si>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</si>
  <si>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</si>
  <si>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</si>
  <si>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</si>
  <si>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</si>
  <si>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</si>
  <si>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</si>
  <si>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</si>
  <si>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</si>
  <si>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</si>
  <si>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</si>
  <si>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</si>
  <si>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</si>
  <si>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</si>
  <si>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</si>
  <si>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</si>
  <si>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</si>
  <si>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</si>
  <si>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</si>
  <si>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</si>
  <si>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</si>
  <si>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</si>
  <si>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</si>
  <si>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</si>
  <si>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</si>
  <si>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</si>
  <si>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</si>
  <si>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</si>
  <si>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</si>
  <si>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</si>
  <si>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</si>
  <si>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</si>
  <si>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</si>
  <si>
    <t>ZN1806</t>
    <phoneticPr fontId="1" type="noConversion"/>
  </si>
  <si>
    <t>MA809</t>
    <phoneticPr fontId="1" type="noConversion"/>
  </si>
  <si>
    <t>IH1806</t>
    <phoneticPr fontId="1" type="noConversion"/>
  </si>
  <si>
    <t>SF805</t>
    <phoneticPr fontId="1" type="noConversion"/>
  </si>
  <si>
    <t>BU1806</t>
    <phoneticPr fontId="1" type="noConversion"/>
  </si>
  <si>
    <t>NI1807</t>
    <phoneticPr fontId="1" type="noConversion"/>
  </si>
  <si>
    <t>CU1806</t>
    <phoneticPr fontId="1" type="noConversion"/>
  </si>
  <si>
    <t>TA809</t>
    <phoneticPr fontId="1" type="noConversion"/>
  </si>
  <si>
    <t>SF809</t>
    <phoneticPr fontId="1" type="noConversion"/>
  </si>
  <si>
    <t>HC1810</t>
    <phoneticPr fontId="1" type="noConversion"/>
  </si>
  <si>
    <t>CS1809</t>
    <phoneticPr fontId="1" type="noConversion"/>
  </si>
  <si>
    <t>NI1807</t>
    <phoneticPr fontId="1" type="noConversion"/>
  </si>
  <si>
    <t>RB1810</t>
    <phoneticPr fontId="1" type="noConversion"/>
  </si>
  <si>
    <t>CS1809</t>
    <phoneticPr fontId="1" type="noConversion"/>
  </si>
  <si>
    <t>IC1805</t>
    <phoneticPr fontId="1" type="noConversion"/>
  </si>
  <si>
    <t>IH1805</t>
    <phoneticPr fontId="1" type="noConversion"/>
  </si>
  <si>
    <t>IF1805</t>
    <phoneticPr fontId="1" type="noConversion"/>
  </si>
  <si>
    <t>CU1806</t>
    <phoneticPr fontId="1" type="noConversion"/>
  </si>
  <si>
    <t>HC1810</t>
    <phoneticPr fontId="1" type="noConversion"/>
  </si>
  <si>
    <t>RB1810</t>
    <phoneticPr fontId="1" type="noConversion"/>
  </si>
  <si>
    <t>ZC809</t>
    <phoneticPr fontId="1" type="noConversion"/>
  </si>
  <si>
    <t>CU1806</t>
    <phoneticPr fontId="1" type="noConversion"/>
  </si>
  <si>
    <t>P1809</t>
    <phoneticPr fontId="1" type="noConversion"/>
  </si>
  <si>
    <t>AU1806</t>
    <phoneticPr fontId="1" type="noConversion"/>
  </si>
  <si>
    <t>MA809</t>
    <phoneticPr fontId="1" type="noConversion"/>
  </si>
  <si>
    <t>MA809</t>
    <phoneticPr fontId="1" type="noConversion"/>
  </si>
  <si>
    <t>P1809</t>
    <phoneticPr fontId="1" type="noConversion"/>
  </si>
  <si>
    <t>RB1810</t>
    <phoneticPr fontId="1" type="noConversion"/>
  </si>
  <si>
    <t>CU1806</t>
    <phoneticPr fontId="1" type="noConversion"/>
  </si>
  <si>
    <t>IC1804</t>
  </si>
  <si>
    <t>ZC805</t>
  </si>
  <si>
    <t>NI1807</t>
  </si>
  <si>
    <t>CU1805</t>
  </si>
  <si>
    <t>RM805</t>
  </si>
  <si>
    <t>ZN1806</t>
  </si>
  <si>
    <t>J1809</t>
  </si>
  <si>
    <t>P1809</t>
  </si>
  <si>
    <t>TF1806</t>
  </si>
  <si>
    <t>CS1809</t>
  </si>
  <si>
    <t>IC1805</t>
  </si>
  <si>
    <t>IF1806</t>
  </si>
  <si>
    <t>JD1809</t>
  </si>
  <si>
    <t>JM1809</t>
  </si>
  <si>
    <t>MA809</t>
  </si>
  <si>
    <t>IH1806</t>
  </si>
  <si>
    <t>CU1806</t>
  </si>
  <si>
    <t>HC1810</t>
  </si>
  <si>
    <t>TA809</t>
  </si>
  <si>
    <t>SF809</t>
  </si>
  <si>
    <t>RB1810</t>
  </si>
  <si>
    <t>IH1805</t>
  </si>
  <si>
    <t>IF1805</t>
  </si>
  <si>
    <t>ZC809</t>
  </si>
  <si>
    <t>AU1806</t>
  </si>
  <si>
    <t>贵</t>
    <phoneticPr fontId="1" type="noConversion"/>
  </si>
  <si>
    <t>化工</t>
    <phoneticPr fontId="1" type="noConversion"/>
  </si>
  <si>
    <t>农产</t>
    <phoneticPr fontId="1" type="noConversion"/>
  </si>
  <si>
    <t>有色</t>
    <phoneticPr fontId="1" type="noConversion"/>
  </si>
  <si>
    <t>黑色</t>
    <phoneticPr fontId="1" type="noConversion"/>
  </si>
  <si>
    <t>金融</t>
    <phoneticPr fontId="1" type="noConversion"/>
  </si>
  <si>
    <t>SF809</t>
    <phoneticPr fontId="1" type="noConversion"/>
  </si>
  <si>
    <t>AL1806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</si>
</sst>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822192"/>
        <c:axId val="493816592"/>
      </c:lineChart>
      <c:dateAx>
        <c:axId val="493822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3816592"/>
        <c:crosses val="autoZero"/>
        <c:auto val="1"/>
        <c:lblOffset val="100"/>
        <c:baseTimeUnit val="days"/>
      </c:dateAx>
      <c:valAx>
        <c:axId val="49381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382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权益!$A$19:$A$86</c:f>
              <c:numCache>
                <c:formatCode>m/d/yyyy</c:formatCode>
                <c:ptCount val="68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43206</c:v>
                </c:pt>
                <c:pt idx="60">
                  <c:v>43207</c:v>
                </c:pt>
                <c:pt idx="61">
                  <c:v>43208</c:v>
                </c:pt>
                <c:pt idx="62">
                  <c:v>43209</c:v>
                </c:pt>
                <c:pt idx="63">
                  <c:v>43210</c:v>
                </c:pt>
                <c:pt idx="64">
                  <c:v>43213</c:v>
                </c:pt>
                <c:pt idx="65">
                  <c:v>43214</c:v>
                </c:pt>
                <c:pt idx="66">
                  <c:v>43215</c:v>
                </c:pt>
                <c:pt idx="67">
                  <c:v>43216</c:v>
                </c:pt>
              </c:numCache>
            </c:numRef>
          </c:cat>
          <c:val>
            <c:numRef>
              <c:f>权益!$C$19:$C$86</c:f>
              <c:numCache>
                <c:formatCode>0.0000</c:formatCode>
                <c:ptCount val="68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0.95335539999999996</c:v>
                </c:pt>
                <c:pt idx="60">
                  <c:v>0.95580549999999997</c:v>
                </c:pt>
                <c:pt idx="61">
                  <c:v>0.95700499999999999</c:v>
                </c:pt>
                <c:pt idx="62">
                  <c:v>0.95955219999999997</c:v>
                </c:pt>
                <c:pt idx="63" formatCode="General">
                  <c:v>0.95417620000000003</c:v>
                </c:pt>
                <c:pt idx="64">
                  <c:v>0.95500669999999999</c:v>
                </c:pt>
                <c:pt idx="65">
                  <c:v>0.94666059999999996</c:v>
                </c:pt>
                <c:pt idx="66">
                  <c:v>0.94526529999999998</c:v>
                </c:pt>
                <c:pt idx="67">
                  <c:v>0.9429765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540480"/>
        <c:axId val="499541040"/>
      </c:lineChart>
      <c:dateAx>
        <c:axId val="499540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9541040"/>
        <c:crosses val="autoZero"/>
        <c:auto val="1"/>
        <c:lblOffset val="100"/>
        <c:baseTimeUnit val="days"/>
      </c:dateAx>
      <c:valAx>
        <c:axId val="49954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954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133349</xdr:rowOff>
    </xdr:from>
    <xdr:to>
      <xdr:col>16</xdr:col>
      <xdr:colOff>333375</xdr:colOff>
      <xdr:row>49</xdr:row>
      <xdr:rowOff>28574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tabSelected="1" workbookViewId="0">
      <pane ySplit="1" topLeftCell="A53" activePane="bottomLeft" state="frozen"/>
      <selection pane="bottomLeft" activeCell="A74" sqref="A74:C8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COUNTA(C2:C9969)</f>
        <v>73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0.26912181303116145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0.80597175081401162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86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19">
        <v>43203</v>
      </c>
      <c r="B77" s="41">
        <v>9523654</v>
      </c>
      <c r="C77" s="86">
        <f t="shared" si="1"/>
        <v>0.95236540000000003</v>
      </c>
    </row>
    <row r="78" spans="1:4">
      <c r="A78" s="2">
        <v>43206</v>
      </c>
      <c r="B78" s="25">
        <v>9533554</v>
      </c>
      <c r="C78" s="85">
        <f t="shared" si="1"/>
        <v>0.95335539999999996</v>
      </c>
    </row>
    <row r="79" spans="1:4">
      <c r="A79" s="2">
        <v>43207</v>
      </c>
      <c r="B79" s="25">
        <v>9558055</v>
      </c>
      <c r="C79" s="85">
        <f t="shared" si="1"/>
        <v>0.95580549999999997</v>
      </c>
    </row>
    <row r="80" spans="1:4">
      <c r="A80" s="2">
        <v>43208</v>
      </c>
      <c r="B80" s="25">
        <v>9570050</v>
      </c>
      <c r="C80" s="85">
        <f t="shared" si="1"/>
        <v>0.95700499999999999</v>
      </c>
    </row>
    <row r="81" spans="1:3">
      <c r="A81" s="2">
        <v>43209</v>
      </c>
      <c r="B81" s="25">
        <v>9595522</v>
      </c>
      <c r="C81" s="85">
        <f t="shared" si="1"/>
        <v>0.95955219999999997</v>
      </c>
    </row>
    <row r="82" spans="1:3">
      <c r="A82" s="19">
        <v>43210</v>
      </c>
      <c r="B82" s="41">
        <v>9541762</v>
      </c>
      <c r="C82" s="4">
        <f t="shared" si="1"/>
        <v>0.95417620000000003</v>
      </c>
    </row>
    <row r="83" spans="1:3">
      <c r="A83" s="2">
        <v>43213</v>
      </c>
      <c r="B83" s="25">
        <v>9550067</v>
      </c>
      <c r="C83" s="85">
        <f t="shared" si="1"/>
        <v>0.95500669999999999</v>
      </c>
    </row>
    <row r="84" spans="1:3">
      <c r="A84" s="2">
        <v>43214</v>
      </c>
      <c r="B84" s="25">
        <v>9466606</v>
      </c>
      <c r="C84" s="85">
        <f t="shared" si="1"/>
        <v>0.94666059999999996</v>
      </c>
    </row>
    <row r="85" spans="1:3">
      <c r="A85" s="2">
        <v>43215</v>
      </c>
      <c r="B85" s="25">
        <v>9452653</v>
      </c>
      <c r="C85" s="85">
        <f t="shared" si="1"/>
        <v>0.94526529999999998</v>
      </c>
    </row>
    <row r="86" spans="1:3">
      <c r="A86" s="2">
        <v>43216</v>
      </c>
      <c r="B86" s="25">
        <v>9429765</v>
      </c>
      <c r="C86" s="85">
        <f t="shared" si="1"/>
        <v>0.9429765</v>
      </c>
    </row>
    <row r="87" spans="1:3">
      <c r="A87" s="19">
        <v>43217</v>
      </c>
      <c r="B87" s="41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workbookViewId="0">
      <pane ySplit="1" topLeftCell="A289" activePane="bottomLeft" state="frozen"/>
      <selection pane="bottomLeft" activeCell="J372" sqref="J372:M372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79</v>
      </c>
      <c r="F1" s="58" t="s">
        <v>41</v>
      </c>
      <c r="G1" s="59" t="s">
        <v>164</v>
      </c>
      <c r="H1" s="60" t="s">
        <v>172</v>
      </c>
      <c r="I1" s="59" t="s">
        <v>163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165</v>
      </c>
      <c r="O1" s="58" t="s">
        <v>168</v>
      </c>
      <c r="P1" s="62" t="s">
        <v>166</v>
      </c>
      <c r="Q1" s="62" t="s">
        <v>167</v>
      </c>
      <c r="S1" s="63" t="s">
        <v>6</v>
      </c>
      <c r="T1" s="64"/>
      <c r="U1" s="65">
        <f>COUNT(M2:M9991)</f>
        <v>353</v>
      </c>
      <c r="V1" s="64">
        <f>COUNTIF(M2:M9991,"&gt;0")</f>
        <v>95</v>
      </c>
      <c r="W1" s="64">
        <f>COUNTIF(M2:M9991,"&lt;0")</f>
        <v>251</v>
      </c>
      <c r="X1" s="64">
        <f>SUMIF(M2:M9991,"&gt;0")</f>
        <v>1274703.45</v>
      </c>
      <c r="Y1" s="64">
        <f>ABS(SUMIF(M2:M9991,"&lt;0"))</f>
        <v>1581573.360000001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84</v>
      </c>
      <c r="V2" s="11" t="s">
        <v>85</v>
      </c>
      <c r="W2" s="11" t="s">
        <v>86</v>
      </c>
      <c r="X2" s="11" t="s">
        <v>87</v>
      </c>
      <c r="Y2" s="11" t="s">
        <v>88</v>
      </c>
      <c r="Z2" s="11" t="s">
        <v>89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83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93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65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56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57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57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58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59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60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61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62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63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61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72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64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66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66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67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67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68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69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70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71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73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74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75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76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77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78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90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91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92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94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98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99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95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96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97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100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101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102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103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104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105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106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107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108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108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95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109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110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111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111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112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113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114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117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118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119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120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121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122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115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116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123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124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125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126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123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127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128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129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130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131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132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133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134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135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136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136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137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138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139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170</v>
      </c>
      <c r="B171" s="1" t="s">
        <v>140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169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173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141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142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138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143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144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145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146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147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142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148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145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171</v>
      </c>
      <c r="B183" s="1" t="s">
        <v>149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179</v>
      </c>
      <c r="L183" s="26" t="s">
        <v>180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174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146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150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151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145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152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153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154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155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156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157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158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159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160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161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162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175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176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177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178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181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182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65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183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184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185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186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187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188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189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190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191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193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195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192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196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197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251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252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64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253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254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255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256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258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259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261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262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263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264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265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266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267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268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269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270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271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272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273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274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275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276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277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278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279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280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281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282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283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284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285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286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287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288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289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290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291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292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293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294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295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296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297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298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299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300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301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302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303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304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315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305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306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307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308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307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309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310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311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312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313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314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316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317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315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318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319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320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321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322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330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331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330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332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337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338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337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338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333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334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335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336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338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337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339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340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341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342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343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344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345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346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347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348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349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350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347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351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352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353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354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J333" s="1">
        <v>4998</v>
      </c>
      <c r="K333" s="2">
        <v>43207</v>
      </c>
      <c r="L333" s="26">
        <v>0.88541666666666663</v>
      </c>
      <c r="M333" s="16">
        <f t="shared" si="119"/>
        <v>11520</v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355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J334" s="1">
        <v>95.13</v>
      </c>
      <c r="K334" s="2">
        <v>43209</v>
      </c>
      <c r="L334" s="26">
        <v>0.61875000000000002</v>
      </c>
      <c r="M334" s="16">
        <f t="shared" si="119"/>
        <v>10150.000000000005</v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356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J335" s="1">
        <v>97.98</v>
      </c>
      <c r="K335" s="2">
        <v>43209</v>
      </c>
      <c r="L335" s="26">
        <v>0.61875000000000002</v>
      </c>
      <c r="M335" s="16">
        <f t="shared" si="119"/>
        <v>7750.0000000000564</v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357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1:23">
      <c r="B337" s="1" t="s">
        <v>359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J337" s="1">
        <v>5962</v>
      </c>
      <c r="K337" s="2">
        <v>43209</v>
      </c>
      <c r="L337" s="26">
        <v>0.43472222222222223</v>
      </c>
      <c r="M337" s="16">
        <f t="shared" si="119"/>
        <v>7839.9999999999636</v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1:23">
      <c r="B338" s="1" t="s">
        <v>358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J338" s="1">
        <v>3768.4</v>
      </c>
      <c r="K338" s="2">
        <v>43209</v>
      </c>
      <c r="L338" s="26">
        <v>0.43472222222222223</v>
      </c>
      <c r="M338" s="16">
        <f t="shared" si="119"/>
        <v>-1140.0000000000546</v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1:23">
      <c r="B339" s="1" t="s">
        <v>360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J339" s="1">
        <v>4068</v>
      </c>
      <c r="K339" s="2">
        <v>43207</v>
      </c>
      <c r="L339" s="26">
        <v>0.38194444444444442</v>
      </c>
      <c r="M339" s="16">
        <f t="shared" si="119"/>
        <v>345</v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1:23">
      <c r="B340" s="1" t="s">
        <v>361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J340" s="1">
        <v>2132</v>
      </c>
      <c r="K340" s="2">
        <v>43208</v>
      </c>
      <c r="L340" s="26">
        <v>0.4680555555555555</v>
      </c>
      <c r="M340" s="16">
        <f t="shared" si="119"/>
        <v>-2340</v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1:23">
      <c r="B341" s="1" t="s">
        <v>362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J341" s="1">
        <v>1126.5</v>
      </c>
      <c r="K341" s="2">
        <v>43207</v>
      </c>
      <c r="L341" s="26">
        <v>0.4458333333333333</v>
      </c>
      <c r="M341" s="16">
        <f t="shared" si="119"/>
        <v>-9600</v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1:23">
      <c r="A342" s="3"/>
      <c r="B342" s="3" t="s">
        <v>348</v>
      </c>
      <c r="C342" s="3">
        <v>12</v>
      </c>
      <c r="D342" s="3">
        <v>104375</v>
      </c>
      <c r="E342" s="19">
        <v>43206</v>
      </c>
      <c r="F342" s="31">
        <v>0.61388888888888882</v>
      </c>
      <c r="G342" s="18">
        <v>0.02</v>
      </c>
      <c r="H342" s="51">
        <v>1</v>
      </c>
      <c r="I342" s="18">
        <f t="shared" si="118"/>
        <v>0.02</v>
      </c>
      <c r="J342" s="3">
        <v>103910</v>
      </c>
      <c r="K342" s="19">
        <v>43207</v>
      </c>
      <c r="L342" s="31">
        <v>0.46249999999999997</v>
      </c>
      <c r="M342" s="14">
        <f t="shared" si="119"/>
        <v>-5580</v>
      </c>
      <c r="N342" s="3"/>
      <c r="O342" s="3"/>
      <c r="P342" s="4"/>
      <c r="Q342" s="4"/>
      <c r="R342" s="4"/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1:23">
      <c r="A343" s="2">
        <v>43207</v>
      </c>
      <c r="B343" s="1" t="s">
        <v>363</v>
      </c>
      <c r="C343" s="1">
        <v>-10</v>
      </c>
      <c r="D343" s="1">
        <v>23605</v>
      </c>
      <c r="E343" s="2">
        <v>43207</v>
      </c>
      <c r="F343" s="26">
        <v>0.38194444444444442</v>
      </c>
      <c r="G343" s="17">
        <v>1.9E-2</v>
      </c>
      <c r="H343" s="52">
        <v>1</v>
      </c>
      <c r="I343" s="17">
        <f t="shared" ref="I343:I374" si="127">IF(G343="","",G343*H343)</f>
        <v>1.9E-2</v>
      </c>
      <c r="J343" s="1">
        <v>23655</v>
      </c>
      <c r="K343" s="2">
        <v>43207</v>
      </c>
      <c r="L343" s="26">
        <v>0.59236111111111112</v>
      </c>
      <c r="M343" s="16">
        <f t="shared" si="119"/>
        <v>-2500</v>
      </c>
      <c r="S343">
        <f>IF(B343="","",VLOOKUP(Cmt(B343),Sheet2!A:B,2,FALSE))</f>
        <v>5</v>
      </c>
      <c r="T343" s="39">
        <f t="shared" si="123"/>
        <v>9520000</v>
      </c>
      <c r="U343" s="13">
        <f t="shared" si="122"/>
        <v>10.21704441149474</v>
      </c>
      <c r="W343" s="11"/>
    </row>
    <row r="344" spans="1:23">
      <c r="B344" s="1" t="s">
        <v>364</v>
      </c>
      <c r="C344" s="1">
        <v>38</v>
      </c>
      <c r="D344" s="1">
        <v>2673</v>
      </c>
      <c r="E344" s="2">
        <v>43207</v>
      </c>
      <c r="F344" s="26">
        <v>0.44791666666666669</v>
      </c>
      <c r="G344" s="17">
        <v>1.6E-2</v>
      </c>
      <c r="H344" s="52">
        <v>1</v>
      </c>
      <c r="I344" s="17">
        <f t="shared" si="127"/>
        <v>1.6E-2</v>
      </c>
      <c r="J344" s="1">
        <v>2711</v>
      </c>
      <c r="K344" s="2">
        <v>43209</v>
      </c>
      <c r="L344" s="26">
        <v>0.39027777777777778</v>
      </c>
      <c r="M344" s="16">
        <f t="shared" ref="M344:M374" si="128">IF(J344="","",C344*(J344-D344)*S344)</f>
        <v>14440</v>
      </c>
      <c r="S344">
        <f>IF(B344="","",VLOOKUP(Cmt(B344),Sheet2!A:B,2,FALSE))</f>
        <v>10</v>
      </c>
      <c r="T344" s="39">
        <f t="shared" si="123"/>
        <v>9520000</v>
      </c>
      <c r="U344" s="13">
        <f t="shared" si="122"/>
        <v>37.989774286070585</v>
      </c>
      <c r="W344" s="11"/>
    </row>
    <row r="345" spans="1:23">
      <c r="A345" s="3"/>
      <c r="B345" s="3" t="s">
        <v>365</v>
      </c>
      <c r="C345" s="3">
        <v>-1</v>
      </c>
      <c r="D345" s="3">
        <v>2660.2</v>
      </c>
      <c r="E345" s="19">
        <v>43207</v>
      </c>
      <c r="F345" s="31">
        <v>0.44791666666666669</v>
      </c>
      <c r="G345" s="18">
        <v>1.7999999999999999E-2</v>
      </c>
      <c r="H345" s="51">
        <v>1</v>
      </c>
      <c r="I345" s="18">
        <f t="shared" si="127"/>
        <v>1.7999999999999999E-2</v>
      </c>
      <c r="J345" s="3">
        <v>2667.6</v>
      </c>
      <c r="K345" s="19">
        <v>43209</v>
      </c>
      <c r="L345" s="31">
        <v>0.43472222222222223</v>
      </c>
      <c r="M345" s="14">
        <f t="shared" si="128"/>
        <v>-2220.0000000000273</v>
      </c>
      <c r="N345" s="3"/>
      <c r="O345" s="3"/>
      <c r="P345" s="4"/>
      <c r="Q345" s="4"/>
      <c r="R345" s="4"/>
      <c r="S345">
        <f>IF(B345="","",VLOOKUP(Cmt(B345),Sheet2!A:B,2,FALSE))</f>
        <v>300</v>
      </c>
      <c r="T345" s="39">
        <f t="shared" si="123"/>
        <v>9520000</v>
      </c>
      <c r="U345" s="13">
        <f t="shared" si="122"/>
        <v>1.431471317946019</v>
      </c>
      <c r="W345" s="11"/>
    </row>
    <row r="346" spans="1:23">
      <c r="A346" s="2">
        <v>43208</v>
      </c>
      <c r="B346" s="1" t="s">
        <v>366</v>
      </c>
      <c r="C346" s="1">
        <v>16</v>
      </c>
      <c r="D346" s="1">
        <v>6372</v>
      </c>
      <c r="E346" s="2">
        <v>43208</v>
      </c>
      <c r="F346" s="26">
        <v>0.4201388888888889</v>
      </c>
      <c r="G346" s="17">
        <v>8.0000000000000002E-3</v>
      </c>
      <c r="H346" s="52">
        <v>1</v>
      </c>
      <c r="I346" s="17">
        <f t="shared" si="127"/>
        <v>8.0000000000000002E-3</v>
      </c>
      <c r="J346" s="1">
        <v>6262</v>
      </c>
      <c r="K346" s="2">
        <v>43208</v>
      </c>
      <c r="L346" s="26">
        <v>0.61736111111111114</v>
      </c>
      <c r="M346" s="16">
        <f t="shared" si="128"/>
        <v>-8800</v>
      </c>
      <c r="S346">
        <f>IF(B346="","",VLOOKUP(Cmt(B346),Sheet2!A:B,2,FALSE))</f>
        <v>5</v>
      </c>
      <c r="T346" s="39">
        <f t="shared" si="123"/>
        <v>9520000</v>
      </c>
      <c r="U346" s="13">
        <f t="shared" si="122"/>
        <v>15.936388365766897</v>
      </c>
      <c r="W346" s="11"/>
    </row>
    <row r="347" spans="1:23">
      <c r="B347" s="1" t="s">
        <v>367</v>
      </c>
      <c r="C347" s="1">
        <v>27</v>
      </c>
      <c r="D347" s="1">
        <v>2844</v>
      </c>
      <c r="E347" s="2">
        <v>43208</v>
      </c>
      <c r="F347" s="26">
        <v>0.4201388888888889</v>
      </c>
      <c r="G347" s="17">
        <v>1.2E-2</v>
      </c>
      <c r="H347" s="52">
        <v>1</v>
      </c>
      <c r="I347" s="17">
        <f t="shared" si="127"/>
        <v>1.2E-2</v>
      </c>
      <c r="J347" s="1">
        <v>2852</v>
      </c>
      <c r="K347" s="2">
        <v>43210</v>
      </c>
      <c r="L347" s="26">
        <v>0.46666666666666662</v>
      </c>
      <c r="M347" s="16">
        <f t="shared" si="128"/>
        <v>2160</v>
      </c>
      <c r="S347">
        <f>IF(B347="","",VLOOKUP(Cmt(B347),Sheet2!A:B,2,FALSE))</f>
        <v>10</v>
      </c>
      <c r="T347" s="39">
        <f t="shared" si="123"/>
        <v>9520000</v>
      </c>
      <c r="U347" s="13">
        <f t="shared" si="122"/>
        <v>26.779184247538677</v>
      </c>
      <c r="W347" s="11"/>
    </row>
    <row r="348" spans="1:23">
      <c r="B348" s="1" t="s">
        <v>368</v>
      </c>
      <c r="C348" s="1">
        <v>12</v>
      </c>
      <c r="D348" s="1">
        <v>103580</v>
      </c>
      <c r="E348" s="2">
        <v>43208</v>
      </c>
      <c r="F348" s="26">
        <v>0.4680555555555555</v>
      </c>
      <c r="G348" s="17">
        <v>0.02</v>
      </c>
      <c r="H348" s="52">
        <v>1</v>
      </c>
      <c r="I348" s="17">
        <f t="shared" si="127"/>
        <v>0.02</v>
      </c>
      <c r="J348" s="1">
        <v>107870</v>
      </c>
      <c r="K348" s="2">
        <v>43209</v>
      </c>
      <c r="L348" s="26">
        <v>0.58194444444444449</v>
      </c>
      <c r="M348" s="16">
        <f t="shared" si="128"/>
        <v>51480</v>
      </c>
      <c r="S348">
        <f>IF(B348="","",VLOOKUP(Cmt(B348),Sheet2!A:B,2,FALSE))</f>
        <v>1</v>
      </c>
      <c r="T348" s="39">
        <f t="shared" si="123"/>
        <v>9520000</v>
      </c>
      <c r="U348" s="13">
        <f t="shared" si="122"/>
        <v>12.254618008624574</v>
      </c>
      <c r="W348" s="11"/>
    </row>
    <row r="349" spans="1:23">
      <c r="A349" s="3"/>
      <c r="B349" s="3" t="s">
        <v>369</v>
      </c>
      <c r="C349" s="3">
        <v>6</v>
      </c>
      <c r="D349" s="3">
        <v>51130</v>
      </c>
      <c r="E349" s="19">
        <v>43208</v>
      </c>
      <c r="F349" s="31">
        <v>0.61736111111111114</v>
      </c>
      <c r="G349" s="18">
        <v>2.4E-2</v>
      </c>
      <c r="H349" s="51">
        <v>1</v>
      </c>
      <c r="I349" s="18">
        <f t="shared" si="127"/>
        <v>2.4E-2</v>
      </c>
      <c r="J349" s="3">
        <v>51890</v>
      </c>
      <c r="K349" s="19">
        <v>43209</v>
      </c>
      <c r="L349" s="31">
        <v>0.61944444444444446</v>
      </c>
      <c r="M349" s="14">
        <f t="shared" si="128"/>
        <v>22800</v>
      </c>
      <c r="N349" s="3"/>
      <c r="O349" s="3"/>
      <c r="P349" s="4"/>
      <c r="Q349" s="4"/>
      <c r="R349" s="4"/>
      <c r="S349">
        <f>IF(B349="","",VLOOKUP(Cmt(B349),Sheet2!A:B,2,FALSE))</f>
        <v>5</v>
      </c>
      <c r="T349" s="39">
        <f t="shared" si="123"/>
        <v>9520000</v>
      </c>
      <c r="U349" s="13">
        <f t="shared" si="122"/>
        <v>5.9581459026012125</v>
      </c>
      <c r="W349" s="11"/>
    </row>
    <row r="350" spans="1:23">
      <c r="A350" s="2">
        <v>43209</v>
      </c>
      <c r="B350" s="1" t="s">
        <v>372</v>
      </c>
      <c r="C350" s="1">
        <v>56</v>
      </c>
      <c r="D350" s="1">
        <v>3598.21</v>
      </c>
      <c r="E350" s="2">
        <v>43208</v>
      </c>
      <c r="F350" s="26">
        <v>0.93194444444444446</v>
      </c>
      <c r="G350" s="17">
        <v>3.1E-2</v>
      </c>
      <c r="H350" s="52">
        <v>1</v>
      </c>
      <c r="I350" s="17">
        <f t="shared" si="127"/>
        <v>3.1E-2</v>
      </c>
      <c r="J350" s="1">
        <v>3608</v>
      </c>
      <c r="K350" s="2">
        <v>43210</v>
      </c>
      <c r="L350" s="26">
        <v>0.37916666666666665</v>
      </c>
      <c r="M350" s="16">
        <f t="shared" si="128"/>
        <v>5482.3999999999796</v>
      </c>
      <c r="S350">
        <f>IF(B350="","",VLOOKUP(Cmt(B350),Sheet2!A:B,2,FALSE))</f>
        <v>10</v>
      </c>
      <c r="T350" s="39">
        <f t="shared" si="123"/>
        <v>9520000</v>
      </c>
      <c r="U350" s="13">
        <f t="shared" si="122"/>
        <v>54.67903948537375</v>
      </c>
      <c r="W350" s="11"/>
    </row>
    <row r="351" spans="1:23">
      <c r="B351" s="1" t="s">
        <v>370</v>
      </c>
      <c r="C351" s="1">
        <v>27</v>
      </c>
      <c r="D351" s="1">
        <v>5614</v>
      </c>
      <c r="E351" s="2">
        <v>43209</v>
      </c>
      <c r="F351" s="26">
        <v>0.38958333333333334</v>
      </c>
      <c r="G351" s="17">
        <v>1.2E-2</v>
      </c>
      <c r="H351" s="52">
        <v>1</v>
      </c>
      <c r="I351" s="17">
        <f t="shared" si="127"/>
        <v>1.2E-2</v>
      </c>
      <c r="J351" s="1">
        <v>5594</v>
      </c>
      <c r="K351" s="2">
        <v>43216</v>
      </c>
      <c r="L351" s="26">
        <v>0.38194444444444442</v>
      </c>
      <c r="M351" s="16">
        <f t="shared" si="128"/>
        <v>-2700</v>
      </c>
      <c r="S351">
        <f>IF(B351="","",VLOOKUP(Cmt(B351),Sheet2!A:B,2,FALSE))</f>
        <v>5</v>
      </c>
      <c r="T351" s="39">
        <f t="shared" si="123"/>
        <v>9520000</v>
      </c>
      <c r="U351" s="13">
        <f t="shared" si="122"/>
        <v>27.132169576059852</v>
      </c>
      <c r="W351" s="11"/>
    </row>
    <row r="352" spans="1:23">
      <c r="B352" s="1" t="s">
        <v>371</v>
      </c>
      <c r="C352" s="1">
        <v>16</v>
      </c>
      <c r="D352" s="1">
        <v>6142</v>
      </c>
      <c r="E352" s="2">
        <v>43209</v>
      </c>
      <c r="F352" s="26">
        <v>0.38958333333333334</v>
      </c>
      <c r="G352" s="17">
        <v>8.0000000000000002E-3</v>
      </c>
      <c r="H352" s="52">
        <v>1</v>
      </c>
      <c r="I352" s="17">
        <f t="shared" si="127"/>
        <v>8.0000000000000002E-3</v>
      </c>
      <c r="J352" s="1">
        <v>6152</v>
      </c>
      <c r="K352" s="2">
        <v>43209</v>
      </c>
      <c r="L352" s="26">
        <v>0.61875000000000002</v>
      </c>
      <c r="M352" s="16">
        <f t="shared" si="128"/>
        <v>800</v>
      </c>
      <c r="S352">
        <f>IF(B352="","",VLOOKUP(Cmt(B352),Sheet2!A:B,2,FALSE))</f>
        <v>5</v>
      </c>
      <c r="T352" s="39">
        <f t="shared" si="123"/>
        <v>9520000</v>
      </c>
      <c r="U352" s="13">
        <f t="shared" ref="U352:U374" si="129">IF(S352="","",T352*I352/(D352*S352*0.15))</f>
        <v>16.533159665689787</v>
      </c>
      <c r="W352" s="11"/>
    </row>
    <row r="353" spans="1:23">
      <c r="B353" s="1" t="s">
        <v>373</v>
      </c>
      <c r="C353" s="1">
        <v>-39</v>
      </c>
      <c r="D353" s="1">
        <v>2116</v>
      </c>
      <c r="E353" s="2">
        <v>43209</v>
      </c>
      <c r="F353" s="26">
        <v>0.4381944444444445</v>
      </c>
      <c r="G353" s="17">
        <v>1.2999999999999999E-2</v>
      </c>
      <c r="H353" s="52">
        <v>1</v>
      </c>
      <c r="I353" s="17">
        <f t="shared" si="127"/>
        <v>1.2999999999999999E-2</v>
      </c>
      <c r="J353" s="1">
        <v>2143</v>
      </c>
      <c r="K353" s="2">
        <v>43210</v>
      </c>
      <c r="L353" s="26">
        <v>0.4680555555555555</v>
      </c>
      <c r="M353" s="16">
        <f t="shared" si="128"/>
        <v>-10530</v>
      </c>
      <c r="S353">
        <f>IF(B353="","",VLOOKUP(Cmt(B353),Sheet2!A:B,2,FALSE))</f>
        <v>10</v>
      </c>
      <c r="T353" s="39">
        <f t="shared" si="123"/>
        <v>9520000</v>
      </c>
      <c r="U353" s="13">
        <f t="shared" si="129"/>
        <v>38.991808443604285</v>
      </c>
      <c r="W353" s="11"/>
    </row>
    <row r="354" spans="1:23">
      <c r="B354" s="1" t="s">
        <v>374</v>
      </c>
      <c r="C354" s="1">
        <v>14</v>
      </c>
      <c r="D354" s="1">
        <v>108230</v>
      </c>
      <c r="E354" s="2">
        <v>43209</v>
      </c>
      <c r="F354" s="26">
        <v>0.62152777777777779</v>
      </c>
      <c r="G354" s="17">
        <v>2.5000000000000001E-2</v>
      </c>
      <c r="H354" s="52">
        <v>1</v>
      </c>
      <c r="I354" s="17">
        <f t="shared" si="127"/>
        <v>2.5000000000000001E-2</v>
      </c>
      <c r="J354" s="1">
        <v>105690</v>
      </c>
      <c r="K354" s="2">
        <v>43210</v>
      </c>
      <c r="L354" s="26">
        <v>0.37916666666666665</v>
      </c>
      <c r="M354" s="16">
        <f t="shared" si="128"/>
        <v>-35560</v>
      </c>
      <c r="S354">
        <f>IF(B354="","",VLOOKUP(Cmt(B354),Sheet2!A:B,2,FALSE))</f>
        <v>1</v>
      </c>
      <c r="T354" s="39">
        <f t="shared" ref="T354:T374" si="130">IF(S354="","",T353)</f>
        <v>9520000</v>
      </c>
      <c r="U354" s="13">
        <f t="shared" si="129"/>
        <v>14.660137361791246</v>
      </c>
      <c r="W354" s="11"/>
    </row>
    <row r="355" spans="1:23">
      <c r="A355" s="3"/>
      <c r="B355" s="3" t="s">
        <v>375</v>
      </c>
      <c r="C355" s="3">
        <v>56</v>
      </c>
      <c r="D355" s="3">
        <v>3519</v>
      </c>
      <c r="E355" s="19">
        <v>43209</v>
      </c>
      <c r="F355" s="31">
        <v>0.62152777777777779</v>
      </c>
      <c r="G355" s="18">
        <v>3.1E-2</v>
      </c>
      <c r="H355" s="51">
        <v>1</v>
      </c>
      <c r="I355" s="18">
        <f t="shared" si="127"/>
        <v>3.1E-2</v>
      </c>
      <c r="J355" s="3">
        <v>3487</v>
      </c>
      <c r="K355" s="19">
        <v>43210</v>
      </c>
      <c r="L355" s="31">
        <v>0.46736111111111112</v>
      </c>
      <c r="M355" s="14">
        <f t="shared" si="128"/>
        <v>-17920</v>
      </c>
      <c r="N355" s="3"/>
      <c r="O355" s="3"/>
      <c r="P355" s="4"/>
      <c r="Q355" s="4"/>
      <c r="R355" s="4"/>
      <c r="S355">
        <f>IF(B355="","",VLOOKUP(Cmt(B355),Sheet2!A:B,2,FALSE))</f>
        <v>10</v>
      </c>
      <c r="T355" s="39">
        <f t="shared" si="130"/>
        <v>9520000</v>
      </c>
      <c r="U355" s="13">
        <f t="shared" si="129"/>
        <v>55.909822866344605</v>
      </c>
      <c r="W355" s="11"/>
    </row>
    <row r="356" spans="1:23">
      <c r="A356" s="2">
        <v>43210</v>
      </c>
      <c r="B356" s="1" t="s">
        <v>376</v>
      </c>
      <c r="C356" s="1">
        <v>44</v>
      </c>
      <c r="D356" s="1">
        <v>2142</v>
      </c>
      <c r="E356" s="2">
        <v>43210</v>
      </c>
      <c r="F356" s="26">
        <v>0.4680555555555555</v>
      </c>
      <c r="G356" s="17">
        <v>1.4999999999999999E-2</v>
      </c>
      <c r="H356" s="52">
        <v>1</v>
      </c>
      <c r="I356" s="17">
        <f t="shared" si="127"/>
        <v>1.4999999999999999E-2</v>
      </c>
      <c r="J356" s="1">
        <v>2134</v>
      </c>
      <c r="K356" s="2">
        <v>43210</v>
      </c>
      <c r="L356" s="26">
        <v>0.62152777777777779</v>
      </c>
      <c r="M356" s="16">
        <f t="shared" si="128"/>
        <v>-3520</v>
      </c>
      <c r="S356">
        <f>IF(B356="","",VLOOKUP(Cmt(B356),Sheet2!A:B,2,FALSE))</f>
        <v>10</v>
      </c>
      <c r="T356" s="39">
        <f t="shared" si="130"/>
        <v>9520000</v>
      </c>
      <c r="U356" s="13">
        <f t="shared" si="129"/>
        <v>44.444444444444443</v>
      </c>
      <c r="W356" s="11"/>
    </row>
    <row r="357" spans="1:23">
      <c r="B357" s="1" t="s">
        <v>377</v>
      </c>
      <c r="C357" s="1">
        <v>-1</v>
      </c>
      <c r="D357" s="1">
        <v>5883.8</v>
      </c>
      <c r="E357" s="2">
        <v>43210</v>
      </c>
      <c r="F357" s="26">
        <v>0.4680555555555555</v>
      </c>
      <c r="G357" s="17">
        <v>1.4999999999999999E-2</v>
      </c>
      <c r="H357" s="52">
        <v>1</v>
      </c>
      <c r="I357" s="17">
        <f t="shared" si="127"/>
        <v>1.4999999999999999E-2</v>
      </c>
      <c r="J357" s="1">
        <v>5889.8</v>
      </c>
      <c r="K357" s="2">
        <v>43214</v>
      </c>
      <c r="L357" s="26">
        <v>0.45555555555555555</v>
      </c>
      <c r="M357" s="16">
        <f t="shared" si="128"/>
        <v>-1200</v>
      </c>
      <c r="S357">
        <f>IF(B357="","",VLOOKUP(Cmt(B357),Sheet2!A:B,2,FALSE))</f>
        <v>200</v>
      </c>
      <c r="T357" s="39">
        <f t="shared" si="130"/>
        <v>9520000</v>
      </c>
      <c r="U357" s="13">
        <f t="shared" si="129"/>
        <v>0.80900098575750368</v>
      </c>
      <c r="W357" s="11"/>
    </row>
    <row r="358" spans="1:23">
      <c r="B358" s="1" t="s">
        <v>378</v>
      </c>
      <c r="C358" s="1">
        <v>-1</v>
      </c>
      <c r="D358" s="1">
        <v>2653.8</v>
      </c>
      <c r="E358" s="2">
        <v>43210</v>
      </c>
      <c r="F358" s="26">
        <v>0.4680555555555555</v>
      </c>
      <c r="G358" s="17">
        <v>1.4999999999999999E-2</v>
      </c>
      <c r="H358" s="52">
        <v>1</v>
      </c>
      <c r="I358" s="17">
        <f t="shared" si="127"/>
        <v>1.4999999999999999E-2</v>
      </c>
      <c r="J358" s="1">
        <v>2724.4</v>
      </c>
      <c r="K358" s="2">
        <v>43214</v>
      </c>
      <c r="L358" s="26">
        <v>0.4201388888888889</v>
      </c>
      <c r="M358" s="16">
        <f t="shared" si="128"/>
        <v>-21179.999999999971</v>
      </c>
      <c r="S358">
        <f>IF(B358="","",VLOOKUP(Cmt(B358),Sheet2!A:B,2,FALSE))</f>
        <v>300</v>
      </c>
      <c r="T358" s="39">
        <f t="shared" si="130"/>
        <v>9520000</v>
      </c>
      <c r="U358" s="13">
        <f t="shared" si="129"/>
        <v>1.1957695882633708</v>
      </c>
      <c r="W358" s="11"/>
    </row>
    <row r="359" spans="1:23" ht="14.25" thickBot="1">
      <c r="A359" s="34"/>
      <c r="B359" s="34" t="s">
        <v>379</v>
      </c>
      <c r="C359" s="34">
        <v>-1</v>
      </c>
      <c r="D359" s="34">
        <v>3764</v>
      </c>
      <c r="E359" s="38">
        <v>43210</v>
      </c>
      <c r="F359" s="35">
        <v>0.4680555555555555</v>
      </c>
      <c r="G359" s="36">
        <v>1.4999999999999999E-2</v>
      </c>
      <c r="H359" s="53">
        <v>1</v>
      </c>
      <c r="I359" s="36">
        <f t="shared" si="127"/>
        <v>1.4999999999999999E-2</v>
      </c>
      <c r="J359" s="34">
        <v>3817.6</v>
      </c>
      <c r="K359" s="38">
        <v>43214</v>
      </c>
      <c r="L359" s="35">
        <v>0.4201388888888889</v>
      </c>
      <c r="M359" s="40">
        <f t="shared" si="128"/>
        <v>-16079.999999999973</v>
      </c>
      <c r="N359" s="34"/>
      <c r="O359" s="34"/>
      <c r="P359" s="37"/>
      <c r="Q359" s="37"/>
      <c r="R359" s="37"/>
      <c r="S359">
        <f>IF(B359="","",VLOOKUP(Cmt(B359),Sheet2!A:B,2,FALSE))</f>
        <v>300</v>
      </c>
      <c r="T359" s="39">
        <f t="shared" si="130"/>
        <v>9520000</v>
      </c>
      <c r="U359" s="13">
        <f t="shared" si="129"/>
        <v>0.84307474318101305</v>
      </c>
      <c r="W359" s="11"/>
    </row>
    <row r="360" spans="1:23">
      <c r="A360" s="70">
        <v>43213</v>
      </c>
      <c r="B360" s="69" t="s">
        <v>380</v>
      </c>
      <c r="C360" s="69">
        <v>5</v>
      </c>
      <c r="D360" s="69">
        <v>51630</v>
      </c>
      <c r="E360" s="70">
        <v>43213</v>
      </c>
      <c r="F360" s="71">
        <v>0.37986111111111115</v>
      </c>
      <c r="G360" s="72">
        <v>1.9E-2</v>
      </c>
      <c r="H360" s="73">
        <v>1</v>
      </c>
      <c r="I360" s="72">
        <f t="shared" si="127"/>
        <v>1.9E-2</v>
      </c>
      <c r="J360" s="69">
        <v>51440</v>
      </c>
      <c r="K360" s="70">
        <v>43213</v>
      </c>
      <c r="L360" s="71">
        <v>0.96250000000000002</v>
      </c>
      <c r="M360" s="74">
        <f t="shared" si="128"/>
        <v>-4750</v>
      </c>
      <c r="N360" s="69"/>
      <c r="O360" s="69"/>
      <c r="P360" s="75"/>
      <c r="Q360" s="75"/>
      <c r="R360" s="75"/>
      <c r="S360">
        <f>IF(B360="","",VLOOKUP(Cmt(B360),Sheet2!A:B,2,FALSE))</f>
        <v>5</v>
      </c>
      <c r="T360" s="39">
        <f t="shared" si="130"/>
        <v>9520000</v>
      </c>
      <c r="U360" s="13">
        <f t="shared" si="129"/>
        <v>4.6711860029698498</v>
      </c>
      <c r="W360" s="11"/>
    </row>
    <row r="361" spans="1:23">
      <c r="A361" s="2">
        <v>43214</v>
      </c>
      <c r="B361" s="1" t="s">
        <v>384</v>
      </c>
      <c r="C361" s="1">
        <v>-8</v>
      </c>
      <c r="D361" s="1">
        <v>51435</v>
      </c>
      <c r="E361" s="2">
        <v>43213</v>
      </c>
      <c r="F361" s="26">
        <v>0.96250000000000002</v>
      </c>
      <c r="I361" s="17" t="str">
        <f t="shared" si="127"/>
        <v/>
      </c>
      <c r="J361" s="1">
        <v>51430</v>
      </c>
      <c r="K361" s="2">
        <v>43214</v>
      </c>
      <c r="L361" s="26">
        <v>0.38680555555555557</v>
      </c>
      <c r="M361" s="16">
        <f t="shared" si="128"/>
        <v>200</v>
      </c>
      <c r="S361">
        <f>IF(B361="","",VLOOKUP(Cmt(B361),Sheet2!A:B,2,FALSE))</f>
        <v>5</v>
      </c>
      <c r="T361" s="39">
        <v>9550000</v>
      </c>
      <c r="U361" s="13" t="e">
        <f t="shared" si="129"/>
        <v>#VALUE!</v>
      </c>
      <c r="W361" s="11"/>
    </row>
    <row r="362" spans="1:23">
      <c r="B362" s="1" t="s">
        <v>387</v>
      </c>
      <c r="C362" s="1">
        <v>-55</v>
      </c>
      <c r="D362" s="1">
        <v>2700</v>
      </c>
      <c r="E362" s="2">
        <v>43213</v>
      </c>
      <c r="F362" s="26">
        <v>0.96319444444444446</v>
      </c>
      <c r="I362" s="17" t="str">
        <f t="shared" si="127"/>
        <v/>
      </c>
      <c r="J362" s="1">
        <v>2707</v>
      </c>
      <c r="K362" s="2">
        <v>43214</v>
      </c>
      <c r="L362" s="26">
        <v>0.38680555555555557</v>
      </c>
      <c r="M362" s="16">
        <f t="shared" si="128"/>
        <v>-3850</v>
      </c>
      <c r="S362">
        <f>IF(B362="","",VLOOKUP(Cmt(B362),Sheet2!A:B,2,FALSE))</f>
        <v>10</v>
      </c>
      <c r="T362" s="39">
        <v>9550000</v>
      </c>
      <c r="U362" s="13" t="e">
        <f t="shared" si="129"/>
        <v>#VALUE!</v>
      </c>
      <c r="W362" s="11"/>
    </row>
    <row r="363" spans="1:23">
      <c r="B363" s="1" t="s">
        <v>381</v>
      </c>
      <c r="C363" s="1">
        <v>55</v>
      </c>
      <c r="D363" s="1">
        <v>3695</v>
      </c>
      <c r="E363" s="2">
        <v>43214</v>
      </c>
      <c r="F363" s="26">
        <v>0.38472222222222219</v>
      </c>
      <c r="G363" s="17">
        <v>3.2000000000000001E-2</v>
      </c>
      <c r="H363" s="52">
        <v>1</v>
      </c>
      <c r="I363" s="17">
        <f t="shared" si="127"/>
        <v>3.2000000000000001E-2</v>
      </c>
      <c r="J363" s="1">
        <v>3695</v>
      </c>
      <c r="K363" s="2">
        <v>43214</v>
      </c>
      <c r="L363" s="26">
        <v>0.8833333333333333</v>
      </c>
      <c r="M363" s="16">
        <f t="shared" si="128"/>
        <v>0</v>
      </c>
      <c r="S363">
        <f>IF(B363="","",VLOOKUP(Cmt(B363),Sheet2!A:B,2,FALSE))</f>
        <v>10</v>
      </c>
      <c r="T363" s="39">
        <v>9550000</v>
      </c>
      <c r="U363" s="13">
        <f t="shared" si="129"/>
        <v>55.137573297248537</v>
      </c>
      <c r="W363" s="11"/>
    </row>
    <row r="364" spans="1:23">
      <c r="B364" s="1" t="s">
        <v>382</v>
      </c>
      <c r="C364" s="1">
        <v>55</v>
      </c>
      <c r="D364" s="1">
        <v>3561</v>
      </c>
      <c r="E364" s="2">
        <v>43214</v>
      </c>
      <c r="F364" s="26">
        <v>0.38472222222222219</v>
      </c>
      <c r="G364" s="17">
        <v>3.1E-2</v>
      </c>
      <c r="H364" s="52">
        <v>1</v>
      </c>
      <c r="I364" s="17">
        <f t="shared" si="127"/>
        <v>3.1E-2</v>
      </c>
      <c r="J364" s="1">
        <v>3559</v>
      </c>
      <c r="K364" s="2">
        <v>43215</v>
      </c>
      <c r="L364" s="26">
        <v>0.3833333333333333</v>
      </c>
      <c r="M364" s="16">
        <f t="shared" si="128"/>
        <v>-1100</v>
      </c>
      <c r="S364">
        <f>IF(B364="","",VLOOKUP(Cmt(B364),Sheet2!A:B,2,FALSE))</f>
        <v>10</v>
      </c>
      <c r="T364" s="39">
        <f t="shared" si="130"/>
        <v>9550000</v>
      </c>
      <c r="U364" s="13">
        <f t="shared" si="129"/>
        <v>55.424506224843206</v>
      </c>
      <c r="W364" s="11"/>
    </row>
    <row r="365" spans="1:23">
      <c r="B365" s="1" t="s">
        <v>383</v>
      </c>
      <c r="C365" s="1">
        <v>12</v>
      </c>
      <c r="D365" s="1">
        <v>602</v>
      </c>
      <c r="E365" s="2">
        <v>43214</v>
      </c>
      <c r="F365" s="26">
        <v>0.38472222222222219</v>
      </c>
      <c r="G365" s="17">
        <v>1.0999999999999999E-2</v>
      </c>
      <c r="H365" s="52">
        <v>1</v>
      </c>
      <c r="I365" s="17">
        <f t="shared" si="127"/>
        <v>1.0999999999999999E-2</v>
      </c>
      <c r="J365" s="1">
        <v>600.79999999999995</v>
      </c>
      <c r="K365" s="2">
        <v>43214</v>
      </c>
      <c r="L365" s="26">
        <v>0.8833333333333333</v>
      </c>
      <c r="M365" s="16">
        <f t="shared" si="128"/>
        <v>-1440.0000000000546</v>
      </c>
      <c r="S365">
        <f>IF(B365="","",VLOOKUP(Cmt(B365),Sheet2!A:B,2,FALSE))</f>
        <v>100</v>
      </c>
      <c r="T365" s="39">
        <f t="shared" si="130"/>
        <v>9550000</v>
      </c>
      <c r="U365" s="13">
        <f t="shared" si="129"/>
        <v>11.63344407530454</v>
      </c>
      <c r="W365" s="11"/>
    </row>
    <row r="366" spans="1:23">
      <c r="B366" s="1" t="s">
        <v>384</v>
      </c>
      <c r="C366" s="1">
        <v>5</v>
      </c>
      <c r="D366" s="1">
        <v>51430</v>
      </c>
      <c r="E366" s="2">
        <v>43214</v>
      </c>
      <c r="F366" s="26">
        <v>0.38472222222222219</v>
      </c>
      <c r="G366" s="17">
        <v>1.9E-2</v>
      </c>
      <c r="H366" s="52">
        <v>1</v>
      </c>
      <c r="I366" s="17">
        <f t="shared" si="127"/>
        <v>1.9E-2</v>
      </c>
      <c r="J366" s="1">
        <v>51660</v>
      </c>
      <c r="K366" s="2">
        <v>43215</v>
      </c>
      <c r="L366" s="26">
        <v>0.4458333333333333</v>
      </c>
      <c r="M366" s="16">
        <f t="shared" si="128"/>
        <v>5750</v>
      </c>
      <c r="S366">
        <f>IF(B366="","",VLOOKUP(Cmt(B366),Sheet2!A:B,2,FALSE))</f>
        <v>5</v>
      </c>
      <c r="T366" s="39">
        <f t="shared" si="130"/>
        <v>9550000</v>
      </c>
      <c r="U366" s="13">
        <f t="shared" si="129"/>
        <v>4.7041285890206757</v>
      </c>
      <c r="W366" s="11"/>
    </row>
    <row r="367" spans="1:23">
      <c r="B367" s="1" t="s">
        <v>385</v>
      </c>
      <c r="C367" s="1">
        <v>-23</v>
      </c>
      <c r="D367" s="1">
        <v>4988</v>
      </c>
      <c r="E367" s="2">
        <v>43214</v>
      </c>
      <c r="F367" s="26">
        <v>0.38472222222222219</v>
      </c>
      <c r="G367" s="17">
        <v>1.7999999999999999E-2</v>
      </c>
      <c r="H367" s="52">
        <v>1</v>
      </c>
      <c r="I367" s="17">
        <f t="shared" si="127"/>
        <v>1.7999999999999999E-2</v>
      </c>
      <c r="J367" s="1">
        <v>4992</v>
      </c>
      <c r="K367" s="2">
        <v>43214</v>
      </c>
      <c r="L367" s="26">
        <v>0.8833333333333333</v>
      </c>
      <c r="M367" s="16">
        <f t="shared" si="128"/>
        <v>-920</v>
      </c>
      <c r="S367">
        <f>IF(B367="","",VLOOKUP(Cmt(B367),Sheet2!A:B,2,FALSE))</f>
        <v>10</v>
      </c>
      <c r="T367" s="39">
        <f t="shared" si="130"/>
        <v>9550000</v>
      </c>
      <c r="U367" s="13">
        <f t="shared" si="129"/>
        <v>22.975140336808341</v>
      </c>
      <c r="W367" s="11"/>
    </row>
    <row r="368" spans="1:23">
      <c r="B368" s="1" t="s">
        <v>386</v>
      </c>
      <c r="C368" s="1">
        <v>-2</v>
      </c>
      <c r="D368" s="1">
        <v>271.60000000000002</v>
      </c>
      <c r="E368" s="2">
        <v>43214</v>
      </c>
      <c r="F368" s="26">
        <v>0.38472222222222219</v>
      </c>
      <c r="G368" s="17">
        <v>7.0000000000000001E-3</v>
      </c>
      <c r="H368" s="52">
        <v>1</v>
      </c>
      <c r="I368" s="17">
        <f t="shared" si="127"/>
        <v>7.0000000000000001E-3</v>
      </c>
      <c r="J368" s="1">
        <v>272.10000000000002</v>
      </c>
      <c r="K368" s="2">
        <v>43214</v>
      </c>
      <c r="L368" s="26">
        <v>0.57291666666666663</v>
      </c>
      <c r="M368" s="16">
        <f t="shared" si="128"/>
        <v>-1000</v>
      </c>
      <c r="S368">
        <f>IF(B368="","",VLOOKUP(Cmt(B368),Sheet2!A:B,2,FALSE))</f>
        <v>1000</v>
      </c>
      <c r="T368" s="39">
        <f t="shared" si="130"/>
        <v>9550000</v>
      </c>
      <c r="U368" s="13">
        <f t="shared" si="129"/>
        <v>1.640893470790378</v>
      </c>
      <c r="W368" s="11"/>
    </row>
    <row r="369" spans="1:23">
      <c r="A369" s="3"/>
      <c r="B369" s="3" t="s">
        <v>388</v>
      </c>
      <c r="C369" s="3">
        <v>37</v>
      </c>
      <c r="D369" s="3">
        <v>2731</v>
      </c>
      <c r="E369" s="19">
        <v>43214</v>
      </c>
      <c r="F369" s="31">
        <v>0.57361111111111118</v>
      </c>
      <c r="G369" s="18">
        <v>1.6E-2</v>
      </c>
      <c r="H369" s="51">
        <v>1</v>
      </c>
      <c r="I369" s="18">
        <f t="shared" si="127"/>
        <v>1.6E-2</v>
      </c>
      <c r="J369" s="3">
        <v>2698</v>
      </c>
      <c r="K369" s="19">
        <v>43215</v>
      </c>
      <c r="L369" s="31">
        <v>0.3833333333333333</v>
      </c>
      <c r="M369" s="14">
        <f t="shared" si="128"/>
        <v>-12210</v>
      </c>
      <c r="N369" s="3"/>
      <c r="O369" s="3"/>
      <c r="P369" s="4"/>
      <c r="Q369" s="4"/>
      <c r="R369" s="4"/>
      <c r="S369">
        <f>IF(B369="","",VLOOKUP(Cmt(B369),Sheet2!A:B,2,FALSE))</f>
        <v>10</v>
      </c>
      <c r="T369" s="39">
        <f t="shared" si="130"/>
        <v>9550000</v>
      </c>
      <c r="U369" s="13">
        <f t="shared" si="129"/>
        <v>37.300134260954472</v>
      </c>
      <c r="W369" s="11"/>
    </row>
    <row r="370" spans="1:23">
      <c r="A370" s="2">
        <v>43215</v>
      </c>
      <c r="B370" s="1" t="s">
        <v>389</v>
      </c>
      <c r="C370" s="1">
        <v>-23</v>
      </c>
      <c r="D370" s="1">
        <v>4980</v>
      </c>
      <c r="E370" s="2">
        <v>43215</v>
      </c>
      <c r="F370" s="26">
        <v>0.3840277777777778</v>
      </c>
      <c r="G370" s="17">
        <v>1.7999999999999999E-2</v>
      </c>
      <c r="H370" s="52">
        <v>1</v>
      </c>
      <c r="I370" s="17">
        <f t="shared" si="127"/>
        <v>1.7999999999999999E-2</v>
      </c>
      <c r="J370" s="1">
        <v>4992</v>
      </c>
      <c r="K370" s="2">
        <v>43215</v>
      </c>
      <c r="L370" s="26">
        <v>0.5708333333333333</v>
      </c>
      <c r="M370" s="16">
        <f t="shared" si="128"/>
        <v>-2760</v>
      </c>
      <c r="S370">
        <f>IF(B370="","",VLOOKUP(Cmt(B370),Sheet2!A:B,2,FALSE))</f>
        <v>10</v>
      </c>
      <c r="T370" s="39">
        <f t="shared" si="130"/>
        <v>9550000</v>
      </c>
      <c r="U370" s="13">
        <f t="shared" si="129"/>
        <v>23.012048192771083</v>
      </c>
      <c r="W370" s="11"/>
    </row>
    <row r="371" spans="1:23">
      <c r="A371" s="3"/>
      <c r="B371" s="3" t="s">
        <v>390</v>
      </c>
      <c r="C371" s="3">
        <v>55</v>
      </c>
      <c r="D371" s="3">
        <v>3579</v>
      </c>
      <c r="E371" s="19">
        <v>43215</v>
      </c>
      <c r="F371" s="31">
        <v>0.62013888888888891</v>
      </c>
      <c r="G371" s="18">
        <v>3.1E-2</v>
      </c>
      <c r="H371" s="51">
        <v>1</v>
      </c>
      <c r="I371" s="18">
        <f t="shared" si="127"/>
        <v>3.1E-2</v>
      </c>
      <c r="J371" s="3">
        <v>3552</v>
      </c>
      <c r="K371" s="19">
        <v>43216</v>
      </c>
      <c r="L371" s="31">
        <v>0.40972222222222227</v>
      </c>
      <c r="M371" s="14">
        <f t="shared" si="128"/>
        <v>-14850</v>
      </c>
      <c r="N371" s="3"/>
      <c r="O371" s="3"/>
      <c r="P371" s="4"/>
      <c r="Q371" s="4"/>
      <c r="R371" s="4"/>
      <c r="S371">
        <f>IF(B371="","",VLOOKUP(Cmt(B371),Sheet2!A:B,2,FALSE))</f>
        <v>10</v>
      </c>
      <c r="T371" s="39">
        <f t="shared" si="130"/>
        <v>9550000</v>
      </c>
      <c r="U371" s="13">
        <f t="shared" si="129"/>
        <v>55.145757660426561</v>
      </c>
      <c r="W371" s="11"/>
    </row>
    <row r="372" spans="1:23">
      <c r="A372" s="2">
        <v>43216</v>
      </c>
      <c r="B372" s="1" t="s">
        <v>391</v>
      </c>
      <c r="C372" s="1">
        <v>5</v>
      </c>
      <c r="D372" s="1">
        <v>51880</v>
      </c>
      <c r="E372" s="2">
        <v>43216</v>
      </c>
      <c r="F372" s="26">
        <v>0.3833333333333333</v>
      </c>
      <c r="G372" s="17">
        <v>1.9E-2</v>
      </c>
      <c r="H372" s="52">
        <v>1</v>
      </c>
      <c r="I372" s="17">
        <f t="shared" si="127"/>
        <v>1.9E-2</v>
      </c>
      <c r="J372" s="1">
        <v>51460</v>
      </c>
      <c r="K372" s="2">
        <v>43216</v>
      </c>
      <c r="L372" s="26">
        <v>0.56944444444444442</v>
      </c>
      <c r="M372" s="16">
        <f t="shared" si="128"/>
        <v>-10500</v>
      </c>
      <c r="S372">
        <f>IF(B372="","",VLOOKUP(Cmt(B372),Sheet2!A:B,2,FALSE))</f>
        <v>5</v>
      </c>
      <c r="T372" s="39">
        <f t="shared" si="130"/>
        <v>9550000</v>
      </c>
      <c r="U372" s="13">
        <f t="shared" si="129"/>
        <v>4.663325623233102</v>
      </c>
      <c r="W372" s="11"/>
    </row>
    <row r="373" spans="1:23">
      <c r="B373" s="1" t="s">
        <v>423</v>
      </c>
      <c r="C373" s="1">
        <v>15</v>
      </c>
      <c r="D373" s="1">
        <v>6462</v>
      </c>
      <c r="E373" s="2">
        <v>43216</v>
      </c>
      <c r="F373" s="26">
        <v>0.56944444444444442</v>
      </c>
      <c r="G373" s="17">
        <v>8.0000000000000002E-3</v>
      </c>
      <c r="H373" s="52">
        <v>1</v>
      </c>
      <c r="I373" s="17">
        <f t="shared" si="127"/>
        <v>8.0000000000000002E-3</v>
      </c>
      <c r="M373" s="16" t="str">
        <f t="shared" si="128"/>
        <v/>
      </c>
      <c r="S373">
        <f>IF(B373="","",VLOOKUP(Cmt(B373),Sheet2!A:B,2,FALSE))</f>
        <v>5</v>
      </c>
      <c r="T373" s="39">
        <f t="shared" si="130"/>
        <v>9550000</v>
      </c>
      <c r="U373" s="13">
        <f t="shared" si="129"/>
        <v>15.763953368410194</v>
      </c>
      <c r="W373" s="11"/>
    </row>
    <row r="374" spans="1:23">
      <c r="B374" s="1" t="s">
        <v>424</v>
      </c>
      <c r="C374" s="1">
        <v>25</v>
      </c>
      <c r="D374" s="1">
        <v>14375</v>
      </c>
      <c r="E374" s="2">
        <v>43216</v>
      </c>
      <c r="F374" s="26">
        <v>0.56944444444444442</v>
      </c>
      <c r="G374" s="17">
        <v>2.8000000000000001E-2</v>
      </c>
      <c r="H374" s="52">
        <v>1</v>
      </c>
      <c r="I374" s="17">
        <f t="shared" si="127"/>
        <v>2.8000000000000001E-2</v>
      </c>
      <c r="M374" s="16" t="str">
        <f t="shared" si="128"/>
        <v/>
      </c>
      <c r="S374">
        <f>IF(B374="","",VLOOKUP(Cmt(B374),Sheet2!A:B,2,FALSE))</f>
        <v>5</v>
      </c>
      <c r="T374" s="39">
        <f t="shared" si="130"/>
        <v>9550000</v>
      </c>
      <c r="U374" s="13">
        <f t="shared" si="129"/>
        <v>24.802318840579709</v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17" activePane="bottomLeft" state="frozen"/>
      <selection pane="bottomLeft" activeCell="D9" sqref="D9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79</v>
      </c>
      <c r="E1" s="87" t="s">
        <v>324</v>
      </c>
      <c r="F1" s="88" t="s">
        <v>325</v>
      </c>
      <c r="G1" s="66" t="s">
        <v>326</v>
      </c>
      <c r="H1" s="61" t="s">
        <v>327</v>
      </c>
      <c r="I1" s="61" t="s">
        <v>328</v>
      </c>
      <c r="J1" s="66" t="s">
        <v>329</v>
      </c>
      <c r="K1" s="79" t="s">
        <v>257</v>
      </c>
      <c r="L1" s="79" t="s">
        <v>260</v>
      </c>
    </row>
    <row r="2" spans="1:12">
      <c r="A2" s="13" t="s">
        <v>394</v>
      </c>
      <c r="B2" s="13">
        <v>12</v>
      </c>
      <c r="C2" s="13">
        <v>103580</v>
      </c>
      <c r="D2" s="21">
        <v>43208</v>
      </c>
      <c r="E2" s="33">
        <v>0.4680555555555555</v>
      </c>
      <c r="F2" s="20">
        <v>0.02</v>
      </c>
      <c r="G2" s="13">
        <v>107870</v>
      </c>
      <c r="H2" s="21">
        <v>43209</v>
      </c>
      <c r="I2" s="33">
        <v>0.58194444444444449</v>
      </c>
      <c r="J2" s="16">
        <v>51480</v>
      </c>
      <c r="K2" t="s">
        <v>420</v>
      </c>
    </row>
    <row r="3" spans="1:12">
      <c r="A3" s="13" t="s">
        <v>394</v>
      </c>
      <c r="B3" s="13">
        <v>15</v>
      </c>
      <c r="C3" s="13">
        <v>101832</v>
      </c>
      <c r="D3" s="21">
        <v>43202</v>
      </c>
      <c r="E3" s="33">
        <v>0.9291666666666667</v>
      </c>
      <c r="F3" s="20">
        <v>2.4E-2</v>
      </c>
      <c r="G3" s="13">
        <v>103590</v>
      </c>
      <c r="H3" s="21">
        <v>43206</v>
      </c>
      <c r="I3" s="33">
        <v>0.38263888888888892</v>
      </c>
      <c r="J3" s="16">
        <v>26370</v>
      </c>
      <c r="K3" t="s">
        <v>420</v>
      </c>
    </row>
    <row r="4" spans="1:12">
      <c r="A4" s="13" t="s">
        <v>408</v>
      </c>
      <c r="B4" s="13">
        <v>6</v>
      </c>
      <c r="C4" s="13">
        <v>51130</v>
      </c>
      <c r="D4" s="21">
        <v>43208</v>
      </c>
      <c r="E4" s="33">
        <v>0.61736111111111114</v>
      </c>
      <c r="F4" s="20">
        <v>2.4E-2</v>
      </c>
      <c r="G4" s="13">
        <v>51890</v>
      </c>
      <c r="H4" s="21">
        <v>43209</v>
      </c>
      <c r="I4" s="33">
        <v>0.61944444444444446</v>
      </c>
      <c r="J4" s="16">
        <v>22800</v>
      </c>
      <c r="K4" t="s">
        <v>420</v>
      </c>
    </row>
    <row r="5" spans="1:12">
      <c r="A5" s="13" t="s">
        <v>406</v>
      </c>
      <c r="B5" s="13">
        <v>38</v>
      </c>
      <c r="C5" s="13">
        <v>2673</v>
      </c>
      <c r="D5" s="21">
        <v>43207</v>
      </c>
      <c r="E5" s="33">
        <v>0.44791666666666669</v>
      </c>
      <c r="F5" s="20">
        <v>1.6E-2</v>
      </c>
      <c r="G5" s="13">
        <v>2711</v>
      </c>
      <c r="H5" s="21">
        <v>43209</v>
      </c>
      <c r="I5" s="33">
        <v>0.39027777777777778</v>
      </c>
      <c r="J5" s="16">
        <v>14440</v>
      </c>
      <c r="K5" t="s">
        <v>420</v>
      </c>
    </row>
    <row r="6" spans="1:12">
      <c r="A6" s="13" t="s">
        <v>393</v>
      </c>
      <c r="B6" s="13">
        <v>-31</v>
      </c>
      <c r="C6" s="13">
        <v>560.6</v>
      </c>
      <c r="D6" s="21">
        <v>43200</v>
      </c>
      <c r="E6" s="33">
        <v>0.59097222222222223</v>
      </c>
      <c r="F6" s="20">
        <v>2.8000000000000001E-2</v>
      </c>
      <c r="G6" s="13">
        <v>556.79999999999995</v>
      </c>
      <c r="H6" s="21">
        <v>43202</v>
      </c>
      <c r="I6" s="33">
        <v>0.47847222222222219</v>
      </c>
      <c r="J6" s="16">
        <v>11780.000000000211</v>
      </c>
      <c r="K6" t="s">
        <v>420</v>
      </c>
    </row>
    <row r="7" spans="1:12">
      <c r="A7" s="13" t="s">
        <v>399</v>
      </c>
      <c r="B7" s="13">
        <v>-24</v>
      </c>
      <c r="C7" s="13">
        <v>5046</v>
      </c>
      <c r="D7" s="21">
        <v>43206</v>
      </c>
      <c r="E7" s="33">
        <v>0.38541666666666669</v>
      </c>
      <c r="F7" s="20">
        <v>1.9E-2</v>
      </c>
      <c r="G7" s="13">
        <v>4998</v>
      </c>
      <c r="H7" s="21">
        <v>43207</v>
      </c>
      <c r="I7" s="33">
        <v>0.88541666666666663</v>
      </c>
      <c r="J7" s="16">
        <v>11520</v>
      </c>
      <c r="K7" t="s">
        <v>420</v>
      </c>
    </row>
    <row r="8" spans="1:12">
      <c r="A8" s="13" t="s">
        <v>323</v>
      </c>
      <c r="B8" s="13">
        <v>1</v>
      </c>
      <c r="C8" s="13">
        <v>94.114999999999995</v>
      </c>
      <c r="D8" s="21">
        <v>43206</v>
      </c>
      <c r="E8" s="33">
        <v>0.44305555555555554</v>
      </c>
      <c r="F8" s="20">
        <v>8.0000000000000002E-3</v>
      </c>
      <c r="G8" s="13">
        <v>95.13</v>
      </c>
      <c r="H8" s="21">
        <v>43209</v>
      </c>
      <c r="I8" s="33">
        <v>0.61875000000000002</v>
      </c>
      <c r="J8" s="16">
        <v>10150.000000000005</v>
      </c>
      <c r="K8" t="s">
        <v>420</v>
      </c>
    </row>
    <row r="9" spans="1:12">
      <c r="A9" s="13" t="s">
        <v>55</v>
      </c>
      <c r="B9" s="13">
        <v>18</v>
      </c>
      <c r="C9" s="13">
        <v>2778</v>
      </c>
      <c r="D9" s="21">
        <v>43202</v>
      </c>
      <c r="E9" s="33">
        <v>0.56805555555555554</v>
      </c>
      <c r="F9" s="20">
        <v>8.0000000000000002E-3</v>
      </c>
      <c r="G9" s="13">
        <v>2826</v>
      </c>
      <c r="H9" s="21">
        <v>43206</v>
      </c>
      <c r="I9" s="33">
        <v>0.61388888888888882</v>
      </c>
      <c r="J9" s="16">
        <v>8640</v>
      </c>
      <c r="K9" t="s">
        <v>420</v>
      </c>
    </row>
    <row r="10" spans="1:12">
      <c r="A10" s="13" t="s">
        <v>402</v>
      </c>
      <c r="B10" s="13">
        <v>-1</v>
      </c>
      <c r="C10" s="13">
        <v>6001.2</v>
      </c>
      <c r="D10" s="21">
        <v>43206</v>
      </c>
      <c r="E10" s="33">
        <v>0.44305555555555554</v>
      </c>
      <c r="F10" s="20">
        <v>0.01</v>
      </c>
      <c r="G10" s="13">
        <v>5962</v>
      </c>
      <c r="H10" s="21">
        <v>43209</v>
      </c>
      <c r="I10" s="33">
        <v>0.43472222222222223</v>
      </c>
      <c r="J10" s="16">
        <v>7839.9999999999636</v>
      </c>
      <c r="K10" t="s">
        <v>420</v>
      </c>
    </row>
    <row r="11" spans="1:12">
      <c r="A11" s="13" t="s">
        <v>400</v>
      </c>
      <c r="B11" s="13">
        <v>1</v>
      </c>
      <c r="C11" s="13">
        <v>97.204999999999998</v>
      </c>
      <c r="D11" s="21">
        <v>43206</v>
      </c>
      <c r="E11" s="33">
        <v>0.44305555555555554</v>
      </c>
      <c r="F11" s="20">
        <v>1.0999999999999999E-2</v>
      </c>
      <c r="G11" s="13">
        <v>97.98</v>
      </c>
      <c r="H11" s="21">
        <v>43209</v>
      </c>
      <c r="I11" s="33">
        <v>0.61875000000000002</v>
      </c>
      <c r="J11" s="16">
        <v>7750.0000000000564</v>
      </c>
      <c r="K11" t="s">
        <v>420</v>
      </c>
    </row>
    <row r="12" spans="1:12">
      <c r="A12" s="13" t="s">
        <v>408</v>
      </c>
      <c r="B12" s="13">
        <v>5</v>
      </c>
      <c r="C12" s="13">
        <v>51430</v>
      </c>
      <c r="D12" s="21">
        <v>43214</v>
      </c>
      <c r="E12" s="33">
        <v>0.38472222222222219</v>
      </c>
      <c r="F12" s="20">
        <v>1.9E-2</v>
      </c>
      <c r="G12" s="13">
        <v>51660</v>
      </c>
      <c r="H12" s="21">
        <v>43215</v>
      </c>
      <c r="I12" s="33">
        <v>0.4458333333333333</v>
      </c>
      <c r="J12" s="16">
        <v>5750</v>
      </c>
      <c r="K12" t="s">
        <v>420</v>
      </c>
    </row>
    <row r="13" spans="1:12">
      <c r="A13" s="13" t="s">
        <v>409</v>
      </c>
      <c r="B13" s="13">
        <v>56</v>
      </c>
      <c r="C13" s="13">
        <v>3598.21</v>
      </c>
      <c r="D13" s="21">
        <v>43208</v>
      </c>
      <c r="E13" s="33">
        <v>0.93194444444444446</v>
      </c>
      <c r="F13" s="20">
        <v>3.1E-2</v>
      </c>
      <c r="G13" s="13">
        <v>3608</v>
      </c>
      <c r="H13" s="21">
        <v>43210</v>
      </c>
      <c r="I13" s="33">
        <v>0.37916666666666665</v>
      </c>
      <c r="J13" s="16">
        <v>5482.3999999999796</v>
      </c>
      <c r="K13" t="s">
        <v>420</v>
      </c>
    </row>
    <row r="14" spans="1:12">
      <c r="A14" s="13" t="s">
        <v>54</v>
      </c>
      <c r="B14" s="13">
        <v>27</v>
      </c>
      <c r="C14" s="13">
        <v>2844</v>
      </c>
      <c r="D14" s="21">
        <v>43208</v>
      </c>
      <c r="E14" s="33">
        <v>0.4201388888888889</v>
      </c>
      <c r="F14" s="20">
        <v>1.2E-2</v>
      </c>
      <c r="G14" s="13">
        <v>2852</v>
      </c>
      <c r="H14" s="21">
        <v>43210</v>
      </c>
      <c r="I14" s="33">
        <v>0.46666666666666662</v>
      </c>
      <c r="J14" s="16">
        <v>2160</v>
      </c>
      <c r="K14" t="s">
        <v>420</v>
      </c>
    </row>
    <row r="15" spans="1:12">
      <c r="A15" s="13" t="s">
        <v>411</v>
      </c>
      <c r="B15" s="13">
        <v>16</v>
      </c>
      <c r="C15" s="13">
        <v>6142</v>
      </c>
      <c r="D15" s="21">
        <v>43209</v>
      </c>
      <c r="E15" s="33">
        <v>0.38958333333333334</v>
      </c>
      <c r="F15" s="20">
        <v>8.0000000000000002E-3</v>
      </c>
      <c r="G15" s="13">
        <v>6152</v>
      </c>
      <c r="H15" s="21">
        <v>43209</v>
      </c>
      <c r="I15" s="33">
        <v>0.61875000000000002</v>
      </c>
      <c r="J15" s="16">
        <v>800</v>
      </c>
      <c r="K15" t="s">
        <v>420</v>
      </c>
    </row>
    <row r="16" spans="1:12">
      <c r="A16" s="13" t="s">
        <v>54</v>
      </c>
      <c r="B16" s="13">
        <v>20</v>
      </c>
      <c r="C16" s="13">
        <v>2838</v>
      </c>
      <c r="D16" s="21">
        <v>43202</v>
      </c>
      <c r="E16" s="33">
        <v>0.47847222222222219</v>
      </c>
      <c r="F16" s="20">
        <v>8.9999999999999993E-3</v>
      </c>
      <c r="G16" s="13">
        <v>2840</v>
      </c>
      <c r="H16" s="21">
        <v>43202</v>
      </c>
      <c r="I16" s="33">
        <v>0.59652777777777777</v>
      </c>
      <c r="J16" s="16">
        <v>400</v>
      </c>
      <c r="K16" t="s">
        <v>420</v>
      </c>
    </row>
    <row r="17" spans="1:11">
      <c r="A17" s="13" t="s">
        <v>404</v>
      </c>
      <c r="B17" s="13">
        <v>23</v>
      </c>
      <c r="C17" s="13">
        <v>4065</v>
      </c>
      <c r="D17" s="21">
        <v>43206</v>
      </c>
      <c r="E17" s="33">
        <v>0.56597222222222221</v>
      </c>
      <c r="F17" s="20">
        <v>1.4999999999999999E-2</v>
      </c>
      <c r="G17" s="13">
        <v>4068</v>
      </c>
      <c r="H17" s="21">
        <v>43207</v>
      </c>
      <c r="I17" s="33">
        <v>0.38194444444444442</v>
      </c>
      <c r="J17" s="16">
        <v>345</v>
      </c>
      <c r="K17" t="s">
        <v>420</v>
      </c>
    </row>
    <row r="18" spans="1:11">
      <c r="A18" s="13" t="s">
        <v>408</v>
      </c>
      <c r="B18" s="13">
        <v>-8</v>
      </c>
      <c r="C18" s="13">
        <v>51435</v>
      </c>
      <c r="D18" s="21">
        <v>43213</v>
      </c>
      <c r="E18" s="33">
        <v>0.96250000000000002</v>
      </c>
      <c r="F18" s="20"/>
      <c r="G18" s="13">
        <v>51430</v>
      </c>
      <c r="H18" s="21">
        <v>43214</v>
      </c>
      <c r="I18" s="33">
        <v>0.38680555555555557</v>
      </c>
      <c r="J18" s="16">
        <v>200</v>
      </c>
      <c r="K18" t="s">
        <v>419</v>
      </c>
    </row>
    <row r="19" spans="1:11">
      <c r="A19" s="13" t="s">
        <v>55</v>
      </c>
      <c r="B19" s="13">
        <v>18</v>
      </c>
      <c r="C19" s="13">
        <v>2743</v>
      </c>
      <c r="D19" s="21">
        <v>43201</v>
      </c>
      <c r="E19" s="33">
        <v>0.91875000000000007</v>
      </c>
      <c r="F19" s="20">
        <v>8.0000000000000002E-3</v>
      </c>
      <c r="G19" s="13">
        <v>2744</v>
      </c>
      <c r="H19" s="21">
        <v>43202</v>
      </c>
      <c r="I19" s="33">
        <v>0.88750000000000007</v>
      </c>
      <c r="J19" s="16">
        <v>180</v>
      </c>
      <c r="K19" t="s">
        <v>419</v>
      </c>
    </row>
    <row r="20" spans="1:11">
      <c r="A20" s="13" t="s">
        <v>409</v>
      </c>
      <c r="B20" s="13">
        <v>55</v>
      </c>
      <c r="C20" s="13">
        <v>3695</v>
      </c>
      <c r="D20" s="21">
        <v>43214</v>
      </c>
      <c r="E20" s="33">
        <v>0.38472222222222219</v>
      </c>
      <c r="F20" s="20">
        <v>3.2000000000000001E-2</v>
      </c>
      <c r="G20" s="13">
        <v>3695</v>
      </c>
      <c r="H20" s="21">
        <v>43214</v>
      </c>
      <c r="I20" s="33">
        <v>0.8833333333333333</v>
      </c>
      <c r="J20" s="16">
        <v>0</v>
      </c>
      <c r="K20" t="s">
        <v>419</v>
      </c>
    </row>
    <row r="21" spans="1:11">
      <c r="A21" s="13" t="s">
        <v>52</v>
      </c>
      <c r="B21" s="13">
        <v>-45</v>
      </c>
      <c r="C21" s="13">
        <v>2125</v>
      </c>
      <c r="D21" s="21">
        <v>43202</v>
      </c>
      <c r="E21" s="33">
        <v>0.47847222222222219</v>
      </c>
      <c r="F21" s="20">
        <v>1.4999999999999999E-2</v>
      </c>
      <c r="G21" s="13">
        <v>2125</v>
      </c>
      <c r="H21" s="21">
        <v>43202</v>
      </c>
      <c r="I21" s="33">
        <v>0.56944444444444442</v>
      </c>
      <c r="J21" s="16">
        <v>0</v>
      </c>
      <c r="K21" t="s">
        <v>419</v>
      </c>
    </row>
    <row r="22" spans="1:11">
      <c r="A22" s="13" t="s">
        <v>401</v>
      </c>
      <c r="B22" s="13">
        <v>-45</v>
      </c>
      <c r="C22" s="13">
        <v>2127</v>
      </c>
      <c r="D22" s="21">
        <v>43206</v>
      </c>
      <c r="E22" s="33">
        <v>0.44305555555555554</v>
      </c>
      <c r="F22" s="20">
        <v>1.4999999999999999E-2</v>
      </c>
      <c r="G22" s="13">
        <v>2128</v>
      </c>
      <c r="H22" s="21">
        <v>43206</v>
      </c>
      <c r="I22" s="33">
        <v>0.47569444444444442</v>
      </c>
      <c r="J22" s="16">
        <v>-450</v>
      </c>
      <c r="K22" t="s">
        <v>419</v>
      </c>
    </row>
    <row r="23" spans="1:11">
      <c r="A23" s="13" t="s">
        <v>399</v>
      </c>
      <c r="B23" s="13">
        <v>-23</v>
      </c>
      <c r="C23" s="13">
        <v>4988</v>
      </c>
      <c r="D23" s="21">
        <v>43214</v>
      </c>
      <c r="E23" s="33">
        <v>0.38472222222222219</v>
      </c>
      <c r="F23" s="20">
        <v>1.7999999999999999E-2</v>
      </c>
      <c r="G23" s="13">
        <v>4992</v>
      </c>
      <c r="H23" s="21">
        <v>43214</v>
      </c>
      <c r="I23" s="33">
        <v>0.8833333333333333</v>
      </c>
      <c r="J23" s="16">
        <v>-920</v>
      </c>
      <c r="K23" t="s">
        <v>419</v>
      </c>
    </row>
    <row r="24" spans="1:11">
      <c r="A24" s="13" t="s">
        <v>398</v>
      </c>
      <c r="B24" s="13">
        <v>-12</v>
      </c>
      <c r="C24" s="13">
        <v>1725.2083333333333</v>
      </c>
      <c r="D24" s="21">
        <v>43202</v>
      </c>
      <c r="E24" s="33">
        <v>0.89027777777777783</v>
      </c>
      <c r="F24" s="20">
        <v>3.2000000000000001E-2</v>
      </c>
      <c r="G24" s="13">
        <v>1726</v>
      </c>
      <c r="H24" s="21">
        <v>43202</v>
      </c>
      <c r="I24" s="33">
        <v>0.9291666666666667</v>
      </c>
      <c r="J24" s="16">
        <v>-950.00000000009095</v>
      </c>
      <c r="K24" t="s">
        <v>419</v>
      </c>
    </row>
    <row r="25" spans="1:11">
      <c r="A25" s="13" t="s">
        <v>416</v>
      </c>
      <c r="B25" s="13">
        <v>-2</v>
      </c>
      <c r="C25" s="13">
        <v>271.60000000000002</v>
      </c>
      <c r="D25" s="21">
        <v>43214</v>
      </c>
      <c r="E25" s="33">
        <v>0.38472222222222219</v>
      </c>
      <c r="F25" s="20">
        <v>7.0000000000000001E-3</v>
      </c>
      <c r="G25" s="13">
        <v>272.10000000000002</v>
      </c>
      <c r="H25" s="21">
        <v>43214</v>
      </c>
      <c r="I25" s="33">
        <v>0.57291666666666663</v>
      </c>
      <c r="J25" s="16">
        <v>-1000</v>
      </c>
      <c r="K25" t="s">
        <v>419</v>
      </c>
    </row>
    <row r="26" spans="1:11">
      <c r="A26" s="13" t="s">
        <v>412</v>
      </c>
      <c r="B26" s="13">
        <v>55</v>
      </c>
      <c r="C26" s="13">
        <v>3561</v>
      </c>
      <c r="D26" s="21">
        <v>43214</v>
      </c>
      <c r="E26" s="33">
        <v>0.38472222222222219</v>
      </c>
      <c r="F26" s="20">
        <v>3.1E-2</v>
      </c>
      <c r="G26" s="13">
        <v>3559</v>
      </c>
      <c r="H26" s="21">
        <v>43215</v>
      </c>
      <c r="I26" s="33">
        <v>0.3833333333333333</v>
      </c>
      <c r="J26" s="16">
        <v>-1100</v>
      </c>
      <c r="K26" t="s">
        <v>419</v>
      </c>
    </row>
    <row r="27" spans="1:11">
      <c r="A27" s="13" t="s">
        <v>403</v>
      </c>
      <c r="B27" s="13">
        <v>-1</v>
      </c>
      <c r="C27" s="13">
        <v>3764.6</v>
      </c>
      <c r="D27" s="21">
        <v>43206</v>
      </c>
      <c r="E27" s="33">
        <v>0.47222222222222227</v>
      </c>
      <c r="F27" s="20">
        <v>1.4999999999999999E-2</v>
      </c>
      <c r="G27" s="13">
        <v>3768.4</v>
      </c>
      <c r="H27" s="21">
        <v>43209</v>
      </c>
      <c r="I27" s="33">
        <v>0.43472222222222223</v>
      </c>
      <c r="J27" s="16">
        <v>-1140.0000000000546</v>
      </c>
      <c r="K27" t="s">
        <v>419</v>
      </c>
    </row>
    <row r="28" spans="1:11">
      <c r="A28" s="13" t="s">
        <v>54</v>
      </c>
      <c r="B28" s="13">
        <v>20</v>
      </c>
      <c r="C28" s="13">
        <v>2844</v>
      </c>
      <c r="D28" s="21">
        <v>43201</v>
      </c>
      <c r="E28" s="33">
        <v>0.38611111111111113</v>
      </c>
      <c r="F28" s="20">
        <v>8.9999999999999993E-3</v>
      </c>
      <c r="G28" s="13">
        <v>2838</v>
      </c>
      <c r="H28" s="21">
        <v>43201</v>
      </c>
      <c r="I28" s="33">
        <v>0.95208333333333339</v>
      </c>
      <c r="J28" s="16">
        <v>-1200</v>
      </c>
      <c r="K28" t="s">
        <v>419</v>
      </c>
    </row>
    <row r="29" spans="1:11">
      <c r="A29" s="13" t="s">
        <v>402</v>
      </c>
      <c r="B29" s="13">
        <v>-1</v>
      </c>
      <c r="C29" s="13">
        <v>5883.8</v>
      </c>
      <c r="D29" s="21">
        <v>43210</v>
      </c>
      <c r="E29" s="33">
        <v>0.4680555555555555</v>
      </c>
      <c r="F29" s="20">
        <v>1.4999999999999999E-2</v>
      </c>
      <c r="G29" s="13">
        <v>5889.8</v>
      </c>
      <c r="H29" s="21">
        <v>43214</v>
      </c>
      <c r="I29" s="33">
        <v>0.45555555555555555</v>
      </c>
      <c r="J29" s="16">
        <v>-1200</v>
      </c>
      <c r="K29" t="s">
        <v>419</v>
      </c>
    </row>
    <row r="30" spans="1:11">
      <c r="A30" s="13" t="s">
        <v>415</v>
      </c>
      <c r="B30" s="13">
        <v>12</v>
      </c>
      <c r="C30" s="13">
        <v>602</v>
      </c>
      <c r="D30" s="21">
        <v>43214</v>
      </c>
      <c r="E30" s="33">
        <v>0.38472222222222219</v>
      </c>
      <c r="F30" s="20">
        <v>1.0999999999999999E-2</v>
      </c>
      <c r="G30" s="13">
        <v>600.79999999999995</v>
      </c>
      <c r="H30" s="21">
        <v>43214</v>
      </c>
      <c r="I30" s="33">
        <v>0.8833333333333333</v>
      </c>
      <c r="J30" s="16">
        <v>-1440.0000000000546</v>
      </c>
      <c r="K30" t="s">
        <v>422</v>
      </c>
    </row>
    <row r="31" spans="1:11">
      <c r="A31" s="13" t="s">
        <v>54</v>
      </c>
      <c r="B31" s="13">
        <v>16</v>
      </c>
      <c r="C31" s="13">
        <v>2840.13</v>
      </c>
      <c r="D31" s="21">
        <v>43202</v>
      </c>
      <c r="E31" s="33">
        <v>0.88958333333333339</v>
      </c>
      <c r="F31" s="20">
        <v>7.0000000000000001E-3</v>
      </c>
      <c r="G31" s="13">
        <v>2828</v>
      </c>
      <c r="H31" s="21">
        <v>43203</v>
      </c>
      <c r="I31" s="33">
        <v>0.3833333333333333</v>
      </c>
      <c r="J31" s="16">
        <v>-1940.8000000000175</v>
      </c>
      <c r="K31" t="s">
        <v>422</v>
      </c>
    </row>
    <row r="32" spans="1:11">
      <c r="A32" s="13" t="s">
        <v>407</v>
      </c>
      <c r="B32" s="13">
        <v>-1</v>
      </c>
      <c r="C32" s="13">
        <v>2660.2</v>
      </c>
      <c r="D32" s="21">
        <v>43207</v>
      </c>
      <c r="E32" s="33">
        <v>0.44791666666666669</v>
      </c>
      <c r="F32" s="20">
        <v>1.7999999999999999E-2</v>
      </c>
      <c r="G32" s="13">
        <v>2667.6</v>
      </c>
      <c r="H32" s="21">
        <v>43209</v>
      </c>
      <c r="I32" s="33">
        <v>0.43472222222222223</v>
      </c>
      <c r="J32" s="16">
        <v>-2220.0000000000273</v>
      </c>
      <c r="K32" t="s">
        <v>422</v>
      </c>
    </row>
    <row r="33" spans="1:11">
      <c r="A33" s="13" t="s">
        <v>401</v>
      </c>
      <c r="B33" s="13">
        <v>-39</v>
      </c>
      <c r="C33" s="13">
        <v>2126</v>
      </c>
      <c r="D33" s="21">
        <v>43206</v>
      </c>
      <c r="E33" s="33">
        <v>0.56597222222222221</v>
      </c>
      <c r="F33" s="20">
        <v>1.2999999999999999E-2</v>
      </c>
      <c r="G33" s="13">
        <v>2132</v>
      </c>
      <c r="H33" s="21">
        <v>43208</v>
      </c>
      <c r="I33" s="33">
        <v>0.4680555555555555</v>
      </c>
      <c r="J33" s="16">
        <v>-2340</v>
      </c>
      <c r="K33" t="s">
        <v>422</v>
      </c>
    </row>
    <row r="34" spans="1:11">
      <c r="A34" s="13" t="s">
        <v>397</v>
      </c>
      <c r="B34" s="13">
        <v>-10</v>
      </c>
      <c r="C34" s="13">
        <v>23605</v>
      </c>
      <c r="D34" s="21">
        <v>43207</v>
      </c>
      <c r="E34" s="33">
        <v>0.38194444444444442</v>
      </c>
      <c r="F34" s="20">
        <v>1.9E-2</v>
      </c>
      <c r="G34" s="13">
        <v>23655</v>
      </c>
      <c r="H34" s="21">
        <v>43207</v>
      </c>
      <c r="I34" s="33">
        <v>0.59236111111111112</v>
      </c>
      <c r="J34" s="16">
        <v>-2500</v>
      </c>
      <c r="K34" t="s">
        <v>422</v>
      </c>
    </row>
    <row r="35" spans="1:11">
      <c r="A35" s="13" t="s">
        <v>410</v>
      </c>
      <c r="B35" s="13">
        <v>27</v>
      </c>
      <c r="C35" s="13">
        <v>5614</v>
      </c>
      <c r="D35" s="21">
        <v>43209</v>
      </c>
      <c r="E35" s="33">
        <v>0.38958333333333334</v>
      </c>
      <c r="F35" s="20">
        <v>1.2E-2</v>
      </c>
      <c r="G35" s="13">
        <v>5594</v>
      </c>
      <c r="H35" s="21">
        <v>43216</v>
      </c>
      <c r="I35" s="33">
        <v>0.38194444444444442</v>
      </c>
      <c r="J35" s="16">
        <v>-2700</v>
      </c>
      <c r="K35" t="s">
        <v>422</v>
      </c>
    </row>
    <row r="36" spans="1:11">
      <c r="A36" s="13" t="s">
        <v>399</v>
      </c>
      <c r="B36" s="13">
        <v>-23</v>
      </c>
      <c r="C36" s="13">
        <v>4980</v>
      </c>
      <c r="D36" s="21">
        <v>43215</v>
      </c>
      <c r="E36" s="33">
        <v>0.3840277777777778</v>
      </c>
      <c r="F36" s="20">
        <v>1.7999999999999999E-2</v>
      </c>
      <c r="G36" s="13">
        <v>4992</v>
      </c>
      <c r="H36" s="21">
        <v>43215</v>
      </c>
      <c r="I36" s="33">
        <v>0.5708333333333333</v>
      </c>
      <c r="J36" s="16">
        <v>-2760</v>
      </c>
      <c r="K36" t="s">
        <v>422</v>
      </c>
    </row>
    <row r="37" spans="1:11">
      <c r="A37" s="13" t="s">
        <v>397</v>
      </c>
      <c r="B37" s="13">
        <v>-12</v>
      </c>
      <c r="C37" s="13">
        <v>23480</v>
      </c>
      <c r="D37" s="21">
        <v>43202</v>
      </c>
      <c r="E37" s="33">
        <v>0.56597222222222221</v>
      </c>
      <c r="F37" s="20">
        <v>2.3E-2</v>
      </c>
      <c r="G37" s="13">
        <v>23535</v>
      </c>
      <c r="H37" s="21">
        <v>43203</v>
      </c>
      <c r="I37" s="33">
        <v>0.56805555555555554</v>
      </c>
      <c r="J37" s="16">
        <v>-3300</v>
      </c>
      <c r="K37" t="s">
        <v>422</v>
      </c>
    </row>
    <row r="38" spans="1:11">
      <c r="A38" s="13" t="s">
        <v>401</v>
      </c>
      <c r="B38" s="13">
        <v>44</v>
      </c>
      <c r="C38" s="13">
        <v>2142</v>
      </c>
      <c r="D38" s="21">
        <v>43210</v>
      </c>
      <c r="E38" s="33">
        <v>0.4680555555555555</v>
      </c>
      <c r="F38" s="20">
        <v>1.4999999999999999E-2</v>
      </c>
      <c r="G38" s="13">
        <v>2134</v>
      </c>
      <c r="H38" s="21">
        <v>43210</v>
      </c>
      <c r="I38" s="33">
        <v>0.62152777777777779</v>
      </c>
      <c r="J38" s="16">
        <v>-3520</v>
      </c>
      <c r="K38" t="s">
        <v>422</v>
      </c>
    </row>
    <row r="39" spans="1:11">
      <c r="A39" s="13" t="s">
        <v>406</v>
      </c>
      <c r="B39" s="13">
        <v>-55</v>
      </c>
      <c r="C39" s="13">
        <v>2700</v>
      </c>
      <c r="D39" s="21">
        <v>43213</v>
      </c>
      <c r="E39" s="33">
        <v>0.96319444444444446</v>
      </c>
      <c r="F39" s="20"/>
      <c r="G39" s="13">
        <v>2707</v>
      </c>
      <c r="H39" s="21">
        <v>43214</v>
      </c>
      <c r="I39" s="33">
        <v>0.38680555555555557</v>
      </c>
      <c r="J39" s="16">
        <v>-3850</v>
      </c>
      <c r="K39" t="s">
        <v>418</v>
      </c>
    </row>
    <row r="40" spans="1:11">
      <c r="A40" s="13" t="s">
        <v>394</v>
      </c>
      <c r="B40" s="13">
        <v>16</v>
      </c>
      <c r="C40" s="13">
        <v>101640</v>
      </c>
      <c r="D40" s="21">
        <v>43201</v>
      </c>
      <c r="E40" s="33">
        <v>0.62291666666666667</v>
      </c>
      <c r="F40" s="20">
        <v>2.5999999999999999E-2</v>
      </c>
      <c r="G40" s="13">
        <v>101380</v>
      </c>
      <c r="H40" s="21">
        <v>43201</v>
      </c>
      <c r="I40" s="33">
        <v>0.91736111111111107</v>
      </c>
      <c r="J40" s="16">
        <v>-4160</v>
      </c>
      <c r="K40" t="s">
        <v>418</v>
      </c>
    </row>
    <row r="41" spans="1:11">
      <c r="A41" s="13" t="s">
        <v>408</v>
      </c>
      <c r="B41" s="13">
        <v>5</v>
      </c>
      <c r="C41" s="13">
        <v>51630</v>
      </c>
      <c r="D41" s="21">
        <v>43213</v>
      </c>
      <c r="E41" s="33">
        <v>0.37986111111111115</v>
      </c>
      <c r="F41" s="20">
        <v>1.9E-2</v>
      </c>
      <c r="G41" s="13">
        <v>51440</v>
      </c>
      <c r="H41" s="21">
        <v>43213</v>
      </c>
      <c r="I41" s="33">
        <v>0.96250000000000002</v>
      </c>
      <c r="J41" s="16">
        <v>-4750</v>
      </c>
      <c r="K41" t="s">
        <v>418</v>
      </c>
    </row>
    <row r="42" spans="1:11">
      <c r="A42" s="13" t="s">
        <v>396</v>
      </c>
      <c r="B42" s="13">
        <v>55</v>
      </c>
      <c r="C42" s="13">
        <v>2665</v>
      </c>
      <c r="D42" s="21">
        <v>43201</v>
      </c>
      <c r="E42" s="33">
        <v>0.91875000000000007</v>
      </c>
      <c r="F42" s="20">
        <v>2.3E-2</v>
      </c>
      <c r="G42" s="13">
        <v>2655</v>
      </c>
      <c r="H42" s="21">
        <v>43202</v>
      </c>
      <c r="I42" s="33">
        <v>0.47847222222222219</v>
      </c>
      <c r="J42" s="16">
        <v>-5500</v>
      </c>
      <c r="K42" t="s">
        <v>418</v>
      </c>
    </row>
    <row r="43" spans="1:11">
      <c r="A43" s="13" t="s">
        <v>394</v>
      </c>
      <c r="B43" s="13">
        <v>12</v>
      </c>
      <c r="C43" s="13">
        <v>104375</v>
      </c>
      <c r="D43" s="21">
        <v>43206</v>
      </c>
      <c r="E43" s="33">
        <v>0.61388888888888882</v>
      </c>
      <c r="F43" s="20">
        <v>0.02</v>
      </c>
      <c r="G43" s="13">
        <v>103910</v>
      </c>
      <c r="H43" s="21">
        <v>43207</v>
      </c>
      <c r="I43" s="33">
        <v>0.46249999999999997</v>
      </c>
      <c r="J43" s="16">
        <v>-5580</v>
      </c>
      <c r="K43" t="s">
        <v>418</v>
      </c>
    </row>
    <row r="44" spans="1:11">
      <c r="A44" s="13" t="s">
        <v>55</v>
      </c>
      <c r="B44" s="13">
        <v>19</v>
      </c>
      <c r="C44" s="13">
        <v>2749</v>
      </c>
      <c r="D44" s="21">
        <v>43201</v>
      </c>
      <c r="E44" s="33">
        <v>0.38611111111111113</v>
      </c>
      <c r="F44" s="20">
        <v>8.0000000000000002E-3</v>
      </c>
      <c r="G44" s="13">
        <v>2716</v>
      </c>
      <c r="H44" s="21">
        <v>43201</v>
      </c>
      <c r="I44" s="33">
        <v>0.47500000000000003</v>
      </c>
      <c r="J44" s="16">
        <v>-6270</v>
      </c>
      <c r="K44" t="s">
        <v>418</v>
      </c>
    </row>
    <row r="45" spans="1:11">
      <c r="A45" s="13" t="s">
        <v>392</v>
      </c>
      <c r="B45" s="13">
        <v>-1</v>
      </c>
      <c r="C45" s="13">
        <v>6006</v>
      </c>
      <c r="D45" s="21">
        <v>43200</v>
      </c>
      <c r="E45" s="33">
        <v>0.59097222222222223</v>
      </c>
      <c r="F45" s="20">
        <v>1.6E-2</v>
      </c>
      <c r="G45" s="13">
        <v>6039.8</v>
      </c>
      <c r="H45" s="21">
        <v>43200</v>
      </c>
      <c r="I45" s="33">
        <v>0.62222222222222223</v>
      </c>
      <c r="J45" s="16">
        <v>-6760.0000000000364</v>
      </c>
      <c r="K45" t="s">
        <v>418</v>
      </c>
    </row>
    <row r="46" spans="1:11">
      <c r="A46" s="13" t="s">
        <v>396</v>
      </c>
      <c r="B46" s="13">
        <v>26</v>
      </c>
      <c r="C46" s="13">
        <v>2681</v>
      </c>
      <c r="D46" s="21">
        <v>43203</v>
      </c>
      <c r="E46" s="33">
        <v>0.39583333333333331</v>
      </c>
      <c r="F46" s="20">
        <v>1.0999999999999999E-2</v>
      </c>
      <c r="G46" s="13">
        <v>2654</v>
      </c>
      <c r="H46" s="21">
        <v>43202</v>
      </c>
      <c r="I46" s="33">
        <v>0.93125000000000002</v>
      </c>
      <c r="J46" s="16">
        <v>-7020</v>
      </c>
      <c r="K46" t="s">
        <v>418</v>
      </c>
    </row>
    <row r="47" spans="1:11">
      <c r="A47" s="13" t="s">
        <v>52</v>
      </c>
      <c r="B47" s="13">
        <v>-45</v>
      </c>
      <c r="C47" s="13">
        <v>2118</v>
      </c>
      <c r="D47" s="21">
        <v>43203</v>
      </c>
      <c r="E47" s="33">
        <v>0.39583333333333331</v>
      </c>
      <c r="F47" s="20">
        <v>1.4999999999999999E-2</v>
      </c>
      <c r="G47" s="13">
        <v>2134</v>
      </c>
      <c r="H47" s="21">
        <v>43203</v>
      </c>
      <c r="I47" s="33">
        <v>0.56666666666666665</v>
      </c>
      <c r="J47" s="16">
        <v>-7200</v>
      </c>
      <c r="K47" t="s">
        <v>418</v>
      </c>
    </row>
    <row r="48" spans="1:11">
      <c r="A48" s="13" t="s">
        <v>54</v>
      </c>
      <c r="B48" s="13">
        <v>31</v>
      </c>
      <c r="C48" s="13">
        <v>2840.97</v>
      </c>
      <c r="D48" s="21">
        <v>43203</v>
      </c>
      <c r="E48" s="33">
        <v>0.59097222222222223</v>
      </c>
      <c r="F48" s="20">
        <v>1.4999999999999999E-2</v>
      </c>
      <c r="G48" s="13">
        <v>2814</v>
      </c>
      <c r="H48" s="21">
        <v>43206</v>
      </c>
      <c r="I48" s="33">
        <v>0.43958333333333338</v>
      </c>
      <c r="J48" s="16">
        <v>-8360.6999999999389</v>
      </c>
      <c r="K48" t="s">
        <v>418</v>
      </c>
    </row>
    <row r="49" spans="1:12">
      <c r="A49" s="13" t="s">
        <v>53</v>
      </c>
      <c r="B49" s="13">
        <v>16</v>
      </c>
      <c r="C49" s="13">
        <v>6372</v>
      </c>
      <c r="D49" s="21">
        <v>43208</v>
      </c>
      <c r="E49" s="33">
        <v>0.4201388888888889</v>
      </c>
      <c r="F49" s="20">
        <v>8.0000000000000002E-3</v>
      </c>
      <c r="G49" s="13">
        <v>6262</v>
      </c>
      <c r="H49" s="21">
        <v>43208</v>
      </c>
      <c r="I49" s="33">
        <v>0.61736111111111114</v>
      </c>
      <c r="J49" s="16">
        <v>-8800</v>
      </c>
      <c r="K49" t="s">
        <v>418</v>
      </c>
    </row>
    <row r="50" spans="1:12">
      <c r="A50" s="13" t="s">
        <v>405</v>
      </c>
      <c r="B50" s="13">
        <v>-16</v>
      </c>
      <c r="C50" s="13">
        <v>1116.5</v>
      </c>
      <c r="D50" s="21">
        <v>43206</v>
      </c>
      <c r="E50" s="33">
        <v>0.56597222222222221</v>
      </c>
      <c r="F50" s="20">
        <v>1.9E-2</v>
      </c>
      <c r="G50" s="13">
        <v>1126.5</v>
      </c>
      <c r="H50" s="21">
        <v>43207</v>
      </c>
      <c r="I50" s="33">
        <v>0.4458333333333333</v>
      </c>
      <c r="J50" s="16">
        <v>-9600</v>
      </c>
      <c r="K50" t="s">
        <v>418</v>
      </c>
    </row>
    <row r="51" spans="1:12">
      <c r="A51" s="13" t="s">
        <v>394</v>
      </c>
      <c r="B51" s="13">
        <v>16</v>
      </c>
      <c r="C51" s="13">
        <v>101720</v>
      </c>
      <c r="D51" s="21">
        <v>43200</v>
      </c>
      <c r="E51" s="33">
        <v>0.88611111111111107</v>
      </c>
      <c r="F51" s="20">
        <v>2.5999999999999999E-2</v>
      </c>
      <c r="G51" s="13">
        <v>101085</v>
      </c>
      <c r="H51" s="21">
        <v>43201</v>
      </c>
      <c r="I51" s="33">
        <v>0.58611111111111114</v>
      </c>
      <c r="J51" s="16">
        <v>-10160</v>
      </c>
      <c r="K51" t="s">
        <v>421</v>
      </c>
    </row>
    <row r="52" spans="1:12">
      <c r="A52" s="13" t="s">
        <v>395</v>
      </c>
      <c r="B52" s="13">
        <v>6</v>
      </c>
      <c r="C52" s="13">
        <v>51200</v>
      </c>
      <c r="D52" s="21">
        <v>43200</v>
      </c>
      <c r="E52" s="33">
        <v>0.88611111111111107</v>
      </c>
      <c r="F52" s="20">
        <v>2.3E-2</v>
      </c>
      <c r="G52" s="13">
        <v>50860</v>
      </c>
      <c r="H52" s="21">
        <v>43201</v>
      </c>
      <c r="I52" s="33">
        <v>0.91736111111111107</v>
      </c>
      <c r="J52" s="16">
        <v>-10200</v>
      </c>
      <c r="K52" t="s">
        <v>421</v>
      </c>
    </row>
    <row r="53" spans="1:12">
      <c r="A53" s="13" t="s">
        <v>408</v>
      </c>
      <c r="B53" s="13">
        <v>5</v>
      </c>
      <c r="C53" s="13">
        <v>51880</v>
      </c>
      <c r="D53" s="21">
        <v>43216</v>
      </c>
      <c r="E53" s="33">
        <v>0.3833333333333333</v>
      </c>
      <c r="F53" s="20">
        <v>1.9E-2</v>
      </c>
      <c r="G53" s="1">
        <v>51460</v>
      </c>
      <c r="H53" s="2">
        <v>43216</v>
      </c>
      <c r="I53" s="26">
        <v>0.56944444444444442</v>
      </c>
      <c r="J53" s="16">
        <v>-10500</v>
      </c>
      <c r="K53" t="s">
        <v>421</v>
      </c>
    </row>
    <row r="54" spans="1:12">
      <c r="A54" s="13" t="s">
        <v>401</v>
      </c>
      <c r="B54" s="13">
        <v>-39</v>
      </c>
      <c r="C54" s="13">
        <v>2116</v>
      </c>
      <c r="D54" s="21">
        <v>43209</v>
      </c>
      <c r="E54" s="33">
        <v>0.4381944444444445</v>
      </c>
      <c r="F54" s="20">
        <v>1.2999999999999999E-2</v>
      </c>
      <c r="G54" s="13">
        <v>2143</v>
      </c>
      <c r="H54" s="21">
        <v>43210</v>
      </c>
      <c r="I54" s="33">
        <v>0.4680555555555555</v>
      </c>
      <c r="J54" s="16">
        <v>-10530</v>
      </c>
      <c r="K54" t="s">
        <v>421</v>
      </c>
    </row>
    <row r="55" spans="1:12">
      <c r="A55" s="13" t="s">
        <v>406</v>
      </c>
      <c r="B55" s="13">
        <v>37</v>
      </c>
      <c r="C55" s="13">
        <v>2731</v>
      </c>
      <c r="D55" s="21">
        <v>43214</v>
      </c>
      <c r="E55" s="33">
        <v>0.57361111111111118</v>
      </c>
      <c r="F55" s="20">
        <v>1.6E-2</v>
      </c>
      <c r="G55" s="13">
        <v>2698</v>
      </c>
      <c r="H55" s="21">
        <v>43215</v>
      </c>
      <c r="I55" s="33">
        <v>0.3833333333333333</v>
      </c>
      <c r="J55" s="16">
        <v>-12210</v>
      </c>
      <c r="K55" t="s">
        <v>421</v>
      </c>
    </row>
    <row r="56" spans="1:12">
      <c r="A56" s="13" t="s">
        <v>394</v>
      </c>
      <c r="B56" s="13">
        <v>16</v>
      </c>
      <c r="C56" s="13">
        <v>102136.25</v>
      </c>
      <c r="D56" s="21">
        <v>43202</v>
      </c>
      <c r="E56" s="33">
        <v>0.38611111111111113</v>
      </c>
      <c r="F56" s="20">
        <v>2.5999999999999999E-2</v>
      </c>
      <c r="G56" s="13">
        <v>101300</v>
      </c>
      <c r="H56" s="21">
        <v>43202</v>
      </c>
      <c r="I56" s="33">
        <v>0.56944444444444442</v>
      </c>
      <c r="J56" s="16">
        <v>-13380</v>
      </c>
      <c r="K56" t="s">
        <v>421</v>
      </c>
    </row>
    <row r="57" spans="1:12">
      <c r="A57" s="13" t="s">
        <v>412</v>
      </c>
      <c r="B57" s="13">
        <v>55</v>
      </c>
      <c r="C57" s="13">
        <v>3579</v>
      </c>
      <c r="D57" s="21">
        <v>43215</v>
      </c>
      <c r="E57" s="33">
        <v>0.62013888888888891</v>
      </c>
      <c r="F57" s="20">
        <v>3.1E-2</v>
      </c>
      <c r="G57" s="13">
        <v>3552</v>
      </c>
      <c r="H57" s="21">
        <v>43216</v>
      </c>
      <c r="I57" s="33">
        <v>0.40972222222222227</v>
      </c>
      <c r="J57" s="16">
        <v>-14850</v>
      </c>
      <c r="K57" t="s">
        <v>421</v>
      </c>
    </row>
    <row r="58" spans="1:12">
      <c r="A58" s="13" t="s">
        <v>398</v>
      </c>
      <c r="B58" s="13">
        <v>-11</v>
      </c>
      <c r="C58" s="13">
        <v>1739</v>
      </c>
      <c r="D58" s="21">
        <v>43203</v>
      </c>
      <c r="E58" s="33">
        <v>0.39583333333333331</v>
      </c>
      <c r="F58" s="20">
        <v>3.2000000000000001E-2</v>
      </c>
      <c r="G58" s="13">
        <v>1753.5</v>
      </c>
      <c r="H58" s="21">
        <v>43203</v>
      </c>
      <c r="I58" s="33">
        <v>0.56805555555555554</v>
      </c>
      <c r="J58" s="16">
        <v>-15950</v>
      </c>
      <c r="K58" t="s">
        <v>421</v>
      </c>
    </row>
    <row r="59" spans="1:12">
      <c r="A59" s="13" t="s">
        <v>414</v>
      </c>
      <c r="B59" s="13">
        <v>-1</v>
      </c>
      <c r="C59" s="13">
        <v>3764</v>
      </c>
      <c r="D59" s="21">
        <v>43210</v>
      </c>
      <c r="E59" s="33">
        <v>0.4680555555555555</v>
      </c>
      <c r="F59" s="20">
        <v>1.4999999999999999E-2</v>
      </c>
      <c r="G59" s="13">
        <v>3817.6</v>
      </c>
      <c r="H59" s="21">
        <v>43214</v>
      </c>
      <c r="I59" s="33">
        <v>0.4201388888888889</v>
      </c>
      <c r="J59" s="16">
        <v>-16079.999999999973</v>
      </c>
      <c r="K59" t="s">
        <v>421</v>
      </c>
    </row>
    <row r="60" spans="1:12">
      <c r="A60" s="13" t="s">
        <v>412</v>
      </c>
      <c r="B60" s="13">
        <v>56</v>
      </c>
      <c r="C60" s="13">
        <v>3519</v>
      </c>
      <c r="D60" s="21">
        <v>43209</v>
      </c>
      <c r="E60" s="33">
        <v>0.62152777777777779</v>
      </c>
      <c r="F60" s="20">
        <v>3.1E-2</v>
      </c>
      <c r="G60" s="13">
        <v>3487</v>
      </c>
      <c r="H60" s="21">
        <v>43210</v>
      </c>
      <c r="I60" s="33">
        <v>0.46736111111111112</v>
      </c>
      <c r="J60" s="16">
        <v>-17920</v>
      </c>
      <c r="K60" t="s">
        <v>421</v>
      </c>
    </row>
    <row r="61" spans="1:12">
      <c r="A61" s="13" t="s">
        <v>413</v>
      </c>
      <c r="B61" s="13">
        <v>-1</v>
      </c>
      <c r="C61" s="13">
        <v>2653.8</v>
      </c>
      <c r="D61" s="21">
        <v>43210</v>
      </c>
      <c r="E61" s="33">
        <v>0.4680555555555555</v>
      </c>
      <c r="F61" s="20">
        <v>1.4999999999999999E-2</v>
      </c>
      <c r="G61" s="13">
        <v>2724.4</v>
      </c>
      <c r="H61" s="21">
        <v>43214</v>
      </c>
      <c r="I61" s="33">
        <v>0.4201388888888889</v>
      </c>
      <c r="J61" s="16">
        <v>-21179.999999999971</v>
      </c>
      <c r="K61" t="s">
        <v>421</v>
      </c>
    </row>
    <row r="62" spans="1:12">
      <c r="A62" s="13" t="s">
        <v>397</v>
      </c>
      <c r="B62" s="13">
        <v>-12</v>
      </c>
      <c r="C62" s="13">
        <v>23310</v>
      </c>
      <c r="D62" s="21">
        <v>43206</v>
      </c>
      <c r="E62" s="33">
        <v>0.38541666666666669</v>
      </c>
      <c r="F62" s="20">
        <v>2.3E-2</v>
      </c>
      <c r="G62" s="13">
        <v>23705</v>
      </c>
      <c r="H62" s="21">
        <v>43206</v>
      </c>
      <c r="I62" s="33">
        <v>0.61458333333333337</v>
      </c>
      <c r="J62" s="16">
        <v>-23700</v>
      </c>
      <c r="K62" t="s">
        <v>421</v>
      </c>
    </row>
    <row r="63" spans="1:12">
      <c r="A63" s="13" t="s">
        <v>394</v>
      </c>
      <c r="B63" s="13">
        <v>14</v>
      </c>
      <c r="C63" s="13">
        <v>108230</v>
      </c>
      <c r="D63" s="21">
        <v>43209</v>
      </c>
      <c r="E63" s="33">
        <v>0.62152777777777779</v>
      </c>
      <c r="F63" s="20">
        <v>2.5000000000000001E-2</v>
      </c>
      <c r="G63" s="13">
        <v>105690</v>
      </c>
      <c r="H63" s="21">
        <v>43210</v>
      </c>
      <c r="I63" s="33">
        <v>0.37916666666666665</v>
      </c>
      <c r="J63" s="16">
        <v>-35560</v>
      </c>
      <c r="K63" t="s">
        <v>417</v>
      </c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63">
    <sortCondition descending="1" ref="J2:J6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198</v>
      </c>
      <c r="B1" s="56" t="s">
        <v>250</v>
      </c>
    </row>
    <row r="2" spans="1:2">
      <c r="A2" s="57" t="s">
        <v>199</v>
      </c>
      <c r="B2" s="56">
        <v>5</v>
      </c>
    </row>
    <row r="3" spans="1:2">
      <c r="A3" s="57" t="s">
        <v>200</v>
      </c>
      <c r="B3" s="56">
        <v>5</v>
      </c>
    </row>
    <row r="4" spans="1:2">
      <c r="A4" s="57" t="s">
        <v>201</v>
      </c>
      <c r="B4" s="56">
        <v>5</v>
      </c>
    </row>
    <row r="5" spans="1:2">
      <c r="A5" s="57" t="s">
        <v>202</v>
      </c>
      <c r="B5" s="56">
        <v>5</v>
      </c>
    </row>
    <row r="6" spans="1:2">
      <c r="A6" s="57" t="s">
        <v>203</v>
      </c>
      <c r="B6" s="56">
        <v>1</v>
      </c>
    </row>
    <row r="7" spans="1:2">
      <c r="A7" s="57" t="s">
        <v>204</v>
      </c>
      <c r="B7" s="56">
        <v>1</v>
      </c>
    </row>
    <row r="8" spans="1:2">
      <c r="A8" s="57" t="s">
        <v>205</v>
      </c>
      <c r="B8" s="56">
        <v>1000</v>
      </c>
    </row>
    <row r="9" spans="1:2">
      <c r="A9" s="57" t="s">
        <v>206</v>
      </c>
      <c r="B9" s="56">
        <v>15</v>
      </c>
    </row>
    <row r="10" spans="1:2">
      <c r="A10" s="57" t="s">
        <v>207</v>
      </c>
      <c r="B10" s="56">
        <v>10</v>
      </c>
    </row>
    <row r="11" spans="1:2">
      <c r="A11" s="57" t="s">
        <v>208</v>
      </c>
      <c r="B11" s="56">
        <v>10</v>
      </c>
    </row>
    <row r="12" spans="1:2">
      <c r="A12" s="57" t="s">
        <v>209</v>
      </c>
      <c r="B12" s="56">
        <v>10</v>
      </c>
    </row>
    <row r="13" spans="1:2">
      <c r="A13" s="57" t="s">
        <v>210</v>
      </c>
      <c r="B13" s="56">
        <v>50</v>
      </c>
    </row>
    <row r="14" spans="1:2">
      <c r="A14" s="57" t="s">
        <v>211</v>
      </c>
      <c r="B14" s="56">
        <v>10</v>
      </c>
    </row>
    <row r="15" spans="1:2">
      <c r="A15" s="57" t="s">
        <v>212</v>
      </c>
      <c r="B15" s="56">
        <v>10</v>
      </c>
    </row>
    <row r="16" spans="1:2">
      <c r="A16" s="57" t="s">
        <v>213</v>
      </c>
      <c r="B16" s="56">
        <v>20</v>
      </c>
    </row>
    <row r="17" spans="1:2">
      <c r="A17" s="57" t="s">
        <v>214</v>
      </c>
      <c r="B17" s="56">
        <v>50</v>
      </c>
    </row>
    <row r="18" spans="1:2">
      <c r="A18" s="57" t="s">
        <v>215</v>
      </c>
      <c r="B18" s="56">
        <v>5</v>
      </c>
    </row>
    <row r="19" spans="1:2">
      <c r="A19" s="57" t="s">
        <v>216</v>
      </c>
      <c r="B19" s="56">
        <v>10</v>
      </c>
    </row>
    <row r="20" spans="1:2">
      <c r="A20" s="57" t="s">
        <v>217</v>
      </c>
      <c r="B20" s="56">
        <v>10</v>
      </c>
    </row>
    <row r="21" spans="1:2">
      <c r="A21" s="57" t="s">
        <v>218</v>
      </c>
      <c r="B21" s="56">
        <v>20</v>
      </c>
    </row>
    <row r="22" spans="1:2">
      <c r="A22" s="57" t="s">
        <v>219</v>
      </c>
      <c r="B22" s="56">
        <v>10</v>
      </c>
    </row>
    <row r="23" spans="1:2">
      <c r="A23" s="57" t="s">
        <v>220</v>
      </c>
      <c r="B23" s="56">
        <v>10</v>
      </c>
    </row>
    <row r="24" spans="1:2">
      <c r="A24" s="57" t="s">
        <v>221</v>
      </c>
      <c r="B24" s="56">
        <v>20</v>
      </c>
    </row>
    <row r="25" spans="1:2">
      <c r="A25" s="57" t="s">
        <v>222</v>
      </c>
      <c r="B25" s="56">
        <v>20</v>
      </c>
    </row>
    <row r="26" spans="1:2">
      <c r="A26" s="57" t="s">
        <v>223</v>
      </c>
      <c r="B26" s="56">
        <v>5</v>
      </c>
    </row>
    <row r="27" spans="1:2">
      <c r="A27" s="57" t="s">
        <v>224</v>
      </c>
      <c r="B27" s="56">
        <v>5</v>
      </c>
    </row>
    <row r="28" spans="1:2">
      <c r="A28" s="57" t="s">
        <v>225</v>
      </c>
      <c r="B28" s="56">
        <v>10</v>
      </c>
    </row>
    <row r="29" spans="1:2">
      <c r="A29" s="57" t="s">
        <v>226</v>
      </c>
      <c r="B29" s="56">
        <v>20</v>
      </c>
    </row>
    <row r="30" spans="1:2">
      <c r="A30" s="57" t="s">
        <v>227</v>
      </c>
      <c r="B30" s="56">
        <v>100</v>
      </c>
    </row>
    <row r="31" spans="1:2">
      <c r="A31" s="57" t="s">
        <v>228</v>
      </c>
      <c r="B31" s="56">
        <v>5</v>
      </c>
    </row>
    <row r="32" spans="1:2">
      <c r="A32" s="57" t="s">
        <v>229</v>
      </c>
      <c r="B32" s="56">
        <v>5</v>
      </c>
    </row>
    <row r="33" spans="1:2">
      <c r="A33" s="57" t="s">
        <v>230</v>
      </c>
      <c r="B33" s="56">
        <v>10</v>
      </c>
    </row>
    <row r="34" spans="1:2">
      <c r="A34" s="57" t="s">
        <v>231</v>
      </c>
      <c r="B34" s="56">
        <v>10</v>
      </c>
    </row>
    <row r="35" spans="1:2">
      <c r="A35" s="57" t="s">
        <v>232</v>
      </c>
      <c r="B35" s="56">
        <v>10</v>
      </c>
    </row>
    <row r="36" spans="1:2">
      <c r="A36" s="57" t="s">
        <v>233</v>
      </c>
      <c r="B36" s="56">
        <v>10</v>
      </c>
    </row>
    <row r="37" spans="1:2">
      <c r="A37" s="57" t="s">
        <v>194</v>
      </c>
      <c r="B37" s="56">
        <v>10</v>
      </c>
    </row>
    <row r="38" spans="1:2">
      <c r="A38" s="57" t="s">
        <v>234</v>
      </c>
      <c r="B38" s="56">
        <v>10</v>
      </c>
    </row>
    <row r="39" spans="1:2">
      <c r="A39" s="57" t="s">
        <v>235</v>
      </c>
      <c r="B39" s="56">
        <v>10</v>
      </c>
    </row>
    <row r="40" spans="1:2">
      <c r="A40" s="57" t="s">
        <v>236</v>
      </c>
      <c r="B40" s="56">
        <v>500</v>
      </c>
    </row>
    <row r="41" spans="1:2">
      <c r="A41" s="57" t="s">
        <v>237</v>
      </c>
      <c r="B41" s="56">
        <v>500</v>
      </c>
    </row>
    <row r="42" spans="1:2">
      <c r="A42" s="57" t="s">
        <v>238</v>
      </c>
      <c r="B42" s="56">
        <v>5</v>
      </c>
    </row>
    <row r="43" spans="1:2">
      <c r="A43" s="57" t="s">
        <v>239</v>
      </c>
      <c r="B43" s="56">
        <v>5</v>
      </c>
    </row>
    <row r="44" spans="1:2">
      <c r="A44" s="57" t="s">
        <v>240</v>
      </c>
      <c r="B44" s="56">
        <v>5</v>
      </c>
    </row>
    <row r="45" spans="1:2">
      <c r="A45" s="57" t="s">
        <v>241</v>
      </c>
      <c r="B45" s="56">
        <v>5</v>
      </c>
    </row>
    <row r="46" spans="1:2">
      <c r="A46" s="57" t="s">
        <v>242</v>
      </c>
      <c r="B46" s="56">
        <v>100</v>
      </c>
    </row>
    <row r="47" spans="1:2">
      <c r="A47" s="57" t="s">
        <v>243</v>
      </c>
      <c r="B47" s="56">
        <v>60</v>
      </c>
    </row>
    <row r="48" spans="1:2">
      <c r="A48" s="57" t="s">
        <v>244</v>
      </c>
      <c r="B48" s="56">
        <v>100</v>
      </c>
    </row>
    <row r="49" spans="1:2">
      <c r="A49" s="57" t="s">
        <v>245</v>
      </c>
      <c r="B49" s="56">
        <v>300</v>
      </c>
    </row>
    <row r="50" spans="1:2">
      <c r="A50" s="57" t="s">
        <v>246</v>
      </c>
      <c r="B50" s="56">
        <v>200</v>
      </c>
    </row>
    <row r="51" spans="1:2">
      <c r="A51" s="57" t="s">
        <v>247</v>
      </c>
      <c r="B51" s="56">
        <v>300</v>
      </c>
    </row>
    <row r="52" spans="1:2">
      <c r="A52" s="57" t="s">
        <v>248</v>
      </c>
      <c r="B52" s="56">
        <v>10000</v>
      </c>
    </row>
    <row r="53" spans="1:2">
      <c r="A53" s="57" t="s">
        <v>249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2018-04-26T07:29:01Z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