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filterPrivacy="1" codeName="ThisWorkbook"/>
  <bookViews>
    <workbookView xWindow="0" yWindow="0" windowWidth="22260" windowHeight="12648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9"/>
  <definedNames>
    <definedName name="nv">权益!#REF!:OFFSET(权益!#REF!,权益!$E$1,0)</definedName>
    <definedName name="tt">权益!#REF!:OFFSET(权益!#REF!,权益!$E$1,0)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49" i="5"/>
  <c r="S45" i="5"/>
  <c r="S8" i="5"/>
  <c r="S4" i="5"/>
  <c r="S40" i="5"/>
  <c r="S46" i="5"/>
  <c r="S16" i="5"/>
  <c r="S32" i="5"/>
  <c r="S47" i="5"/>
  <c r="S7" i="5"/>
  <c r="S33" i="5"/>
  <c r="S11" i="5"/>
  <c r="S18" i="5"/>
  <c r="S164" i="1"/>
  <c r="S53" i="5"/>
  <c r="S9" i="5"/>
  <c r="S56" i="5"/>
  <c r="S51" i="5"/>
  <c r="S25" i="5"/>
  <c r="S27" i="5"/>
  <c r="S22" i="5"/>
  <c r="S57" i="5"/>
  <c r="S37" i="5"/>
  <c r="S35" i="5"/>
  <c r="S5" i="5"/>
  <c r="S21" i="5"/>
  <c r="S19" i="5"/>
  <c r="S2" i="5"/>
  <c r="S55" i="5"/>
  <c r="S34" i="5"/>
  <c r="S52" i="5"/>
  <c r="S41" i="5"/>
  <c r="S20" i="5"/>
  <c r="S44" i="5"/>
  <c r="S39" i="5"/>
  <c r="S50" i="5"/>
  <c r="S38" i="5"/>
  <c r="S43" i="5"/>
  <c r="S10" i="5"/>
  <c r="S30" i="5"/>
  <c r="S26" i="5"/>
  <c r="S42" i="5"/>
  <c r="S14" i="5"/>
  <c r="S17" i="5"/>
  <c r="S23" i="5"/>
  <c r="S54" i="5"/>
  <c r="S12" i="5"/>
  <c r="S48" i="5"/>
  <c r="S6" i="5"/>
  <c r="S15" i="5"/>
  <c r="S28" i="5"/>
  <c r="S29" i="5"/>
  <c r="S31" i="5"/>
  <c r="S13" i="5"/>
  <c r="S36" i="5"/>
  <c r="S24" i="5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54" i="1" l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46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53" i="1"/>
  <c r="S252" i="1"/>
  <c r="S249" i="1"/>
  <c r="S245" i="1"/>
  <c r="S98" i="1"/>
  <c r="S68" i="1"/>
  <c r="S224" i="1"/>
  <c r="S238" i="1"/>
  <c r="S79" i="1"/>
  <c r="S100" i="1"/>
  <c r="S81" i="1"/>
  <c r="S206" i="1"/>
  <c r="S165" i="1"/>
  <c r="S115" i="1"/>
  <c r="S140" i="1"/>
  <c r="S90" i="1"/>
  <c r="S86" i="1"/>
  <c r="S36" i="1"/>
  <c r="S26" i="1"/>
  <c r="S127" i="1"/>
  <c r="S214" i="1"/>
  <c r="S10" i="1"/>
  <c r="S96" i="1"/>
  <c r="S139" i="1"/>
  <c r="S226" i="1"/>
  <c r="S15" i="1"/>
  <c r="S11" i="1"/>
  <c r="S234" i="1"/>
  <c r="S38" i="1"/>
  <c r="S63" i="1"/>
  <c r="S220" i="1"/>
  <c r="S212" i="1"/>
  <c r="S107" i="1"/>
  <c r="S209" i="1"/>
  <c r="S179" i="1"/>
  <c r="S141" i="1"/>
  <c r="S150" i="1"/>
  <c r="S187" i="1"/>
  <c r="S216" i="1"/>
  <c r="S197" i="1"/>
  <c r="S67" i="1"/>
  <c r="S102" i="1"/>
  <c r="S148" i="1"/>
  <c r="S2" i="1"/>
  <c r="S95" i="1"/>
  <c r="S182" i="1"/>
  <c r="S23" i="1"/>
  <c r="S87" i="1"/>
  <c r="S137" i="1"/>
  <c r="S33" i="1"/>
  <c r="S160" i="1"/>
  <c r="S20" i="1"/>
  <c r="S119" i="1"/>
  <c r="S51" i="1"/>
  <c r="S167" i="1"/>
  <c r="S221" i="1"/>
  <c r="S78" i="1"/>
  <c r="S46" i="1"/>
  <c r="S101" i="1"/>
  <c r="S149" i="1"/>
  <c r="S120" i="1"/>
  <c r="S229" i="1"/>
  <c r="S246" i="1"/>
  <c r="S211" i="1"/>
  <c r="S13" i="1"/>
  <c r="S70" i="1"/>
  <c r="S52" i="1"/>
  <c r="S110" i="1"/>
  <c r="S8" i="1"/>
  <c r="S82" i="1"/>
  <c r="S19" i="1"/>
  <c r="S203" i="1"/>
  <c r="S162" i="1"/>
  <c r="S48" i="1"/>
  <c r="S183" i="1"/>
  <c r="S65" i="1"/>
  <c r="S228" i="1"/>
  <c r="S147" i="1"/>
  <c r="S56" i="1"/>
  <c r="S233" i="1"/>
  <c r="S153" i="1"/>
  <c r="S248" i="1"/>
  <c r="S243" i="1"/>
  <c r="S105" i="1"/>
  <c r="S111" i="1"/>
  <c r="S42" i="1"/>
  <c r="S176" i="1"/>
  <c r="S125" i="1"/>
  <c r="S169" i="1"/>
  <c r="S104" i="1"/>
  <c r="S196" i="1"/>
  <c r="S161" i="1"/>
  <c r="S84" i="1"/>
  <c r="S76" i="1"/>
  <c r="S60" i="1"/>
  <c r="S215" i="1"/>
  <c r="S208" i="1"/>
  <c r="S194" i="1"/>
  <c r="S122" i="1"/>
  <c r="S217" i="1"/>
  <c r="S117" i="1"/>
  <c r="S132" i="1"/>
  <c r="S3" i="1"/>
  <c r="S58" i="1"/>
  <c r="S193" i="1"/>
  <c r="S72" i="1"/>
  <c r="S118" i="1"/>
  <c r="S35" i="1"/>
  <c r="S121" i="1"/>
  <c r="S180" i="1"/>
  <c r="S5" i="1"/>
  <c r="S190" i="1"/>
  <c r="S231" i="1"/>
  <c r="S237" i="1"/>
  <c r="S71" i="1"/>
  <c r="S44" i="1"/>
  <c r="S145" i="1"/>
  <c r="S232" i="1"/>
  <c r="S184" i="1"/>
  <c r="S50" i="1"/>
  <c r="S27" i="1"/>
  <c r="S17" i="1"/>
  <c r="S91" i="1"/>
  <c r="S135" i="1"/>
  <c r="S93" i="1"/>
  <c r="S185" i="1"/>
  <c r="S99" i="1"/>
  <c r="S24" i="1"/>
  <c r="S138" i="1"/>
  <c r="S97" i="1"/>
  <c r="S178" i="1"/>
  <c r="S172" i="1"/>
  <c r="S198" i="1"/>
  <c r="S186" i="1"/>
  <c r="S175" i="1"/>
  <c r="S205" i="1"/>
  <c r="S92" i="1"/>
  <c r="S14" i="1"/>
  <c r="S170" i="1"/>
  <c r="S218" i="1"/>
  <c r="S116" i="1"/>
  <c r="S166" i="1"/>
  <c r="S85" i="1"/>
  <c r="S54" i="1"/>
  <c r="S202" i="1"/>
  <c r="S128" i="1"/>
  <c r="S73" i="1"/>
  <c r="S157" i="1"/>
  <c r="S173" i="1"/>
  <c r="S236" i="1"/>
  <c r="S201" i="1"/>
  <c r="S192" i="1"/>
  <c r="S159" i="1"/>
  <c r="S174" i="1"/>
  <c r="S75" i="1"/>
  <c r="S130" i="1"/>
  <c r="S22" i="1"/>
  <c r="S219" i="1"/>
  <c r="S230" i="1"/>
  <c r="S251" i="1"/>
  <c r="S247" i="1"/>
  <c r="S64" i="1"/>
  <c r="S235" i="1"/>
  <c r="S207" i="1"/>
  <c r="S47" i="1"/>
  <c r="S129" i="1"/>
  <c r="S158" i="1"/>
  <c r="S188" i="1"/>
  <c r="S136" i="1"/>
  <c r="S83" i="1"/>
  <c r="S12" i="1"/>
  <c r="S89" i="1"/>
  <c r="S113" i="1"/>
  <c r="S142" i="1"/>
  <c r="S53" i="1"/>
  <c r="S213" i="1"/>
  <c r="S49" i="1"/>
  <c r="S6" i="1"/>
  <c r="S59" i="1"/>
  <c r="S241" i="1"/>
  <c r="S134" i="1"/>
  <c r="S88" i="1"/>
  <c r="S210" i="1"/>
  <c r="S126" i="1"/>
  <c r="S80" i="1"/>
  <c r="S151" i="1"/>
  <c r="S225" i="1"/>
  <c r="S37" i="1"/>
  <c r="S112" i="1"/>
  <c r="S222" i="1"/>
  <c r="S131" i="1"/>
  <c r="S223" i="1"/>
  <c r="S143" i="1"/>
  <c r="S94" i="1"/>
  <c r="S144" i="1"/>
  <c r="S16" i="1"/>
  <c r="S242" i="1"/>
  <c r="S146" i="1"/>
  <c r="S57" i="1"/>
  <c r="S156" i="1"/>
  <c r="S40" i="1"/>
  <c r="S244" i="1"/>
  <c r="S18" i="1"/>
  <c r="S62" i="1"/>
  <c r="S195" i="1"/>
  <c r="S200" i="1"/>
  <c r="S204" i="1"/>
  <c r="S4" i="1"/>
  <c r="S155" i="1"/>
  <c r="S103" i="1"/>
  <c r="S124" i="1"/>
  <c r="S191" i="1"/>
  <c r="S181" i="1"/>
  <c r="S45" i="1"/>
  <c r="S133" i="1"/>
  <c r="S21" i="1"/>
  <c r="S152" i="1"/>
  <c r="S240" i="1"/>
  <c r="S7" i="1"/>
  <c r="S43" i="1"/>
  <c r="S123" i="1"/>
  <c r="S61" i="1"/>
  <c r="S66" i="1"/>
  <c r="S41" i="1"/>
  <c r="S163" i="1"/>
  <c r="S109" i="1"/>
  <c r="S154" i="1"/>
  <c r="S55" i="1"/>
  <c r="S227" i="1"/>
  <c r="S239" i="1"/>
  <c r="S199" i="1"/>
  <c r="S77" i="1"/>
  <c r="S177" i="1"/>
  <c r="S69" i="1"/>
  <c r="S250" i="1"/>
  <c r="S106" i="1"/>
  <c r="S114" i="1"/>
  <c r="S9" i="1"/>
  <c r="S74" i="1"/>
  <c r="S39" i="1"/>
  <c r="S189" i="1"/>
  <c r="S108" i="1"/>
  <c r="S171" i="1"/>
  <c r="S168" i="1"/>
  <c r="T253" i="1" l="1"/>
  <c r="M244" i="1"/>
  <c r="M241" i="1"/>
  <c r="M247" i="1"/>
  <c r="M237" i="1"/>
  <c r="M231" i="1"/>
  <c r="M243" i="1"/>
  <c r="M238" i="1"/>
  <c r="M245" i="1"/>
  <c r="T246" i="1"/>
  <c r="M240" i="1"/>
  <c r="M242" i="1"/>
  <c r="M232" i="1"/>
  <c r="M236" i="1"/>
  <c r="M234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T260" i="1"/>
  <c r="U353" i="1"/>
  <c r="U321" i="1"/>
  <c r="U289" i="1"/>
  <c r="U361" i="1"/>
  <c r="U345" i="1"/>
  <c r="U329" i="1"/>
  <c r="U313" i="1"/>
  <c r="U297" i="1"/>
  <c r="U281" i="1"/>
  <c r="U265" i="1"/>
  <c r="T364" i="1"/>
  <c r="T348" i="1"/>
  <c r="T332" i="1"/>
  <c r="T316" i="1"/>
  <c r="T300" i="1"/>
  <c r="T284" i="1"/>
  <c r="T268" i="1"/>
  <c r="T252" i="1"/>
  <c r="U357" i="1"/>
  <c r="U341" i="1"/>
  <c r="U325" i="1"/>
  <c r="U309" i="1"/>
  <c r="U293" i="1"/>
  <c r="U277" i="1"/>
  <c r="U261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T368" i="1"/>
  <c r="T352" i="1"/>
  <c r="T336" i="1"/>
  <c r="T320" i="1"/>
  <c r="T304" i="1"/>
  <c r="T288" i="1"/>
  <c r="T272" i="1"/>
  <c r="T256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T247" i="1"/>
  <c r="T248" i="1" s="1"/>
  <c r="T249" i="1" s="1"/>
  <c r="T250" i="1" s="1"/>
  <c r="T251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U246" i="1" s="1"/>
  <c r="I247" i="1"/>
  <c r="I248" i="1"/>
  <c r="I249" i="1"/>
  <c r="I250" i="1"/>
  <c r="I251" i="1"/>
  <c r="I252" i="1"/>
  <c r="I253" i="1"/>
  <c r="U253" i="1" s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52" i="1" l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<sst xmlns="http://schemas.openxmlformats.org/spreadsheetml/2006/main" count="470" uniqueCount="312">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</sst>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125792"/>
        <c:axId val="275887392"/>
      </c:lineChart>
      <c:dateAx>
        <c:axId val="27512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887392"/>
        <c:crosses val="autoZero"/>
        <c:auto val="1"/>
        <c:lblOffset val="100"/>
        <c:baseTimeUnit val="days"/>
      </c:dateAx>
      <c:valAx>
        <c:axId val="27588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12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889632"/>
        <c:axId val="275890192"/>
      </c:lineChart>
      <c:dateAx>
        <c:axId val="275889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890192"/>
        <c:crosses val="autoZero"/>
        <c:auto val="1"/>
        <c:lblOffset val="100"/>
        <c:baseTimeUnit val="days"/>
      </c:dateAx>
      <c:valAx>
        <c:axId val="2758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8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8" activePane="bottomLeft" state="frozen"/>
      <selection pane="bottomLeft" activeCell="C36" sqref="C36"/>
    </sheetView>
  </sheetViews>
  <sheetFormatPr defaultRowHeight="13.8" x14ac:dyDescent="0.25"/>
  <cols>
    <col min="1" max="1" width="12.77734375" style="1" customWidth="1"/>
    <col min="2" max="2" width="18.33203125" style="25" bestFit="1" customWidth="1"/>
    <col min="3" max="3" width="11.109375" customWidth="1"/>
    <col min="5" max="5" width="5.44140625" customWidth="1"/>
    <col min="7" max="7" width="8" customWidth="1"/>
    <col min="8" max="9" width="5.77734375" customWidth="1"/>
  </cols>
  <sheetData>
    <row r="1" spans="1:9" x14ac:dyDescent="0.25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 x14ac:dyDescent="0.25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0.25327510917030566</v>
      </c>
    </row>
    <row r="3" spans="1:9" x14ac:dyDescent="0.25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0.84871554698168628</v>
      </c>
    </row>
    <row r="4" spans="1:9" x14ac:dyDescent="0.25">
      <c r="A4" s="2">
        <v>43096</v>
      </c>
      <c r="B4" s="24">
        <v>9920390</v>
      </c>
      <c r="C4" s="12">
        <f>B4/$B$2</f>
        <v>0.992039</v>
      </c>
    </row>
    <row r="5" spans="1:9" x14ac:dyDescent="0.25">
      <c r="A5" s="2">
        <v>43097</v>
      </c>
      <c r="B5" s="24"/>
      <c r="C5" s="5"/>
    </row>
    <row r="6" spans="1:9" x14ac:dyDescent="0.25">
      <c r="A6" s="2">
        <v>43098</v>
      </c>
      <c r="B6" s="24"/>
      <c r="C6" s="5"/>
    </row>
    <row r="7" spans="1:9" x14ac:dyDescent="0.25">
      <c r="A7" s="2">
        <v>43101</v>
      </c>
      <c r="B7" s="24"/>
      <c r="C7" s="5"/>
    </row>
    <row r="8" spans="1:9" x14ac:dyDescent="0.25">
      <c r="A8" s="2">
        <v>43102</v>
      </c>
      <c r="B8" s="24"/>
      <c r="C8" s="5"/>
    </row>
    <row r="9" spans="1:9" x14ac:dyDescent="0.25">
      <c r="A9" s="2">
        <v>43103</v>
      </c>
      <c r="B9" s="24"/>
      <c r="C9" s="5"/>
    </row>
    <row r="10" spans="1:9" x14ac:dyDescent="0.25">
      <c r="A10" s="2">
        <v>43104</v>
      </c>
      <c r="B10" s="24"/>
      <c r="C10" s="5"/>
    </row>
    <row r="11" spans="1:9" x14ac:dyDescent="0.25">
      <c r="A11" s="2">
        <v>43105</v>
      </c>
      <c r="B11" s="24"/>
      <c r="C11" s="5"/>
    </row>
    <row r="12" spans="1:9" x14ac:dyDescent="0.25">
      <c r="A12" s="2">
        <v>43108</v>
      </c>
      <c r="B12" s="24"/>
      <c r="C12" s="5"/>
    </row>
    <row r="13" spans="1:9" x14ac:dyDescent="0.25">
      <c r="A13" s="2">
        <v>43109</v>
      </c>
    </row>
    <row r="14" spans="1:9" x14ac:dyDescent="0.25">
      <c r="A14" s="2">
        <v>43110</v>
      </c>
    </row>
    <row r="15" spans="1:9" x14ac:dyDescent="0.25">
      <c r="A15" s="2">
        <v>43111</v>
      </c>
    </row>
    <row r="16" spans="1:9" x14ac:dyDescent="0.25">
      <c r="A16" s="19">
        <v>43112</v>
      </c>
      <c r="B16" s="41"/>
      <c r="C16" s="4"/>
    </row>
    <row r="17" spans="1:3" x14ac:dyDescent="0.25">
      <c r="A17" s="2">
        <v>43115</v>
      </c>
      <c r="B17" s="25">
        <v>9836736</v>
      </c>
      <c r="C17" s="12">
        <f>B17/$B$2</f>
        <v>0.98367360000000004</v>
      </c>
    </row>
    <row r="18" spans="1:3" x14ac:dyDescent="0.25">
      <c r="A18" s="2">
        <v>43116</v>
      </c>
      <c r="B18" s="25">
        <v>9743676</v>
      </c>
      <c r="C18" s="12">
        <f t="shared" ref="C18:C25" si="0">B18/$B$2</f>
        <v>0.9743676</v>
      </c>
    </row>
    <row r="19" spans="1:3" x14ac:dyDescent="0.25">
      <c r="A19" s="2">
        <v>43117</v>
      </c>
      <c r="B19" s="25">
        <v>9685921</v>
      </c>
      <c r="C19" s="12">
        <f t="shared" si="0"/>
        <v>0.96859209999999996</v>
      </c>
    </row>
    <row r="20" spans="1:3" x14ac:dyDescent="0.25">
      <c r="A20" s="2">
        <v>43118</v>
      </c>
      <c r="B20" s="25">
        <v>9704061</v>
      </c>
      <c r="C20" s="12">
        <f t="shared" si="0"/>
        <v>0.97040610000000005</v>
      </c>
    </row>
    <row r="21" spans="1:3" x14ac:dyDescent="0.25">
      <c r="A21" s="19">
        <v>43119</v>
      </c>
      <c r="B21" s="41">
        <v>9729899</v>
      </c>
      <c r="C21" s="42">
        <f t="shared" si="0"/>
        <v>0.97298989999999996</v>
      </c>
    </row>
    <row r="22" spans="1:3" x14ac:dyDescent="0.25">
      <c r="A22" s="2">
        <v>43122</v>
      </c>
      <c r="B22" s="25">
        <v>9715728</v>
      </c>
      <c r="C22" s="12">
        <f t="shared" si="0"/>
        <v>0.97157280000000001</v>
      </c>
    </row>
    <row r="23" spans="1:3" x14ac:dyDescent="0.25">
      <c r="A23" s="2">
        <v>43123</v>
      </c>
      <c r="B23" s="25">
        <v>9756827</v>
      </c>
      <c r="C23" s="12">
        <f t="shared" si="0"/>
        <v>0.97568270000000001</v>
      </c>
    </row>
    <row r="24" spans="1:3" x14ac:dyDescent="0.25">
      <c r="A24" s="2">
        <v>43124</v>
      </c>
      <c r="B24" s="25">
        <v>9739233</v>
      </c>
      <c r="C24" s="12">
        <f t="shared" si="0"/>
        <v>0.97392330000000005</v>
      </c>
    </row>
    <row r="25" spans="1:3" x14ac:dyDescent="0.25">
      <c r="A25" s="2">
        <v>43125</v>
      </c>
      <c r="B25" s="25">
        <v>9796411</v>
      </c>
      <c r="C25" s="12">
        <f t="shared" si="0"/>
        <v>0.97964110000000004</v>
      </c>
    </row>
    <row r="26" spans="1:3" x14ac:dyDescent="0.25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 x14ac:dyDescent="0.25">
      <c r="A27" s="2">
        <v>43129</v>
      </c>
      <c r="B27" s="25">
        <v>9771011.2799999993</v>
      </c>
      <c r="C27" s="12">
        <f t="shared" si="1"/>
        <v>0.97710112799999993</v>
      </c>
    </row>
    <row r="28" spans="1:3" x14ac:dyDescent="0.25">
      <c r="A28" s="2">
        <v>43130</v>
      </c>
      <c r="B28" s="25">
        <v>9753399.9199999999</v>
      </c>
      <c r="C28" s="12">
        <f t="shared" si="1"/>
        <v>0.97533999199999999</v>
      </c>
    </row>
    <row r="29" spans="1:3" x14ac:dyDescent="0.25">
      <c r="A29" s="2">
        <v>43131</v>
      </c>
      <c r="B29" s="25">
        <v>9712827.9100000001</v>
      </c>
      <c r="C29" s="12">
        <f t="shared" si="1"/>
        <v>0.97128279100000003</v>
      </c>
    </row>
    <row r="30" spans="1:3" x14ac:dyDescent="0.25">
      <c r="A30" s="2">
        <v>43132</v>
      </c>
      <c r="B30" s="25">
        <v>9732130.9100000001</v>
      </c>
      <c r="C30" s="12">
        <f t="shared" si="1"/>
        <v>0.97321309099999997</v>
      </c>
    </row>
    <row r="31" spans="1:3" x14ac:dyDescent="0.25">
      <c r="A31" s="19">
        <v>43133</v>
      </c>
      <c r="B31" s="41">
        <v>9712003</v>
      </c>
      <c r="C31" s="42">
        <f t="shared" si="1"/>
        <v>0.97120030000000002</v>
      </c>
    </row>
    <row r="32" spans="1:3" x14ac:dyDescent="0.25">
      <c r="A32" s="2">
        <v>43136</v>
      </c>
      <c r="B32" s="25">
        <v>9694076.5299999993</v>
      </c>
      <c r="C32" s="78">
        <f t="shared" si="1"/>
        <v>0.96940765299999998</v>
      </c>
    </row>
    <row r="33" spans="1:3" x14ac:dyDescent="0.25">
      <c r="A33" s="2">
        <v>43137</v>
      </c>
      <c r="B33" s="25">
        <v>9708630.9000000004</v>
      </c>
      <c r="C33" s="78">
        <f t="shared" si="1"/>
        <v>0.97086309000000004</v>
      </c>
    </row>
    <row r="34" spans="1:3" x14ac:dyDescent="0.25">
      <c r="A34" s="2">
        <v>43138</v>
      </c>
      <c r="B34" s="25">
        <v>9702242.3900000006</v>
      </c>
      <c r="C34" s="78">
        <f t="shared" si="1"/>
        <v>0.9702242390000001</v>
      </c>
    </row>
    <row r="35" spans="1:3" x14ac:dyDescent="0.25">
      <c r="A35" s="2">
        <v>43139</v>
      </c>
      <c r="B35" s="25">
        <v>9706020.5299999993</v>
      </c>
      <c r="C35" s="78">
        <f t="shared" si="1"/>
        <v>0.97060205299999991</v>
      </c>
    </row>
    <row r="36" spans="1:3" x14ac:dyDescent="0.25">
      <c r="A36" s="19">
        <v>43140</v>
      </c>
      <c r="B36" s="41">
        <v>9795265</v>
      </c>
      <c r="C36" s="4">
        <f t="shared" si="1"/>
        <v>0.97952649999999997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36" activePane="bottomLeft" state="frozen"/>
      <selection pane="bottomLeft" activeCell="G253" sqref="G253"/>
    </sheetView>
  </sheetViews>
  <sheetFormatPr defaultRowHeight="13.8" x14ac:dyDescent="0.25"/>
  <cols>
    <col min="1" max="1" width="10.33203125" style="1" customWidth="1"/>
    <col min="2" max="2" width="9.33203125" style="1" customWidth="1"/>
    <col min="3" max="3" width="7" style="1" customWidth="1"/>
    <col min="4" max="4" width="7.33203125" style="1" customWidth="1"/>
    <col min="5" max="5" width="11.33203125" style="1" customWidth="1"/>
    <col min="6" max="6" width="8.88671875" style="1" customWidth="1"/>
    <col min="7" max="7" width="9.88671875" style="17" customWidth="1"/>
    <col min="8" max="8" width="7.33203125" style="53" customWidth="1"/>
    <col min="9" max="9" width="6.88671875" style="17" customWidth="1"/>
    <col min="10" max="10" width="7.21875" style="1" customWidth="1"/>
    <col min="11" max="11" width="11.33203125" style="1" customWidth="1"/>
    <col min="12" max="12" width="7.44140625" style="1" customWidth="1"/>
    <col min="13" max="13" width="10.44140625" style="1" bestFit="1" customWidth="1"/>
    <col min="14" max="14" width="4.77734375" style="1" customWidth="1"/>
    <col min="15" max="15" width="9" style="1"/>
    <col min="16" max="16" width="8.77734375" customWidth="1"/>
    <col min="17" max="17" width="6.44140625" customWidth="1"/>
    <col min="18" max="18" width="2.77734375" customWidth="1"/>
    <col min="19" max="19" width="6.109375" style="10" customWidth="1"/>
    <col min="20" max="20" width="8.6640625" customWidth="1"/>
    <col min="21" max="21" width="9" style="1"/>
  </cols>
  <sheetData>
    <row r="1" spans="1:26" s="63" customFormat="1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229</v>
      </c>
      <c r="V1" s="65">
        <f>COUNTIF(M2:M9987,"&gt;0")</f>
        <v>58</v>
      </c>
      <c r="W1" s="65">
        <f>COUNTIF(M2:M9987,"&lt;0")</f>
        <v>167</v>
      </c>
      <c r="X1" s="65">
        <f>SUMIF(M2:M9987,"&gt;0")</f>
        <v>839186.04999999993</v>
      </c>
      <c r="Y1" s="65">
        <f>ABS(SUMIF(M2:M9987,"&lt;0"))</f>
        <v>988771.86000000068</v>
      </c>
      <c r="Z1" s="65"/>
    </row>
    <row r="2" spans="1:26" x14ac:dyDescent="0.25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 x14ac:dyDescent="0.25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 x14ac:dyDescent="0.25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 x14ac:dyDescent="0.25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 x14ac:dyDescent="0.25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 x14ac:dyDescent="0.25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 x14ac:dyDescent="0.25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 x14ac:dyDescent="0.25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 x14ac:dyDescent="0.25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 x14ac:dyDescent="0.25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 x14ac:dyDescent="0.25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 x14ac:dyDescent="0.25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 x14ac:dyDescent="0.25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 x14ac:dyDescent="0.25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 x14ac:dyDescent="0.25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 x14ac:dyDescent="0.25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 x14ac:dyDescent="0.25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 x14ac:dyDescent="0.25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 x14ac:dyDescent="0.25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 x14ac:dyDescent="0.25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 x14ac:dyDescent="0.25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 x14ac:dyDescent="0.25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4" thickBot="1" x14ac:dyDescent="0.3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 x14ac:dyDescent="0.25">
      <c r="A25" s="2">
        <v>43101</v>
      </c>
      <c r="S25" t="str">
        <f>IF(B25="","",VLOOKUP(Cmt(B25),Sheet2!A:B,2,FALSE))</f>
        <v/>
      </c>
      <c r="W25" s="11"/>
    </row>
    <row r="26" spans="1:23" x14ac:dyDescent="0.25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 x14ac:dyDescent="0.25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 x14ac:dyDescent="0.25">
      <c r="A28" s="2">
        <v>43103</v>
      </c>
      <c r="S28" t="str">
        <f>IF(B28="","",VLOOKUP(Cmt(B28),Sheet2!A:B,2,FALSE))</f>
        <v/>
      </c>
      <c r="W28" s="11"/>
    </row>
    <row r="29" spans="1:23" x14ac:dyDescent="0.25">
      <c r="A29" s="2">
        <v>43104</v>
      </c>
      <c r="S29" t="str">
        <f>IF(B29="","",VLOOKUP(Cmt(B29),Sheet2!A:B,2,FALSE))</f>
        <v/>
      </c>
      <c r="W29" s="11"/>
    </row>
    <row r="30" spans="1:23" x14ac:dyDescent="0.25">
      <c r="A30" s="2">
        <v>43105</v>
      </c>
      <c r="S30" t="str">
        <f>IF(B30="","",VLOOKUP(Cmt(B30),Sheet2!A:B,2,FALSE))</f>
        <v/>
      </c>
      <c r="W30" s="11"/>
    </row>
    <row r="31" spans="1:23" x14ac:dyDescent="0.25">
      <c r="A31" s="2">
        <v>43108</v>
      </c>
      <c r="S31" t="str">
        <f>IF(B31="","",VLOOKUP(Cmt(B31),Sheet2!A:B,2,FALSE))</f>
        <v/>
      </c>
      <c r="W31" s="11"/>
    </row>
    <row r="32" spans="1:23" x14ac:dyDescent="0.25">
      <c r="A32" s="2">
        <v>43109</v>
      </c>
      <c r="S32" t="str">
        <f>IF(B32="","",VLOOKUP(Cmt(B32),Sheet2!A:B,2,FALSE))</f>
        <v/>
      </c>
      <c r="W32" s="11"/>
    </row>
    <row r="33" spans="1:23" x14ac:dyDescent="0.25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 x14ac:dyDescent="0.25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 x14ac:dyDescent="0.25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4" thickBot="1" x14ac:dyDescent="0.3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 x14ac:dyDescent="0.25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 x14ac:dyDescent="0.25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 x14ac:dyDescent="0.25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 x14ac:dyDescent="0.25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 x14ac:dyDescent="0.25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 x14ac:dyDescent="0.25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 x14ac:dyDescent="0.25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 x14ac:dyDescent="0.25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 x14ac:dyDescent="0.25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 x14ac:dyDescent="0.25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 x14ac:dyDescent="0.25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 x14ac:dyDescent="0.25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 x14ac:dyDescent="0.25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 x14ac:dyDescent="0.25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 x14ac:dyDescent="0.25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 x14ac:dyDescent="0.25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 x14ac:dyDescent="0.25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 x14ac:dyDescent="0.25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 x14ac:dyDescent="0.25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 x14ac:dyDescent="0.25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 x14ac:dyDescent="0.25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 x14ac:dyDescent="0.25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 x14ac:dyDescent="0.25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 x14ac:dyDescent="0.25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 x14ac:dyDescent="0.25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 x14ac:dyDescent="0.25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 x14ac:dyDescent="0.25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 x14ac:dyDescent="0.25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 x14ac:dyDescent="0.25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 x14ac:dyDescent="0.25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 x14ac:dyDescent="0.25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 x14ac:dyDescent="0.25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 x14ac:dyDescent="0.25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 x14ac:dyDescent="0.25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 x14ac:dyDescent="0.25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 x14ac:dyDescent="0.25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 x14ac:dyDescent="0.25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 x14ac:dyDescent="0.25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 x14ac:dyDescent="0.25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 x14ac:dyDescent="0.25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 x14ac:dyDescent="0.25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4" thickBot="1" x14ac:dyDescent="0.3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 x14ac:dyDescent="0.25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 x14ac:dyDescent="0.25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 x14ac:dyDescent="0.25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 x14ac:dyDescent="0.25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 x14ac:dyDescent="0.25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 x14ac:dyDescent="0.25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 x14ac:dyDescent="0.25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 x14ac:dyDescent="0.25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 x14ac:dyDescent="0.25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 x14ac:dyDescent="0.25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 x14ac:dyDescent="0.25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 x14ac:dyDescent="0.25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 x14ac:dyDescent="0.25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 x14ac:dyDescent="0.25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 x14ac:dyDescent="0.25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 x14ac:dyDescent="0.25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 x14ac:dyDescent="0.25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 x14ac:dyDescent="0.25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 x14ac:dyDescent="0.25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 x14ac:dyDescent="0.25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 x14ac:dyDescent="0.25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 x14ac:dyDescent="0.25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 x14ac:dyDescent="0.25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 x14ac:dyDescent="0.25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 x14ac:dyDescent="0.25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 x14ac:dyDescent="0.25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 x14ac:dyDescent="0.25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 x14ac:dyDescent="0.25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 x14ac:dyDescent="0.25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 x14ac:dyDescent="0.25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 x14ac:dyDescent="0.25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 x14ac:dyDescent="0.25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 x14ac:dyDescent="0.25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 x14ac:dyDescent="0.25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 x14ac:dyDescent="0.25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 x14ac:dyDescent="0.25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 x14ac:dyDescent="0.25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 x14ac:dyDescent="0.25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 x14ac:dyDescent="0.25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 x14ac:dyDescent="0.25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4" thickBot="1" x14ac:dyDescent="0.3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 x14ac:dyDescent="0.25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 x14ac:dyDescent="0.25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 x14ac:dyDescent="0.25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 x14ac:dyDescent="0.25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 x14ac:dyDescent="0.25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 x14ac:dyDescent="0.25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 x14ac:dyDescent="0.25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 x14ac:dyDescent="0.25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 x14ac:dyDescent="0.25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 x14ac:dyDescent="0.25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 x14ac:dyDescent="0.25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 x14ac:dyDescent="0.25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 x14ac:dyDescent="0.25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 x14ac:dyDescent="0.25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 x14ac:dyDescent="0.25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 x14ac:dyDescent="0.25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 x14ac:dyDescent="0.25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 x14ac:dyDescent="0.25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 x14ac:dyDescent="0.25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 x14ac:dyDescent="0.25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 x14ac:dyDescent="0.25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 x14ac:dyDescent="0.25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 x14ac:dyDescent="0.25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 x14ac:dyDescent="0.25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 x14ac:dyDescent="0.25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 x14ac:dyDescent="0.25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 x14ac:dyDescent="0.25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 x14ac:dyDescent="0.25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 x14ac:dyDescent="0.25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 x14ac:dyDescent="0.25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 x14ac:dyDescent="0.25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 x14ac:dyDescent="0.25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 x14ac:dyDescent="0.25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 x14ac:dyDescent="0.25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 x14ac:dyDescent="0.25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 x14ac:dyDescent="0.25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 x14ac:dyDescent="0.25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 x14ac:dyDescent="0.25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 x14ac:dyDescent="0.25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 x14ac:dyDescent="0.25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 x14ac:dyDescent="0.25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 x14ac:dyDescent="0.25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 x14ac:dyDescent="0.25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 x14ac:dyDescent="0.25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 x14ac:dyDescent="0.25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 x14ac:dyDescent="0.25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 x14ac:dyDescent="0.25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 x14ac:dyDescent="0.25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 x14ac:dyDescent="0.25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 x14ac:dyDescent="0.25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 x14ac:dyDescent="0.25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 x14ac:dyDescent="0.25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 x14ac:dyDescent="0.25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 x14ac:dyDescent="0.25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 x14ac:dyDescent="0.25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 x14ac:dyDescent="0.25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 x14ac:dyDescent="0.25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 x14ac:dyDescent="0.25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 x14ac:dyDescent="0.25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 x14ac:dyDescent="0.25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 x14ac:dyDescent="0.25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 x14ac:dyDescent="0.25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 x14ac:dyDescent="0.25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 x14ac:dyDescent="0.25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 x14ac:dyDescent="0.25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 x14ac:dyDescent="0.25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 x14ac:dyDescent="0.25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 x14ac:dyDescent="0.25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4" thickBot="1" x14ac:dyDescent="0.3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 x14ac:dyDescent="0.25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 x14ac:dyDescent="0.25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 x14ac:dyDescent="0.25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 x14ac:dyDescent="0.25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 x14ac:dyDescent="0.25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 x14ac:dyDescent="0.25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 x14ac:dyDescent="0.25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 x14ac:dyDescent="0.25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 x14ac:dyDescent="0.25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 x14ac:dyDescent="0.25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 x14ac:dyDescent="0.25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 x14ac:dyDescent="0.25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 x14ac:dyDescent="0.25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 x14ac:dyDescent="0.25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 x14ac:dyDescent="0.25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 x14ac:dyDescent="0.25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 x14ac:dyDescent="0.25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 x14ac:dyDescent="0.25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 x14ac:dyDescent="0.25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 x14ac:dyDescent="0.25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 x14ac:dyDescent="0.25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 x14ac:dyDescent="0.25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 x14ac:dyDescent="0.25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 x14ac:dyDescent="0.25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 x14ac:dyDescent="0.25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 x14ac:dyDescent="0.25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 x14ac:dyDescent="0.25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 x14ac:dyDescent="0.25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 x14ac:dyDescent="0.25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 x14ac:dyDescent="0.25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 x14ac:dyDescent="0.25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 x14ac:dyDescent="0.25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 x14ac:dyDescent="0.25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 x14ac:dyDescent="0.25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 x14ac:dyDescent="0.25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 x14ac:dyDescent="0.25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 x14ac:dyDescent="0.25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 x14ac:dyDescent="0.25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 x14ac:dyDescent="0.25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 x14ac:dyDescent="0.25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 x14ac:dyDescent="0.25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 x14ac:dyDescent="0.25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:M231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 x14ac:dyDescent="0.25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6">
        <f t="shared" si="113"/>
        <v>-9020</v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 x14ac:dyDescent="0.25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 x14ac:dyDescent="0.25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4" thickBot="1" x14ac:dyDescent="0.3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 x14ac:dyDescent="0.25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 x14ac:dyDescent="0.25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 x14ac:dyDescent="0.25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03"/>
        <v>-1800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 x14ac:dyDescent="0.25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03"/>
        <v>4060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 x14ac:dyDescent="0.25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 x14ac:dyDescent="0.25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 x14ac:dyDescent="0.25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32">
        <f t="shared" si="103"/>
        <v>-2080.4999999999836</v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 x14ac:dyDescent="0.25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 x14ac:dyDescent="0.25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si="103"/>
        <v>6600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x14ac:dyDescent="0.25">
      <c r="A244" s="3"/>
      <c r="B244" s="3" t="s">
        <v>303</v>
      </c>
      <c r="C244" s="3">
        <v>-1</v>
      </c>
      <c r="D244" s="3">
        <v>2846.8</v>
      </c>
      <c r="E244" s="19">
        <v>43144</v>
      </c>
      <c r="F244" s="31">
        <v>0.56597222222222221</v>
      </c>
      <c r="G244" s="18">
        <v>1.7000000000000001E-2</v>
      </c>
      <c r="H244" s="52">
        <v>1</v>
      </c>
      <c r="I244" s="18">
        <f t="shared" si="102"/>
        <v>1.7000000000000001E-2</v>
      </c>
      <c r="J244" s="3">
        <v>2907.8</v>
      </c>
      <c r="K244" s="19">
        <v>43153</v>
      </c>
      <c r="L244" s="31">
        <v>0.39861111111111108</v>
      </c>
      <c r="M244" s="14">
        <f t="shared" si="103"/>
        <v>-18300</v>
      </c>
      <c r="N244" s="3"/>
      <c r="O244" s="3"/>
      <c r="P244" s="4"/>
      <c r="Q244" s="4"/>
      <c r="R244" s="4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 x14ac:dyDescent="0.25">
      <c r="A245" s="2">
        <v>43153</v>
      </c>
      <c r="B245" s="1" t="s">
        <v>304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3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 x14ac:dyDescent="0.25">
      <c r="B246" s="1" t="s">
        <v>305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3">
        <v>1</v>
      </c>
      <c r="I246" s="17">
        <f t="shared" si="102"/>
        <v>1.4999999999999999E-2</v>
      </c>
      <c r="M246" s="16" t="str">
        <f t="shared" si="103"/>
        <v/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 x14ac:dyDescent="0.25">
      <c r="B247" s="1" t="s">
        <v>306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3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 x14ac:dyDescent="0.25">
      <c r="B248" s="1" t="s">
        <v>307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3">
        <v>1</v>
      </c>
      <c r="I248" s="17">
        <f t="shared" si="102"/>
        <v>2.3E-2</v>
      </c>
      <c r="M248" s="16" t="str">
        <f t="shared" si="103"/>
        <v/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 x14ac:dyDescent="0.25">
      <c r="B249" s="1" t="s">
        <v>308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3">
        <v>1</v>
      </c>
      <c r="I249" s="17">
        <f t="shared" si="102"/>
        <v>1.7999999999999999E-2</v>
      </c>
      <c r="M249" s="16" t="str">
        <f t="shared" si="103"/>
        <v/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 x14ac:dyDescent="0.25">
      <c r="B250" s="1" t="s">
        <v>309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3">
        <v>1</v>
      </c>
      <c r="I250" s="17">
        <f t="shared" si="102"/>
        <v>1.2E-2</v>
      </c>
      <c r="M250" s="16" t="str">
        <f t="shared" si="103"/>
        <v/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 x14ac:dyDescent="0.25">
      <c r="A251" s="3"/>
      <c r="B251" s="3" t="s">
        <v>310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2">
        <v>0.5</v>
      </c>
      <c r="I251" s="18">
        <f t="shared" si="102"/>
        <v>1.15E-2</v>
      </c>
      <c r="J251" s="3"/>
      <c r="K251" s="3"/>
      <c r="L251" s="3"/>
      <c r="M251" s="14" t="str">
        <f t="shared" si="103"/>
        <v/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 x14ac:dyDescent="0.25">
      <c r="A252" s="2">
        <v>43154</v>
      </c>
      <c r="B252" s="1" t="s">
        <v>311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3">
        <v>0.5</v>
      </c>
      <c r="I252" s="17">
        <f t="shared" si="102"/>
        <v>9.4999999999999998E-3</v>
      </c>
      <c r="M252" s="16" t="str">
        <f t="shared" si="103"/>
        <v/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 x14ac:dyDescent="0.25">
      <c r="B253" s="1" t="s">
        <v>13</v>
      </c>
      <c r="C253" s="1">
        <v>19</v>
      </c>
      <c r="D253" s="1">
        <v>3865</v>
      </c>
      <c r="E253" s="2">
        <v>43153</v>
      </c>
      <c r="F253" s="26">
        <v>0.92708333333333337</v>
      </c>
      <c r="G253" s="17">
        <v>2.3E-2</v>
      </c>
      <c r="H253" s="53">
        <v>0.5</v>
      </c>
      <c r="I253" s="17">
        <f t="shared" si="102"/>
        <v>1.15E-2</v>
      </c>
      <c r="M253" s="16" t="str">
        <f t="shared" si="103"/>
        <v/>
      </c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 x14ac:dyDescent="0.25">
      <c r="I254" s="17" t="str">
        <f t="shared" si="102"/>
        <v/>
      </c>
      <c r="M254" s="16" t="str">
        <f t="shared" si="103"/>
        <v/>
      </c>
      <c r="S254" t="str">
        <f>IF(B254="","",VLOOKUP(Cmt(B254),Sheet2!A:B,2,FALSE))</f>
        <v/>
      </c>
      <c r="T254" s="39" t="str">
        <f t="shared" si="112"/>
        <v/>
      </c>
      <c r="U254" s="13" t="str">
        <f t="shared" si="110"/>
        <v/>
      </c>
      <c r="W254" s="11"/>
    </row>
    <row r="255" spans="1:23" x14ac:dyDescent="0.25">
      <c r="I255" s="17" t="str">
        <f t="shared" si="102"/>
        <v/>
      </c>
      <c r="M255" s="16" t="str">
        <f t="shared" si="103"/>
        <v/>
      </c>
      <c r="S255" t="str">
        <f>IF(B255="","",VLOOKUP(Cmt(B255),Sheet2!A:B,2,FALSE))</f>
        <v/>
      </c>
      <c r="T255" s="39" t="str">
        <f t="shared" si="112"/>
        <v/>
      </c>
      <c r="U255" s="13" t="str">
        <f t="shared" si="110"/>
        <v/>
      </c>
      <c r="W255" s="11"/>
    </row>
    <row r="256" spans="1:23" x14ac:dyDescent="0.25">
      <c r="I256" s="17" t="str">
        <f t="shared" si="102"/>
        <v/>
      </c>
      <c r="M256" s="16" t="str">
        <f t="shared" si="103"/>
        <v/>
      </c>
      <c r="S256" t="str">
        <f>IF(B256="","",VLOOKUP(Cmt(B256),Sheet2!A:B,2,FALSE))</f>
        <v/>
      </c>
      <c r="T256" s="39" t="str">
        <f t="shared" si="112"/>
        <v/>
      </c>
      <c r="U256" s="13" t="str">
        <f t="shared" si="110"/>
        <v/>
      </c>
      <c r="W256" s="11"/>
    </row>
    <row r="257" spans="9:23" x14ac:dyDescent="0.25"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9:23" x14ac:dyDescent="0.25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9:23" x14ac:dyDescent="0.25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9:23" x14ac:dyDescent="0.25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9:23" x14ac:dyDescent="0.25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9:23" x14ac:dyDescent="0.25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9:23" x14ac:dyDescent="0.25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9:23" x14ac:dyDescent="0.25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9:23" x14ac:dyDescent="0.25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9:23" x14ac:dyDescent="0.25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9:23" x14ac:dyDescent="0.25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9:23" x14ac:dyDescent="0.25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9:23" x14ac:dyDescent="0.25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9:23" x14ac:dyDescent="0.25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9:23" x14ac:dyDescent="0.25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9:23" x14ac:dyDescent="0.25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 x14ac:dyDescent="0.25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 x14ac:dyDescent="0.25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 x14ac:dyDescent="0.25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 x14ac:dyDescent="0.25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 x14ac:dyDescent="0.25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 x14ac:dyDescent="0.25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 x14ac:dyDescent="0.25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 x14ac:dyDescent="0.25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 x14ac:dyDescent="0.25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 x14ac:dyDescent="0.25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 x14ac:dyDescent="0.25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 x14ac:dyDescent="0.25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 x14ac:dyDescent="0.25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 x14ac:dyDescent="0.25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 x14ac:dyDescent="0.25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 x14ac:dyDescent="0.25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 x14ac:dyDescent="0.25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 x14ac:dyDescent="0.25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 x14ac:dyDescent="0.25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 x14ac:dyDescent="0.25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 x14ac:dyDescent="0.25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 x14ac:dyDescent="0.25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 x14ac:dyDescent="0.25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 x14ac:dyDescent="0.25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 x14ac:dyDescent="0.25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 x14ac:dyDescent="0.25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 x14ac:dyDescent="0.25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 x14ac:dyDescent="0.25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 x14ac:dyDescent="0.25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 x14ac:dyDescent="0.25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 x14ac:dyDescent="0.25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 x14ac:dyDescent="0.25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 x14ac:dyDescent="0.25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 x14ac:dyDescent="0.25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 x14ac:dyDescent="0.25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 x14ac:dyDescent="0.25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 x14ac:dyDescent="0.25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 x14ac:dyDescent="0.25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 x14ac:dyDescent="0.25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 x14ac:dyDescent="0.25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 x14ac:dyDescent="0.25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 x14ac:dyDescent="0.25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 x14ac:dyDescent="0.25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 x14ac:dyDescent="0.25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 x14ac:dyDescent="0.25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 x14ac:dyDescent="0.25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 x14ac:dyDescent="0.25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 x14ac:dyDescent="0.25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 x14ac:dyDescent="0.25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 x14ac:dyDescent="0.25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 x14ac:dyDescent="0.25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 x14ac:dyDescent="0.25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 x14ac:dyDescent="0.25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 x14ac:dyDescent="0.25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 x14ac:dyDescent="0.25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 x14ac:dyDescent="0.25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 x14ac:dyDescent="0.25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 x14ac:dyDescent="0.25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 x14ac:dyDescent="0.25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 x14ac:dyDescent="0.25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 x14ac:dyDescent="0.25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 x14ac:dyDescent="0.25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 x14ac:dyDescent="0.25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 x14ac:dyDescent="0.25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 x14ac:dyDescent="0.25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 x14ac:dyDescent="0.25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 x14ac:dyDescent="0.25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 x14ac:dyDescent="0.25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 x14ac:dyDescent="0.25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 x14ac:dyDescent="0.25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 x14ac:dyDescent="0.25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 x14ac:dyDescent="0.25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 x14ac:dyDescent="0.25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 x14ac:dyDescent="0.25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 x14ac:dyDescent="0.25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 x14ac:dyDescent="0.25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 x14ac:dyDescent="0.25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 x14ac:dyDescent="0.25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 x14ac:dyDescent="0.25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 x14ac:dyDescent="0.25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 x14ac:dyDescent="0.25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 x14ac:dyDescent="0.25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 x14ac:dyDescent="0.25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 x14ac:dyDescent="0.25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 x14ac:dyDescent="0.25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 x14ac:dyDescent="0.25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 x14ac:dyDescent="0.25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 x14ac:dyDescent="0.25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 x14ac:dyDescent="0.25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 x14ac:dyDescent="0.25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 x14ac:dyDescent="0.25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 x14ac:dyDescent="0.25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 x14ac:dyDescent="0.25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 x14ac:dyDescent="0.25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 x14ac:dyDescent="0.25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 x14ac:dyDescent="0.25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 x14ac:dyDescent="0.25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 x14ac:dyDescent="0.25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8" x14ac:dyDescent="0.25"/>
  <cols>
    <col min="4" max="4" width="10.44140625" bestFit="1" customWidth="1"/>
    <col min="7" max="7" width="10.44140625" bestFit="1" customWidth="1"/>
    <col min="8" max="8" width="10.44140625" style="77" customWidth="1"/>
    <col min="12" max="12" width="13" bestFit="1" customWidth="1"/>
    <col min="13" max="13" width="12" customWidth="1"/>
  </cols>
  <sheetData>
    <row r="1" spans="1:19" x14ac:dyDescent="0.25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 x14ac:dyDescent="0.25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 x14ac:dyDescent="0.25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 x14ac:dyDescent="0.25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 x14ac:dyDescent="0.25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 x14ac:dyDescent="0.25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 x14ac:dyDescent="0.25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 x14ac:dyDescent="0.25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 x14ac:dyDescent="0.25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 x14ac:dyDescent="0.25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 x14ac:dyDescent="0.25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 x14ac:dyDescent="0.25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 x14ac:dyDescent="0.25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 x14ac:dyDescent="0.25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 x14ac:dyDescent="0.25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 x14ac:dyDescent="0.25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 x14ac:dyDescent="0.25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 x14ac:dyDescent="0.25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 x14ac:dyDescent="0.25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 x14ac:dyDescent="0.25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 x14ac:dyDescent="0.25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 x14ac:dyDescent="0.25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 x14ac:dyDescent="0.25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 x14ac:dyDescent="0.25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 x14ac:dyDescent="0.25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 x14ac:dyDescent="0.25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 x14ac:dyDescent="0.25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 x14ac:dyDescent="0.25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 x14ac:dyDescent="0.25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 x14ac:dyDescent="0.25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 x14ac:dyDescent="0.25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 x14ac:dyDescent="0.25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 x14ac:dyDescent="0.25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 x14ac:dyDescent="0.25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 x14ac:dyDescent="0.25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 x14ac:dyDescent="0.25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 x14ac:dyDescent="0.25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 x14ac:dyDescent="0.25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 x14ac:dyDescent="0.25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 x14ac:dyDescent="0.25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 x14ac:dyDescent="0.25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 x14ac:dyDescent="0.25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 x14ac:dyDescent="0.25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 x14ac:dyDescent="0.25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 x14ac:dyDescent="0.25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 x14ac:dyDescent="0.25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 x14ac:dyDescent="0.25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 x14ac:dyDescent="0.25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 x14ac:dyDescent="0.25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 x14ac:dyDescent="0.25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 x14ac:dyDescent="0.25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 x14ac:dyDescent="0.25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 x14ac:dyDescent="0.25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 x14ac:dyDescent="0.25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 x14ac:dyDescent="0.25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 x14ac:dyDescent="0.25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 x14ac:dyDescent="0.25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 x14ac:dyDescent="0.25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 x14ac:dyDescent="0.25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 x14ac:dyDescent="0.25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 x14ac:dyDescent="0.25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 x14ac:dyDescent="0.25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 x14ac:dyDescent="0.25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 x14ac:dyDescent="0.25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 x14ac:dyDescent="0.25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 x14ac:dyDescent="0.25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 x14ac:dyDescent="0.25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 x14ac:dyDescent="0.25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 x14ac:dyDescent="0.25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 x14ac:dyDescent="0.25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 x14ac:dyDescent="0.25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 x14ac:dyDescent="0.25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 x14ac:dyDescent="0.25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 x14ac:dyDescent="0.25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 x14ac:dyDescent="0.25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 x14ac:dyDescent="0.25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 x14ac:dyDescent="0.25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 x14ac:dyDescent="0.25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 x14ac:dyDescent="0.25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 x14ac:dyDescent="0.25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 x14ac:dyDescent="0.25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8" x14ac:dyDescent="0.25"/>
  <cols>
    <col min="1" max="1" width="9" style="58" bestFit="1" customWidth="1"/>
    <col min="2" max="2" width="10.44140625" style="57" bestFit="1" customWidth="1"/>
  </cols>
  <sheetData>
    <row r="1" spans="1:2" x14ac:dyDescent="0.25">
      <c r="A1" s="58" t="s">
        <v>216</v>
      </c>
      <c r="B1" s="57" t="s">
        <v>268</v>
      </c>
    </row>
    <row r="2" spans="1:2" x14ac:dyDescent="0.25">
      <c r="A2" s="58" t="s">
        <v>217</v>
      </c>
      <c r="B2" s="57">
        <v>5</v>
      </c>
    </row>
    <row r="3" spans="1:2" x14ac:dyDescent="0.25">
      <c r="A3" s="58" t="s">
        <v>218</v>
      </c>
      <c r="B3" s="57">
        <v>5</v>
      </c>
    </row>
    <row r="4" spans="1:2" x14ac:dyDescent="0.25">
      <c r="A4" s="58" t="s">
        <v>219</v>
      </c>
      <c r="B4" s="57">
        <v>5</v>
      </c>
    </row>
    <row r="5" spans="1:2" x14ac:dyDescent="0.25">
      <c r="A5" s="58" t="s">
        <v>220</v>
      </c>
      <c r="B5" s="57">
        <v>5</v>
      </c>
    </row>
    <row r="6" spans="1:2" x14ac:dyDescent="0.25">
      <c r="A6" s="58" t="s">
        <v>221</v>
      </c>
      <c r="B6" s="57">
        <v>1</v>
      </c>
    </row>
    <row r="7" spans="1:2" x14ac:dyDescent="0.25">
      <c r="A7" s="58" t="s">
        <v>222</v>
      </c>
      <c r="B7" s="57">
        <v>1</v>
      </c>
    </row>
    <row r="8" spans="1:2" x14ac:dyDescent="0.25">
      <c r="A8" s="58" t="s">
        <v>223</v>
      </c>
      <c r="B8" s="57">
        <v>1000</v>
      </c>
    </row>
    <row r="9" spans="1:2" x14ac:dyDescent="0.25">
      <c r="A9" s="58" t="s">
        <v>224</v>
      </c>
      <c r="B9" s="57">
        <v>15</v>
      </c>
    </row>
    <row r="10" spans="1:2" x14ac:dyDescent="0.25">
      <c r="A10" s="58" t="s">
        <v>225</v>
      </c>
      <c r="B10" s="57">
        <v>10</v>
      </c>
    </row>
    <row r="11" spans="1:2" x14ac:dyDescent="0.25">
      <c r="A11" s="58" t="s">
        <v>226</v>
      </c>
      <c r="B11" s="57">
        <v>10</v>
      </c>
    </row>
    <row r="12" spans="1:2" x14ac:dyDescent="0.25">
      <c r="A12" s="58" t="s">
        <v>227</v>
      </c>
      <c r="B12" s="57">
        <v>10</v>
      </c>
    </row>
    <row r="13" spans="1:2" x14ac:dyDescent="0.25">
      <c r="A13" s="58" t="s">
        <v>228</v>
      </c>
      <c r="B13" s="57">
        <v>50</v>
      </c>
    </row>
    <row r="14" spans="1:2" x14ac:dyDescent="0.25">
      <c r="A14" s="58" t="s">
        <v>229</v>
      </c>
      <c r="B14" s="57">
        <v>10</v>
      </c>
    </row>
    <row r="15" spans="1:2" x14ac:dyDescent="0.25">
      <c r="A15" s="58" t="s">
        <v>230</v>
      </c>
      <c r="B15" s="57">
        <v>10</v>
      </c>
    </row>
    <row r="16" spans="1:2" x14ac:dyDescent="0.25">
      <c r="A16" s="58" t="s">
        <v>231</v>
      </c>
      <c r="B16" s="57">
        <v>20</v>
      </c>
    </row>
    <row r="17" spans="1:2" x14ac:dyDescent="0.25">
      <c r="A17" s="58" t="s">
        <v>232</v>
      </c>
      <c r="B17" s="57">
        <v>50</v>
      </c>
    </row>
    <row r="18" spans="1:2" x14ac:dyDescent="0.25">
      <c r="A18" s="58" t="s">
        <v>233</v>
      </c>
      <c r="B18" s="57">
        <v>5</v>
      </c>
    </row>
    <row r="19" spans="1:2" x14ac:dyDescent="0.25">
      <c r="A19" s="58" t="s">
        <v>234</v>
      </c>
      <c r="B19" s="57">
        <v>10</v>
      </c>
    </row>
    <row r="20" spans="1:2" x14ac:dyDescent="0.25">
      <c r="A20" s="58" t="s">
        <v>235</v>
      </c>
      <c r="B20" s="57">
        <v>10</v>
      </c>
    </row>
    <row r="21" spans="1:2" x14ac:dyDescent="0.25">
      <c r="A21" s="58" t="s">
        <v>236</v>
      </c>
      <c r="B21" s="57">
        <v>20</v>
      </c>
    </row>
    <row r="22" spans="1:2" x14ac:dyDescent="0.25">
      <c r="A22" s="58" t="s">
        <v>237</v>
      </c>
      <c r="B22" s="57">
        <v>10</v>
      </c>
    </row>
    <row r="23" spans="1:2" x14ac:dyDescent="0.25">
      <c r="A23" s="58" t="s">
        <v>238</v>
      </c>
      <c r="B23" s="57">
        <v>10</v>
      </c>
    </row>
    <row r="24" spans="1:2" x14ac:dyDescent="0.25">
      <c r="A24" s="58" t="s">
        <v>239</v>
      </c>
      <c r="B24" s="57">
        <v>20</v>
      </c>
    </row>
    <row r="25" spans="1:2" x14ac:dyDescent="0.25">
      <c r="A25" s="58" t="s">
        <v>240</v>
      </c>
      <c r="B25" s="57">
        <v>20</v>
      </c>
    </row>
    <row r="26" spans="1:2" x14ac:dyDescent="0.25">
      <c r="A26" s="58" t="s">
        <v>241</v>
      </c>
      <c r="B26" s="57">
        <v>5</v>
      </c>
    </row>
    <row r="27" spans="1:2" x14ac:dyDescent="0.25">
      <c r="A27" s="58" t="s">
        <v>242</v>
      </c>
      <c r="B27" s="57">
        <v>5</v>
      </c>
    </row>
    <row r="28" spans="1:2" x14ac:dyDescent="0.25">
      <c r="A28" s="58" t="s">
        <v>243</v>
      </c>
      <c r="B28" s="57">
        <v>10</v>
      </c>
    </row>
    <row r="29" spans="1:2" x14ac:dyDescent="0.25">
      <c r="A29" s="58" t="s">
        <v>244</v>
      </c>
      <c r="B29" s="57">
        <v>20</v>
      </c>
    </row>
    <row r="30" spans="1:2" x14ac:dyDescent="0.25">
      <c r="A30" s="58" t="s">
        <v>245</v>
      </c>
      <c r="B30" s="57">
        <v>100</v>
      </c>
    </row>
    <row r="31" spans="1:2" x14ac:dyDescent="0.25">
      <c r="A31" s="58" t="s">
        <v>246</v>
      </c>
      <c r="B31" s="57">
        <v>5</v>
      </c>
    </row>
    <row r="32" spans="1:2" x14ac:dyDescent="0.25">
      <c r="A32" s="58" t="s">
        <v>247</v>
      </c>
      <c r="B32" s="57">
        <v>5</v>
      </c>
    </row>
    <row r="33" spans="1:2" x14ac:dyDescent="0.25">
      <c r="A33" s="58" t="s">
        <v>248</v>
      </c>
      <c r="B33" s="57">
        <v>10</v>
      </c>
    </row>
    <row r="34" spans="1:2" x14ac:dyDescent="0.25">
      <c r="A34" s="58" t="s">
        <v>249</v>
      </c>
      <c r="B34" s="57">
        <v>10</v>
      </c>
    </row>
    <row r="35" spans="1:2" x14ac:dyDescent="0.25">
      <c r="A35" s="58" t="s">
        <v>250</v>
      </c>
      <c r="B35" s="57">
        <v>10</v>
      </c>
    </row>
    <row r="36" spans="1:2" x14ac:dyDescent="0.25">
      <c r="A36" s="58" t="s">
        <v>251</v>
      </c>
      <c r="B36" s="57">
        <v>10</v>
      </c>
    </row>
    <row r="37" spans="1:2" x14ac:dyDescent="0.25">
      <c r="A37" s="58" t="s">
        <v>212</v>
      </c>
      <c r="B37" s="57">
        <v>10</v>
      </c>
    </row>
    <row r="38" spans="1:2" x14ac:dyDescent="0.25">
      <c r="A38" s="58" t="s">
        <v>252</v>
      </c>
      <c r="B38" s="57">
        <v>10</v>
      </c>
    </row>
    <row r="39" spans="1:2" x14ac:dyDescent="0.25">
      <c r="A39" s="58" t="s">
        <v>253</v>
      </c>
      <c r="B39" s="57">
        <v>10</v>
      </c>
    </row>
    <row r="40" spans="1:2" x14ac:dyDescent="0.25">
      <c r="A40" s="58" t="s">
        <v>254</v>
      </c>
      <c r="B40" s="57">
        <v>500</v>
      </c>
    </row>
    <row r="41" spans="1:2" x14ac:dyDescent="0.25">
      <c r="A41" s="58" t="s">
        <v>255</v>
      </c>
      <c r="B41" s="57">
        <v>500</v>
      </c>
    </row>
    <row r="42" spans="1:2" x14ac:dyDescent="0.25">
      <c r="A42" s="58" t="s">
        <v>256</v>
      </c>
      <c r="B42" s="57">
        <v>5</v>
      </c>
    </row>
    <row r="43" spans="1:2" x14ac:dyDescent="0.25">
      <c r="A43" s="58" t="s">
        <v>257</v>
      </c>
      <c r="B43" s="57">
        <v>5</v>
      </c>
    </row>
    <row r="44" spans="1:2" x14ac:dyDescent="0.25">
      <c r="A44" s="58" t="s">
        <v>258</v>
      </c>
      <c r="B44" s="57">
        <v>5</v>
      </c>
    </row>
    <row r="45" spans="1:2" x14ac:dyDescent="0.25">
      <c r="A45" s="58" t="s">
        <v>259</v>
      </c>
      <c r="B45" s="57">
        <v>5</v>
      </c>
    </row>
    <row r="46" spans="1:2" x14ac:dyDescent="0.25">
      <c r="A46" s="58" t="s">
        <v>260</v>
      </c>
      <c r="B46" s="57">
        <v>100</v>
      </c>
    </row>
    <row r="47" spans="1:2" x14ac:dyDescent="0.25">
      <c r="A47" s="58" t="s">
        <v>261</v>
      </c>
      <c r="B47" s="57">
        <v>60</v>
      </c>
    </row>
    <row r="48" spans="1:2" x14ac:dyDescent="0.25">
      <c r="A48" s="58" t="s">
        <v>262</v>
      </c>
      <c r="B48" s="57">
        <v>100</v>
      </c>
    </row>
    <row r="49" spans="1:2" x14ac:dyDescent="0.25">
      <c r="A49" s="58" t="s">
        <v>263</v>
      </c>
      <c r="B49" s="57">
        <v>300</v>
      </c>
    </row>
    <row r="50" spans="1:2" x14ac:dyDescent="0.25">
      <c r="A50" s="58" t="s">
        <v>264</v>
      </c>
      <c r="B50" s="57">
        <v>200</v>
      </c>
    </row>
    <row r="51" spans="1:2" x14ac:dyDescent="0.25">
      <c r="A51" s="58" t="s">
        <v>265</v>
      </c>
      <c r="B51" s="57">
        <v>300</v>
      </c>
    </row>
    <row r="52" spans="1:2" x14ac:dyDescent="0.25">
      <c r="A52" s="58" t="s">
        <v>266</v>
      </c>
      <c r="B52" s="57">
        <v>10000</v>
      </c>
    </row>
    <row r="53" spans="1:2" x14ac:dyDescent="0.25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2018-02-22T14:14:01Z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