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 activeTab="1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0" i="2" l="1"/>
  <c r="C79" i="2" l="1"/>
  <c r="C78" i="2" l="1"/>
  <c r="C77" i="2" l="1"/>
  <c r="D326" i="1" l="1"/>
  <c r="D325" i="1"/>
  <c r="C76" i="2" l="1"/>
  <c r="C61" i="2" l="1"/>
  <c r="C62" i="2"/>
  <c r="C63" i="2"/>
  <c r="C64" i="2"/>
  <c r="C65" i="2"/>
  <c r="C66" i="2"/>
  <c r="C67" i="2"/>
  <c r="C68" i="2"/>
  <c r="C69" i="2"/>
  <c r="C70" i="2"/>
  <c r="C71" i="2"/>
  <c r="C72" i="2"/>
  <c r="C73" i="2"/>
  <c r="C75" i="2"/>
  <c r="C74" i="2"/>
  <c r="S308" i="1"/>
  <c r="S310" i="1"/>
  <c r="S309" i="1"/>
  <c r="M310" i="1" l="1"/>
  <c r="M309" i="1"/>
  <c r="M308" i="1"/>
  <c r="I295" i="1"/>
  <c r="I281" i="1" l="1"/>
  <c r="S281" i="1"/>
  <c r="M281" i="1" l="1"/>
  <c r="I288" i="1"/>
  <c r="C46" i="2" l="1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45" i="2"/>
  <c r="C44" i="2" l="1"/>
  <c r="C43" i="2"/>
  <c r="C36" i="2" l="1"/>
  <c r="C37" i="2"/>
  <c r="C38" i="2"/>
  <c r="C39" i="2"/>
  <c r="C40" i="2"/>
  <c r="C41" i="2"/>
  <c r="C42" i="2"/>
  <c r="C32" i="2" l="1"/>
  <c r="C33" i="2"/>
  <c r="C34" i="2"/>
  <c r="C35" i="2"/>
  <c r="S164" i="1"/>
  <c r="J225" i="1" l="1"/>
  <c r="I223" i="1" l="1"/>
  <c r="I222" i="1"/>
  <c r="S301" i="1" l="1"/>
  <c r="U301" i="1" s="1"/>
  <c r="S350" i="1"/>
  <c r="T350" i="1" s="1"/>
  <c r="S351" i="1"/>
  <c r="S352" i="1"/>
  <c r="U352" i="1" s="1"/>
  <c r="S353" i="1"/>
  <c r="T353" i="1" s="1"/>
  <c r="S354" i="1"/>
  <c r="T354" i="1" s="1"/>
  <c r="S355" i="1"/>
  <c r="S356" i="1"/>
  <c r="U356" i="1" s="1"/>
  <c r="S357" i="1"/>
  <c r="T357" i="1" s="1"/>
  <c r="S358" i="1"/>
  <c r="T358" i="1" s="1"/>
  <c r="S359" i="1"/>
  <c r="S360" i="1"/>
  <c r="U360" i="1" s="1"/>
  <c r="S361" i="1"/>
  <c r="T361" i="1" s="1"/>
  <c r="S362" i="1"/>
  <c r="T362" i="1" s="1"/>
  <c r="S363" i="1"/>
  <c r="S364" i="1"/>
  <c r="U364" i="1" s="1"/>
  <c r="S365" i="1"/>
  <c r="T365" i="1" s="1"/>
  <c r="S366" i="1"/>
  <c r="T366" i="1" s="1"/>
  <c r="S367" i="1"/>
  <c r="S368" i="1"/>
  <c r="U368" i="1" s="1"/>
  <c r="S369" i="1"/>
  <c r="T369" i="1" s="1"/>
  <c r="S370" i="1"/>
  <c r="T370" i="1" s="1"/>
  <c r="S371" i="1"/>
  <c r="S372" i="1"/>
  <c r="U372" i="1" s="1"/>
  <c r="S373" i="1"/>
  <c r="T373" i="1" s="1"/>
  <c r="S374" i="1"/>
  <c r="T374" i="1" s="1"/>
  <c r="S25" i="1"/>
  <c r="S28" i="1"/>
  <c r="S29" i="1"/>
  <c r="S30" i="1"/>
  <c r="S31" i="1"/>
  <c r="S32" i="1"/>
  <c r="S34" i="1"/>
  <c r="M301" i="1"/>
  <c r="M305" i="1"/>
  <c r="M333" i="1"/>
  <c r="M334" i="1"/>
  <c r="M335" i="1"/>
  <c r="M337" i="1"/>
  <c r="M338" i="1"/>
  <c r="M340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I215" i="1"/>
  <c r="S305" i="1"/>
  <c r="S349" i="1"/>
  <c r="S348" i="1"/>
  <c r="S347" i="1"/>
  <c r="S346" i="1"/>
  <c r="S327" i="1"/>
  <c r="S335" i="1"/>
  <c r="S313" i="1"/>
  <c r="S344" i="1"/>
  <c r="S323" i="1"/>
  <c r="S331" i="1"/>
  <c r="S320" i="1"/>
  <c r="S345" i="1"/>
  <c r="S321" i="1"/>
  <c r="S319" i="1"/>
  <c r="S312" i="1"/>
  <c r="S339" i="1"/>
  <c r="S336" i="1"/>
  <c r="S332" i="1"/>
  <c r="S334" i="1"/>
  <c r="S318" i="1"/>
  <c r="S324" i="1"/>
  <c r="S315" i="1"/>
  <c r="S341" i="1"/>
  <c r="S325" i="1"/>
  <c r="S337" i="1"/>
  <c r="S314" i="1"/>
  <c r="S338" i="1"/>
  <c r="S322" i="1"/>
  <c r="S316" i="1"/>
  <c r="S317" i="1"/>
  <c r="S330" i="1"/>
  <c r="S343" i="1"/>
  <c r="S333" i="1"/>
  <c r="S326" i="1"/>
  <c r="S329" i="1"/>
  <c r="S328" i="1"/>
  <c r="S340" i="1"/>
  <c r="S311" i="1"/>
  <c r="S342" i="1"/>
  <c r="S307" i="1"/>
  <c r="T349" i="1" l="1"/>
  <c r="T346" i="1"/>
  <c r="M342" i="1"/>
  <c r="M339" i="1"/>
  <c r="M341" i="1"/>
  <c r="M331" i="1"/>
  <c r="M330" i="1"/>
  <c r="M332" i="1"/>
  <c r="M327" i="1"/>
  <c r="M326" i="1"/>
  <c r="M336" i="1"/>
  <c r="M324" i="1"/>
  <c r="M323" i="1"/>
  <c r="M328" i="1"/>
  <c r="M329" i="1"/>
  <c r="M322" i="1"/>
  <c r="M320" i="1"/>
  <c r="M319" i="1"/>
  <c r="M321" i="1"/>
  <c r="M325" i="1"/>
  <c r="M317" i="1"/>
  <c r="M318" i="1"/>
  <c r="M315" i="1"/>
  <c r="M312" i="1"/>
  <c r="M313" i="1"/>
  <c r="M314" i="1"/>
  <c r="M316" i="1"/>
  <c r="M311" i="1"/>
  <c r="M307" i="1"/>
  <c r="T307" i="1"/>
  <c r="T308" i="1" s="1"/>
  <c r="T360" i="1"/>
  <c r="T312" i="1"/>
  <c r="T313" i="1" s="1"/>
  <c r="T314" i="1" s="1"/>
  <c r="T315" i="1" s="1"/>
  <c r="U357" i="1"/>
  <c r="U365" i="1"/>
  <c r="T368" i="1"/>
  <c r="T352" i="1"/>
  <c r="T301" i="1"/>
  <c r="U361" i="1"/>
  <c r="T364" i="1"/>
  <c r="T348" i="1"/>
  <c r="T332" i="1"/>
  <c r="T333" i="1" s="1"/>
  <c r="T334" i="1" s="1"/>
  <c r="T335" i="1" s="1"/>
  <c r="T336" i="1" s="1"/>
  <c r="T337" i="1" s="1"/>
  <c r="T338" i="1" s="1"/>
  <c r="T339" i="1" s="1"/>
  <c r="T340" i="1" s="1"/>
  <c r="T341" i="1" s="1"/>
  <c r="T342" i="1" s="1"/>
  <c r="T343" i="1" s="1"/>
  <c r="T344" i="1" s="1"/>
  <c r="T345" i="1" s="1"/>
  <c r="U373" i="1"/>
  <c r="U369" i="1"/>
  <c r="U353" i="1"/>
  <c r="T372" i="1"/>
  <c r="T356" i="1"/>
  <c r="U371" i="1"/>
  <c r="T371" i="1"/>
  <c r="U367" i="1"/>
  <c r="T367" i="1"/>
  <c r="U363" i="1"/>
  <c r="T363" i="1"/>
  <c r="U359" i="1"/>
  <c r="T359" i="1"/>
  <c r="U355" i="1"/>
  <c r="T355" i="1"/>
  <c r="U351" i="1"/>
  <c r="T351" i="1"/>
  <c r="T347" i="1"/>
  <c r="U374" i="1"/>
  <c r="U370" i="1"/>
  <c r="U366" i="1"/>
  <c r="U362" i="1"/>
  <c r="U358" i="1"/>
  <c r="U354" i="1"/>
  <c r="U350" i="1"/>
  <c r="I211" i="1"/>
  <c r="I212" i="1"/>
  <c r="I213" i="1"/>
  <c r="I214" i="1"/>
  <c r="I217" i="1"/>
  <c r="I216" i="1"/>
  <c r="I218" i="1"/>
  <c r="I219" i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2" i="1"/>
  <c r="I283" i="1"/>
  <c r="I284" i="1"/>
  <c r="I285" i="1"/>
  <c r="I286" i="1"/>
  <c r="I287" i="1"/>
  <c r="I289" i="1"/>
  <c r="I290" i="1"/>
  <c r="I291" i="1"/>
  <c r="I292" i="1"/>
  <c r="I293" i="1"/>
  <c r="I294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11" i="1"/>
  <c r="U311" i="1" s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U347" i="1" s="1"/>
  <c r="I348" i="1"/>
  <c r="I349" i="1"/>
  <c r="U349" i="1" s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210" i="1"/>
  <c r="S287" i="1"/>
  <c r="S66" i="1"/>
  <c r="S68" i="1"/>
  <c r="S51" i="1"/>
  <c r="S212" i="1"/>
  <c r="S46" i="1"/>
  <c r="S261" i="1"/>
  <c r="S83" i="1"/>
  <c r="S144" i="1"/>
  <c r="S85" i="1"/>
  <c r="S200" i="1"/>
  <c r="S267" i="1"/>
  <c r="S72" i="1"/>
  <c r="S11" i="1"/>
  <c r="S226" i="1"/>
  <c r="S218" i="1"/>
  <c r="S193" i="1"/>
  <c r="S36" i="1"/>
  <c r="S163" i="1"/>
  <c r="S148" i="1"/>
  <c r="S224" i="1"/>
  <c r="S159" i="1"/>
  <c r="S303" i="1"/>
  <c r="S258" i="1"/>
  <c r="S13" i="1"/>
  <c r="S70" i="1"/>
  <c r="S237" i="1"/>
  <c r="S117" i="1"/>
  <c r="S194" i="1"/>
  <c r="S12" i="1"/>
  <c r="S129" i="1"/>
  <c r="S42" i="1"/>
  <c r="S22" i="1"/>
  <c r="S58" i="1"/>
  <c r="S188" i="1"/>
  <c r="S174" i="1"/>
  <c r="S195" i="1"/>
  <c r="S92" i="1"/>
  <c r="S111" i="1"/>
  <c r="S118" i="1"/>
  <c r="S235" i="1"/>
  <c r="S184" i="1"/>
  <c r="S137" i="1"/>
  <c r="S91" i="1"/>
  <c r="S17" i="1"/>
  <c r="S170" i="1"/>
  <c r="S294" i="1"/>
  <c r="S238" i="1"/>
  <c r="S215" i="1"/>
  <c r="S289" i="1"/>
  <c r="S115" i="1"/>
  <c r="S167" i="1"/>
  <c r="S99" i="1"/>
  <c r="S254" i="1"/>
  <c r="S300" i="1"/>
  <c r="S38" i="1"/>
  <c r="S292" i="1"/>
  <c r="S245" i="1"/>
  <c r="S143" i="1"/>
  <c r="S241" i="1"/>
  <c r="S19" i="1"/>
  <c r="S183" i="1"/>
  <c r="S96" i="1"/>
  <c r="S75" i="1"/>
  <c r="S130" i="1"/>
  <c r="S84" i="1"/>
  <c r="S189" i="1"/>
  <c r="S141" i="1"/>
  <c r="S243" i="1"/>
  <c r="S225" i="1"/>
  <c r="S156" i="1"/>
  <c r="S37" i="1"/>
  <c r="S64" i="1"/>
  <c r="S274" i="1"/>
  <c r="S140" i="1"/>
  <c r="S98" i="1"/>
  <c r="S257" i="1"/>
  <c r="S196" i="1"/>
  <c r="S105" i="1"/>
  <c r="S74" i="1"/>
  <c r="S264" i="1"/>
  <c r="S229" i="1"/>
  <c r="S33" i="1"/>
  <c r="S213" i="1"/>
  <c r="S71" i="1"/>
  <c r="S142" i="1"/>
  <c r="S18" i="1"/>
  <c r="S268" i="1"/>
  <c r="S249" i="1"/>
  <c r="S206" i="1"/>
  <c r="S227" i="1"/>
  <c r="S60" i="1"/>
  <c r="S187" i="1"/>
  <c r="S209" i="1"/>
  <c r="S8" i="1"/>
  <c r="S127" i="1"/>
  <c r="S20" i="1"/>
  <c r="S121" i="1"/>
  <c r="S104" i="1"/>
  <c r="S146" i="1"/>
  <c r="S154" i="1"/>
  <c r="S147" i="1"/>
  <c r="S2" i="1"/>
  <c r="S26" i="1"/>
  <c r="S9" i="1"/>
  <c r="S39" i="1"/>
  <c r="S272" i="1"/>
  <c r="S122" i="1"/>
  <c r="S210" i="1"/>
  <c r="S108" i="1"/>
  <c r="S263" i="1"/>
  <c r="S110" i="1"/>
  <c r="S53" i="1"/>
  <c r="S86" i="1"/>
  <c r="S95" i="1"/>
  <c r="S284" i="1"/>
  <c r="S205" i="1"/>
  <c r="S202" i="1"/>
  <c r="S125" i="1"/>
  <c r="S259" i="1"/>
  <c r="S166" i="1"/>
  <c r="S132" i="1"/>
  <c r="S269" i="1"/>
  <c r="S151" i="1"/>
  <c r="S197" i="1"/>
  <c r="S43" i="1"/>
  <c r="S153" i="1"/>
  <c r="S299" i="1"/>
  <c r="S251" i="1"/>
  <c r="S158" i="1"/>
  <c r="S178" i="1"/>
  <c r="S16" i="1"/>
  <c r="S223" i="1"/>
  <c r="S102" i="1"/>
  <c r="S10" i="1"/>
  <c r="S73" i="1"/>
  <c r="S182" i="1"/>
  <c r="S57" i="1"/>
  <c r="S176" i="1"/>
  <c r="S54" i="1"/>
  <c r="S21" i="1"/>
  <c r="S302" i="1"/>
  <c r="S41" i="1"/>
  <c r="S169" i="1"/>
  <c r="S204" i="1"/>
  <c r="S152" i="1"/>
  <c r="S107" i="1"/>
  <c r="S232" i="1"/>
  <c r="S270" i="1"/>
  <c r="S282" i="1"/>
  <c r="S214" i="1"/>
  <c r="S250" i="1"/>
  <c r="S116" i="1"/>
  <c r="S288" i="1"/>
  <c r="S207" i="1"/>
  <c r="S94" i="1"/>
  <c r="S133" i="1"/>
  <c r="S171" i="1"/>
  <c r="S114" i="1"/>
  <c r="S27" i="1"/>
  <c r="S50" i="1"/>
  <c r="S293" i="1"/>
  <c r="S181" i="1"/>
  <c r="S106" i="1"/>
  <c r="S260" i="1"/>
  <c r="S296" i="1"/>
  <c r="S304" i="1"/>
  <c r="S4" i="1"/>
  <c r="S138" i="1"/>
  <c r="S69" i="1"/>
  <c r="S256" i="1"/>
  <c r="S175" i="1"/>
  <c r="S120" i="1"/>
  <c r="S236" i="1"/>
  <c r="S78" i="1"/>
  <c r="S234" i="1"/>
  <c r="S49" i="1"/>
  <c r="S15" i="1"/>
  <c r="S67" i="1"/>
  <c r="S128" i="1"/>
  <c r="S135" i="1"/>
  <c r="S62" i="1"/>
  <c r="S112" i="1"/>
  <c r="S113" i="1"/>
  <c r="S24" i="1"/>
  <c r="S3" i="1"/>
  <c r="S90" i="1"/>
  <c r="S199" i="1"/>
  <c r="S191" i="1"/>
  <c r="S240" i="1"/>
  <c r="S279" i="1"/>
  <c r="S203" i="1"/>
  <c r="S47" i="1"/>
  <c r="S278" i="1"/>
  <c r="S233" i="1"/>
  <c r="S168" i="1"/>
  <c r="S165" i="1"/>
  <c r="S283" i="1"/>
  <c r="S248" i="1"/>
  <c r="S297" i="1"/>
  <c r="S242" i="1"/>
  <c r="S97" i="1"/>
  <c r="S119" i="1"/>
  <c r="S246" i="1"/>
  <c r="S157" i="1"/>
  <c r="S231" i="1"/>
  <c r="S291" i="1"/>
  <c r="S230" i="1"/>
  <c r="S35" i="1"/>
  <c r="S93" i="1"/>
  <c r="S273" i="1"/>
  <c r="S271" i="1"/>
  <c r="S6" i="1"/>
  <c r="S65" i="1"/>
  <c r="S252" i="1"/>
  <c r="S253" i="1"/>
  <c r="S59" i="1"/>
  <c r="S228" i="1"/>
  <c r="S276" i="1"/>
  <c r="S177" i="1"/>
  <c r="S88" i="1"/>
  <c r="S5" i="1"/>
  <c r="S247" i="1"/>
  <c r="S208" i="1"/>
  <c r="S136" i="1"/>
  <c r="S265" i="1"/>
  <c r="S275" i="1"/>
  <c r="S123" i="1"/>
  <c r="S79" i="1"/>
  <c r="S100" i="1"/>
  <c r="S239" i="1"/>
  <c r="S266" i="1"/>
  <c r="S298" i="1"/>
  <c r="S134" i="1"/>
  <c r="S306" i="1"/>
  <c r="S198" i="1"/>
  <c r="S52" i="1"/>
  <c r="S211" i="1"/>
  <c r="S216" i="1"/>
  <c r="S179" i="1"/>
  <c r="S172" i="1"/>
  <c r="S109" i="1"/>
  <c r="S190" i="1"/>
  <c r="S103" i="1"/>
  <c r="S80" i="1"/>
  <c r="S180" i="1"/>
  <c r="S14" i="1"/>
  <c r="S131" i="1"/>
  <c r="S89" i="1"/>
  <c r="S173" i="1"/>
  <c r="S55" i="1"/>
  <c r="S262" i="1"/>
  <c r="S285" i="1"/>
  <c r="S45" i="1"/>
  <c r="S76" i="1"/>
  <c r="S160" i="1"/>
  <c r="S290" i="1"/>
  <c r="S77" i="1"/>
  <c r="S7" i="1"/>
  <c r="S161" i="1"/>
  <c r="S87" i="1"/>
  <c r="S149" i="1"/>
  <c r="S221" i="1"/>
  <c r="S48" i="1"/>
  <c r="S201" i="1"/>
  <c r="S217" i="1"/>
  <c r="S101" i="1"/>
  <c r="S185" i="1"/>
  <c r="S61" i="1"/>
  <c r="S56" i="1"/>
  <c r="S222" i="1"/>
  <c r="S124" i="1"/>
  <c r="S244" i="1"/>
  <c r="S82" i="1"/>
  <c r="S81" i="1"/>
  <c r="S280" i="1"/>
  <c r="S139" i="1"/>
  <c r="S192" i="1"/>
  <c r="S40" i="1"/>
  <c r="S219" i="1"/>
  <c r="S63" i="1"/>
  <c r="S220" i="1"/>
  <c r="S44" i="1"/>
  <c r="S295" i="1"/>
  <c r="S286" i="1"/>
  <c r="S150" i="1"/>
  <c r="S186" i="1"/>
  <c r="S145" i="1"/>
  <c r="S255" i="1"/>
  <c r="S155" i="1"/>
  <c r="S162" i="1"/>
  <c r="S23" i="1"/>
  <c r="S277" i="1"/>
  <c r="S126" i="1"/>
  <c r="U348" i="1" l="1"/>
  <c r="U346" i="1"/>
  <c r="U345" i="1"/>
  <c r="U344" i="1"/>
  <c r="U343" i="1"/>
  <c r="U342" i="1"/>
  <c r="U341" i="1"/>
  <c r="U340" i="1"/>
  <c r="U339" i="1"/>
  <c r="U338" i="1"/>
  <c r="U334" i="1"/>
  <c r="U337" i="1"/>
  <c r="U335" i="1"/>
  <c r="U336" i="1"/>
  <c r="U333" i="1"/>
  <c r="U332" i="1"/>
  <c r="U308" i="1"/>
  <c r="T309" i="1"/>
  <c r="U315" i="1"/>
  <c r="T316" i="1"/>
  <c r="U307" i="1"/>
  <c r="M306" i="1"/>
  <c r="M304" i="1"/>
  <c r="U313" i="1"/>
  <c r="U314" i="1"/>
  <c r="U312" i="1"/>
  <c r="M216" i="1"/>
  <c r="M262" i="1"/>
  <c r="M226" i="1"/>
  <c r="M259" i="1"/>
  <c r="M285" i="1"/>
  <c r="T285" i="1"/>
  <c r="T286" i="1" s="1"/>
  <c r="T287" i="1" s="1"/>
  <c r="T288" i="1" s="1"/>
  <c r="U288" i="1" s="1"/>
  <c r="M238" i="1"/>
  <c r="M300" i="1"/>
  <c r="M246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U273" i="1" s="1"/>
  <c r="M235" i="1"/>
  <c r="M286" i="1"/>
  <c r="M222" i="1"/>
  <c r="M229" i="1"/>
  <c r="M263" i="1"/>
  <c r="M293" i="1"/>
  <c r="M256" i="1"/>
  <c r="M269" i="1"/>
  <c r="M237" i="1"/>
  <c r="M272" i="1"/>
  <c r="M247" i="1"/>
  <c r="M206" i="1"/>
  <c r="M255" i="1"/>
  <c r="M298" i="1"/>
  <c r="M275" i="1"/>
  <c r="T275" i="1"/>
  <c r="T276" i="1" s="1"/>
  <c r="T277" i="1" s="1"/>
  <c r="T278" i="1" s="1"/>
  <c r="T279" i="1" s="1"/>
  <c r="T280" i="1" s="1"/>
  <c r="U280" i="1" s="1"/>
  <c r="M234" i="1"/>
  <c r="M233" i="1"/>
  <c r="M253" i="1"/>
  <c r="M230" i="1"/>
  <c r="M264" i="1"/>
  <c r="M257" i="1"/>
  <c r="M227" i="1"/>
  <c r="M283" i="1"/>
  <c r="M203" i="1"/>
  <c r="M232" i="1"/>
  <c r="M265" i="1"/>
  <c r="M266" i="1"/>
  <c r="M268" i="1"/>
  <c r="M224" i="1"/>
  <c r="M258" i="1"/>
  <c r="M277" i="1"/>
  <c r="M251" i="1"/>
  <c r="M210" i="1"/>
  <c r="M250" i="1"/>
  <c r="M278" i="1"/>
  <c r="M294" i="1"/>
  <c r="M241" i="1"/>
  <c r="M287" i="1"/>
  <c r="M299" i="1"/>
  <c r="M236" i="1"/>
  <c r="M214" i="1"/>
  <c r="M218" i="1"/>
  <c r="M252" i="1"/>
  <c r="M221" i="1"/>
  <c r="M279" i="1"/>
  <c r="M295" i="1"/>
  <c r="M207" i="1"/>
  <c r="M215" i="1"/>
  <c r="U215" i="1"/>
  <c r="M292" i="1"/>
  <c r="M267" i="1"/>
  <c r="M260" i="1"/>
  <c r="M276" i="1"/>
  <c r="M228" i="1"/>
  <c r="M219" i="1"/>
  <c r="M290" i="1"/>
  <c r="M231" i="1"/>
  <c r="M291" i="1"/>
  <c r="M217" i="1"/>
  <c r="M240" i="1"/>
  <c r="M204" i="1"/>
  <c r="T303" i="1"/>
  <c r="T304" i="1" s="1"/>
  <c r="T305" i="1" s="1"/>
  <c r="U305" i="1" s="1"/>
  <c r="M303" i="1"/>
  <c r="M223" i="1"/>
  <c r="M288" i="1"/>
  <c r="M249" i="1"/>
  <c r="M271" i="1"/>
  <c r="M274" i="1"/>
  <c r="M244" i="1"/>
  <c r="M239" i="1"/>
  <c r="M220" i="1"/>
  <c r="T220" i="1"/>
  <c r="T221" i="1" s="1"/>
  <c r="T222" i="1" s="1"/>
  <c r="T223" i="1" s="1"/>
  <c r="M243" i="1"/>
  <c r="M302" i="1"/>
  <c r="M209" i="1"/>
  <c r="M208" i="1"/>
  <c r="M261" i="1"/>
  <c r="M248" i="1"/>
  <c r="M289" i="1"/>
  <c r="M245" i="1"/>
  <c r="M296" i="1"/>
  <c r="M280" i="1"/>
  <c r="M273" i="1"/>
  <c r="M282" i="1"/>
  <c r="M254" i="1"/>
  <c r="M284" i="1"/>
  <c r="M297" i="1"/>
  <c r="M225" i="1"/>
  <c r="M242" i="1"/>
  <c r="M270" i="1"/>
  <c r="U274" i="1"/>
  <c r="U306" i="1"/>
  <c r="U216" i="1"/>
  <c r="U245" i="1"/>
  <c r="U219" i="1"/>
  <c r="U302" i="1"/>
  <c r="U284" i="1"/>
  <c r="U218" i="1"/>
  <c r="U217" i="1"/>
  <c r="U214" i="1"/>
  <c r="U213" i="1"/>
  <c r="U212" i="1"/>
  <c r="U210" i="1"/>
  <c r="U211" i="1"/>
  <c r="U253" i="1" l="1"/>
  <c r="U309" i="1"/>
  <c r="T310" i="1"/>
  <c r="U310" i="1" s="1"/>
  <c r="U316" i="1"/>
  <c r="T317" i="1"/>
  <c r="U262" i="1"/>
  <c r="U285" i="1"/>
  <c r="U247" i="1"/>
  <c r="U260" i="1"/>
  <c r="U248" i="1"/>
  <c r="U261" i="1"/>
  <c r="U286" i="1"/>
  <c r="U279" i="1"/>
  <c r="U269" i="1"/>
  <c r="U276" i="1"/>
  <c r="U255" i="1"/>
  <c r="U271" i="1"/>
  <c r="T282" i="1"/>
  <c r="T283" i="1" s="1"/>
  <c r="U283" i="1" s="1"/>
  <c r="U251" i="1"/>
  <c r="U259" i="1"/>
  <c r="U266" i="1"/>
  <c r="U275" i="1"/>
  <c r="T289" i="1"/>
  <c r="T290" i="1" s="1"/>
  <c r="T291" i="1" s="1"/>
  <c r="T292" i="1" s="1"/>
  <c r="T293" i="1" s="1"/>
  <c r="T294" i="1" s="1"/>
  <c r="U294" i="1" s="1"/>
  <c r="U265" i="1"/>
  <c r="U303" i="1"/>
  <c r="U304" i="1"/>
  <c r="U222" i="1"/>
  <c r="U249" i="1"/>
  <c r="U252" i="1"/>
  <c r="U264" i="1"/>
  <c r="U250" i="1"/>
  <c r="U246" i="1"/>
  <c r="U254" i="1"/>
  <c r="U257" i="1"/>
  <c r="U258" i="1"/>
  <c r="U268" i="1"/>
  <c r="U272" i="1"/>
  <c r="U278" i="1"/>
  <c r="T281" i="1"/>
  <c r="U281" i="1" s="1"/>
  <c r="U221" i="1"/>
  <c r="U220" i="1"/>
  <c r="U256" i="1"/>
  <c r="U263" i="1"/>
  <c r="U267" i="1"/>
  <c r="U270" i="1"/>
  <c r="U277" i="1"/>
  <c r="U287" i="1"/>
  <c r="U223" i="1"/>
  <c r="T224" i="1"/>
  <c r="I209" i="1"/>
  <c r="U209" i="1" s="1"/>
  <c r="I208" i="1"/>
  <c r="U208" i="1" s="1"/>
  <c r="I206" i="1"/>
  <c r="I207" i="1"/>
  <c r="U207" i="1" s="1"/>
  <c r="U317" i="1" l="1"/>
  <c r="T318" i="1"/>
  <c r="U292" i="1"/>
  <c r="T295" i="1"/>
  <c r="T296" i="1" s="1"/>
  <c r="U289" i="1"/>
  <c r="U291" i="1"/>
  <c r="U293" i="1"/>
  <c r="U290" i="1"/>
  <c r="U282" i="1"/>
  <c r="T225" i="1"/>
  <c r="U224" i="1"/>
  <c r="H205" i="1"/>
  <c r="I205" i="1" s="1"/>
  <c r="I204" i="1"/>
  <c r="T319" i="1" l="1"/>
  <c r="U318" i="1"/>
  <c r="U295" i="1"/>
  <c r="T297" i="1"/>
  <c r="U296" i="1"/>
  <c r="T226" i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U319" i="1" l="1"/>
  <c r="T320" i="1"/>
  <c r="T298" i="1"/>
  <c r="U297" i="1"/>
  <c r="T227" i="1"/>
  <c r="U226" i="1"/>
  <c r="M202" i="1"/>
  <c r="U203" i="1"/>
  <c r="U201" i="1"/>
  <c r="U200" i="1"/>
  <c r="U202" i="1"/>
  <c r="T321" i="1" l="1"/>
  <c r="U320" i="1"/>
  <c r="T299" i="1"/>
  <c r="U298" i="1"/>
  <c r="T228" i="1"/>
  <c r="U227" i="1"/>
  <c r="I199" i="1"/>
  <c r="T322" i="1" l="1"/>
  <c r="U321" i="1"/>
  <c r="T300" i="1"/>
  <c r="U300" i="1" s="1"/>
  <c r="U299" i="1"/>
  <c r="U228" i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323" i="1" l="1"/>
  <c r="U322" i="1"/>
  <c r="T230" i="1"/>
  <c r="U229" i="1"/>
  <c r="U196" i="1"/>
  <c r="U197" i="1"/>
  <c r="U198" i="1"/>
  <c r="U194" i="1"/>
  <c r="U195" i="1"/>
  <c r="U323" i="1" l="1"/>
  <c r="T324" i="1"/>
  <c r="T231" i="1"/>
  <c r="U230" i="1"/>
  <c r="U193" i="1"/>
  <c r="U191" i="1"/>
  <c r="U192" i="1"/>
  <c r="G190" i="1"/>
  <c r="G189" i="1"/>
  <c r="T325" i="1" l="1"/>
  <c r="U324" i="1"/>
  <c r="T232" i="1"/>
  <c r="U231" i="1"/>
  <c r="U190" i="1"/>
  <c r="U189" i="1"/>
  <c r="U188" i="1"/>
  <c r="C31" i="2"/>
  <c r="C30" i="2"/>
  <c r="C29" i="2"/>
  <c r="C28" i="2"/>
  <c r="T326" i="1" l="1"/>
  <c r="U325" i="1"/>
  <c r="U232" i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U326" i="1" l="1"/>
  <c r="T327" i="1"/>
  <c r="T234" i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T328" i="1" l="1"/>
  <c r="U327" i="1"/>
  <c r="U234" i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328" i="1" l="1"/>
  <c r="T329" i="1"/>
  <c r="U235" i="1"/>
  <c r="T236" i="1"/>
  <c r="U163" i="1"/>
  <c r="U162" i="1"/>
  <c r="U161" i="1"/>
  <c r="U160" i="1"/>
  <c r="G159" i="1"/>
  <c r="G158" i="1"/>
  <c r="U329" i="1" l="1"/>
  <c r="T330" i="1"/>
  <c r="T237" i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U331" i="1" l="1"/>
  <c r="U330" i="1"/>
  <c r="T238" i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<sst xmlns="http://schemas.openxmlformats.org/spreadsheetml/2006/main" count="507" uniqueCount="392">
  <si>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</si>
  <si>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</si>
  <si>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</si>
  <si>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</si>
  <si>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</si>
  <si>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</si>
  <si>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</si>
  <si>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</si>
  <si>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</si>
  <si>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</si>
  <si>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</si>
  <si>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</si>
  <si>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</si>
  <si>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</si>
  <si>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</si>
  <si>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</si>
  <si>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</si>
  <si>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</si>
  <si>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</si>
  <si>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</si>
  <si>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</si>
  <si>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</si>
  <si>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</si>
  <si>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</si>
  <si>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</si>
  <si>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</si>
  <si>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</si>
  <si>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</si>
  <si>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</si>
  <si>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</si>
  <si>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</si>
  <si>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</si>
  <si>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</si>
  <si>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</si>
  <si>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</si>
  <si>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</si>
  <si>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</si>
  <si>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</si>
  <si>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</si>
  <si>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</si>
  <si>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</si>
  <si>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</si>
  <si>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</si>
  <si>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</si>
  <si>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</si>
  <si>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</si>
  <si>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</si>
  <si>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</si>
  <si>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</si>
  <si>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</si>
  <si>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</si>
  <si>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</si>
  <si>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</si>
  <si>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TA805</t>
  </si>
  <si>
    <t>CS1805</t>
  </si>
  <si>
    <t>NI1805</t>
  </si>
  <si>
    <t>IC1803</t>
  </si>
  <si>
    <t>SF805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</si>
  <si>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</si>
  <si>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</si>
  <si>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</si>
  <si>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</si>
  <si>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</si>
  <si>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</si>
  <si>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</si>
  <si>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</si>
  <si>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</si>
  <si>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</si>
  <si>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</si>
  <si>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</si>
  <si>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</si>
  <si>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</si>
  <si>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</si>
  <si>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</si>
  <si>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</si>
  <si>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</si>
  <si>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</si>
  <si>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</si>
  <si>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</si>
  <si>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</si>
  <si>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</si>
  <si>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</si>
  <si>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</si>
  <si>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</si>
  <si>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</si>
  <si>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</si>
  <si>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</si>
  <si>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</si>
  <si>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</si>
  <si>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</si>
  <si>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</si>
  <si>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</si>
  <si>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</si>
  <si>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</si>
  <si>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</si>
  <si>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</si>
  <si>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</si>
  <si>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</si>
  <si>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</si>
  <si>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</si>
  <si>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</si>
  <si>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</si>
  <si>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</si>
  <si>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</si>
  <si>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</si>
  <si>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</si>
  <si>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</si>
  <si>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</si>
  <si>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</si>
  <si>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</si>
  <si>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</si>
  <si>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</si>
  <si>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</si>
  <si>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</si>
  <si>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</si>
  <si>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</si>
  <si>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</si>
  <si>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</si>
  <si>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</si>
  <si>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</si>
  <si>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</si>
  <si>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</si>
  <si>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</si>
  <si>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</si>
  <si>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</si>
  <si>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</si>
  <si>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</si>
  <si>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</si>
  <si>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</si>
  <si>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</si>
  <si>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</si>
  <si>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</si>
  <si>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</si>
  <si>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</si>
  <si>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</si>
  <si>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</si>
  <si>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</si>
  <si>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</si>
  <si>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</si>
  <si>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</si>
  <si>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</si>
  <si>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</si>
  <si>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</si>
  <si>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</si>
  <si>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</si>
  <si>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</si>
  <si>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</si>
  <si>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</si>
  <si>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</si>
  <si>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</si>
  <si>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</si>
  <si>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</si>
  <si>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</si>
  <si>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</si>
  <si>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</si>
  <si>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</si>
  <si>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</si>
  <si>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</si>
  <si>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</si>
  <si>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</si>
  <si>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</si>
  <si>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</si>
  <si>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</si>
  <si>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</si>
  <si>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</si>
  <si>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</si>
  <si>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</si>
  <si>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</si>
  <si>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</si>
  <si>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</si>
  <si>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</si>
  <si>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</si>
  <si>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</si>
  <si>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</si>
  <si>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</si>
  <si>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</si>
  <si>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</si>
  <si>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</si>
  <si>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</si>
  <si>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</si>
  <si>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</si>
  <si>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</si>
  <si>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</si>
  <si>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</si>
  <si>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</si>
  <si>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</si>
  <si>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</si>
  <si>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</si>
  <si>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</si>
  <si>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</si>
  <si>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</si>
  <si>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</si>
  <si>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</si>
  <si>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</si>
  <si>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</si>
  <si>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</si>
  <si>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</si>
  <si>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</si>
  <si>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</si>
  <si>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</si>
  <si>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</si>
  <si>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</si>
  <si>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</si>
  <si>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</si>
  <si>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</si>
  <si>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</si>
  <si>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</si>
  <si>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</si>
  <si>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</si>
  <si>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</si>
  <si>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</si>
  <si>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</si>
  <si>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</si>
  <si>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</si>
  <si>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</si>
  <si>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</si>
  <si>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</si>
  <si>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</si>
  <si>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</si>
  <si>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</si>
  <si>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</si>
  <si>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</si>
  <si>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</si>
  <si>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</si>
  <si>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</si>
  <si>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</si>
  <si>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</si>
  <si>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</si>
  <si>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</si>
  <si>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</si>
  <si>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</si>
  <si>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</si>
  <si>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</si>
  <si>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</si>
  <si>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</si>
  <si>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</si>
  <si>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</si>
  <si>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</si>
  <si>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</si>
  <si>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</si>
  <si>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</si>
  <si>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</si>
  <si>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</si>
  <si>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</si>
  <si>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</si>
  <si>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</si>
  <si>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</si>
  <si>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</si>
  <si>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</si>
  <si>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</si>
  <si>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</si>
  <si>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</si>
  <si>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</si>
  <si>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</si>
  <si>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</si>
  <si>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</si>
  <si>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</si>
  <si>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</si>
  <si>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</si>
  <si>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</si>
  <si>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</si>
  <si>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</si>
  <si>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</si>
  <si>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</si>
  <si>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</si>
  <si>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</si>
  <si>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</si>
  <si>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</si>
  <si>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</si>
  <si>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</si>
  <si>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</si>
  <si>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</si>
  <si>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IH1803</t>
    <phoneticPr fontId="1" type="noConversion"/>
  </si>
  <si>
    <t>AL1805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</si>
  <si>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</si>
  <si>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</si>
  <si>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</si>
  <si>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</si>
  <si>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</si>
  <si>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</si>
  <si>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</si>
  <si>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</si>
  <si>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</si>
  <si>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</si>
  <si>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</si>
  <si>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</si>
  <si>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</si>
  <si>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</si>
  <si>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</si>
  <si>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</si>
  <si>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</si>
  <si>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</si>
  <si>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</si>
  <si>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</si>
  <si>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</si>
  <si>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</si>
  <si>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</si>
  <si>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</si>
  <si>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</si>
  <si>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</si>
  <si>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</si>
  <si>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</si>
  <si>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</si>
  <si>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</si>
  <si>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</si>
  <si>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</si>
  <si>
    <t>AU1806</t>
    <phoneticPr fontId="1" type="noConversion"/>
  </si>
  <si>
    <t>CU1804</t>
  </si>
  <si>
    <t>MA805</t>
    <phoneticPr fontId="1" type="noConversion"/>
  </si>
  <si>
    <t>AU1806</t>
    <phoneticPr fontId="1" type="noConversion"/>
  </si>
  <si>
    <t>IH1803</t>
    <phoneticPr fontId="1" type="noConversion"/>
  </si>
  <si>
    <t>CS1805</t>
    <phoneticPr fontId="1" type="noConversion"/>
  </si>
  <si>
    <t>RB1805</t>
    <phoneticPr fontId="1" type="noConversion"/>
  </si>
  <si>
    <t>HC1805</t>
    <phoneticPr fontId="1" type="noConversion"/>
  </si>
  <si>
    <t>IC1803</t>
    <phoneticPr fontId="1" type="noConversion"/>
  </si>
  <si>
    <t>CU1804</t>
    <phoneticPr fontId="1" type="noConversion"/>
  </si>
  <si>
    <t>IF1803</t>
    <phoneticPr fontId="1" type="noConversion"/>
  </si>
  <si>
    <t>T1806</t>
    <phoneticPr fontId="1" type="noConversion"/>
  </si>
  <si>
    <t>SF805</t>
    <phoneticPr fontId="1" type="noConversion"/>
  </si>
  <si>
    <t>IH1803</t>
    <phoneticPr fontId="1" type="noConversion"/>
  </si>
  <si>
    <t>MA805</t>
    <phoneticPr fontId="1" type="noConversion"/>
  </si>
  <si>
    <t>BU1806</t>
    <phoneticPr fontId="1" type="noConversion"/>
  </si>
  <si>
    <t>NI1805</t>
    <phoneticPr fontId="1" type="noConversion"/>
  </si>
  <si>
    <t>M1805</t>
    <phoneticPr fontId="1" type="noConversion"/>
  </si>
  <si>
    <t>CU1804</t>
    <phoneticPr fontId="1" type="noConversion"/>
  </si>
  <si>
    <t>IH1803</t>
    <phoneticPr fontId="1" type="noConversion"/>
  </si>
  <si>
    <t>RB1805</t>
    <phoneticPr fontId="1" type="noConversion"/>
  </si>
  <si>
    <t>ZN1805</t>
    <phoneticPr fontId="1" type="noConversion"/>
  </si>
  <si>
    <t>HC1805</t>
    <phoneticPr fontId="1" type="noConversion"/>
  </si>
  <si>
    <t>P1805</t>
    <phoneticPr fontId="1" type="noConversion"/>
  </si>
  <si>
    <t>IC1803</t>
    <phoneticPr fontId="1" type="noConversion"/>
  </si>
  <si>
    <t>L1805</t>
    <phoneticPr fontId="1" type="noConversion"/>
  </si>
  <si>
    <t>NI1805</t>
    <phoneticPr fontId="1" type="noConversion"/>
  </si>
  <si>
    <t>SF805</t>
    <phoneticPr fontId="1" type="noConversion"/>
  </si>
  <si>
    <t>J1805</t>
    <phoneticPr fontId="1" type="noConversion"/>
  </si>
  <si>
    <t>BU1806</t>
    <phoneticPr fontId="1" type="noConversion"/>
  </si>
  <si>
    <t>AL1805</t>
    <phoneticPr fontId="1" type="noConversion"/>
  </si>
  <si>
    <t>NI1805</t>
    <phoneticPr fontId="1" type="noConversion"/>
  </si>
  <si>
    <t>T1806</t>
  </si>
  <si>
    <t>开仓时间</t>
    <phoneticPr fontId="1" type="noConversion"/>
  </si>
  <si>
    <t>仓位</t>
    <phoneticPr fontId="1" type="noConversion"/>
  </si>
  <si>
    <t>平仓价</t>
    <phoneticPr fontId="1" type="noConversion"/>
  </si>
  <si>
    <t>平仓日期</t>
    <phoneticPr fontId="1" type="noConversion"/>
  </si>
  <si>
    <t>有色</t>
    <phoneticPr fontId="1" type="noConversion"/>
  </si>
  <si>
    <t>化工</t>
    <phoneticPr fontId="1" type="noConversion"/>
  </si>
  <si>
    <t>黑色</t>
    <phoneticPr fontId="1" type="noConversion"/>
  </si>
  <si>
    <t>指数</t>
    <phoneticPr fontId="1" type="noConversion"/>
  </si>
  <si>
    <t>平仓时间</t>
    <phoneticPr fontId="1" type="noConversion"/>
  </si>
  <si>
    <t>平仓盈亏</t>
    <phoneticPr fontId="1" type="noConversion"/>
  </si>
  <si>
    <t>农产</t>
    <phoneticPr fontId="1" type="noConversion"/>
  </si>
  <si>
    <t>国债</t>
    <phoneticPr fontId="1" type="noConversion"/>
  </si>
  <si>
    <t>指数</t>
    <phoneticPr fontId="1" type="noConversion"/>
  </si>
  <si>
    <t>IF1803</t>
    <phoneticPr fontId="1" type="noConversion"/>
  </si>
  <si>
    <t>MA805</t>
    <phoneticPr fontId="1" type="noConversion"/>
  </si>
  <si>
    <t>MA805</t>
    <phoneticPr fontId="1" type="noConversion"/>
  </si>
  <si>
    <t>IC1804</t>
    <phoneticPr fontId="1" type="noConversion"/>
  </si>
  <si>
    <t>ZC805</t>
    <phoneticPr fontId="1" type="noConversion"/>
  </si>
  <si>
    <t>NI1807</t>
    <phoneticPr fontId="1" type="noConversion"/>
  </si>
  <si>
    <t>CU1805</t>
    <phoneticPr fontId="1" type="noConversion"/>
  </si>
  <si>
    <t>BU1806</t>
    <phoneticPr fontId="1" type="noConversion"/>
  </si>
  <si>
    <t>MA805</t>
    <phoneticPr fontId="1" type="noConversion"/>
  </si>
  <si>
    <t>NI1807</t>
    <phoneticPr fontId="1" type="noConversion"/>
  </si>
  <si>
    <t>RM805</t>
    <phoneticPr fontId="1" type="noConversion"/>
  </si>
  <si>
    <t>MA805</t>
    <phoneticPr fontId="1" type="noConversion"/>
  </si>
  <si>
    <t>NI1807</t>
    <phoneticPr fontId="1" type="noConversion"/>
  </si>
  <si>
    <t>BU1806</t>
    <phoneticPr fontId="1" type="noConversion"/>
  </si>
  <si>
    <t>CS1805</t>
    <phoneticPr fontId="1" type="noConversion"/>
  </si>
  <si>
    <t>ZN1806</t>
    <phoneticPr fontId="1" type="noConversion"/>
  </si>
  <si>
    <t>BU1806</t>
    <phoneticPr fontId="1" type="noConversion"/>
  </si>
  <si>
    <t>J1809</t>
    <phoneticPr fontId="1" type="noConversion"/>
  </si>
  <si>
    <t>NI1807</t>
    <phoneticPr fontId="1" type="noConversion"/>
  </si>
  <si>
    <t>RM805</t>
    <phoneticPr fontId="1" type="noConversion"/>
  </si>
  <si>
    <t>CS1805</t>
    <phoneticPr fontId="1" type="noConversion"/>
  </si>
  <si>
    <t>MA805</t>
    <phoneticPr fontId="1" type="noConversion"/>
  </si>
  <si>
    <t>BU1806</t>
    <phoneticPr fontId="1" type="noConversion"/>
  </si>
  <si>
    <t>ZN1806</t>
    <phoneticPr fontId="1" type="noConversion"/>
  </si>
  <si>
    <t>P1809</t>
    <phoneticPr fontId="1" type="noConversion"/>
  </si>
  <si>
    <t>T1806</t>
    <phoneticPr fontId="1" type="noConversion"/>
  </si>
  <si>
    <t>TF1806</t>
    <phoneticPr fontId="1" type="noConversion"/>
  </si>
  <si>
    <t>CS1809</t>
    <phoneticPr fontId="1" type="noConversion"/>
  </si>
  <si>
    <t>IF1806</t>
    <phoneticPr fontId="1" type="noConversion"/>
  </si>
  <si>
    <t>IC1805</t>
    <phoneticPr fontId="1" type="noConversion"/>
  </si>
  <si>
    <t>JD1809</t>
    <phoneticPr fontId="1" type="noConversion"/>
  </si>
  <si>
    <t>CS1809</t>
    <phoneticPr fontId="1" type="noConversion"/>
  </si>
  <si>
    <t>JM1809</t>
    <phoneticPr fontId="1" type="noConversion"/>
  </si>
  <si>
    <t>ZN1806</t>
    <phoneticPr fontId="1" type="noConversion"/>
  </si>
  <si>
    <t>MA809</t>
    <phoneticPr fontId="1" type="noConversion"/>
  </si>
  <si>
    <t>IH1806</t>
    <phoneticPr fontId="1" type="noConversion"/>
  </si>
  <si>
    <t>SF805</t>
    <phoneticPr fontId="1" type="noConversion"/>
  </si>
  <si>
    <t>BU1806</t>
    <phoneticPr fontId="1" type="noConversion"/>
  </si>
  <si>
    <t>NI1807</t>
    <phoneticPr fontId="1" type="noConversion"/>
  </si>
  <si>
    <t>CU1806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</si>
</sst>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1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9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  <xf numFmtId="176" fontId="8" fillId="0" borderId="0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0" fontId="8" fillId="0" borderId="0" xfId="0" applyFont="1" applyFill="1" applyBorder="1"/>
    <xf numFmtId="0" fontId="9" fillId="0" borderId="0" xfId="0" applyFont="1" applyBorder="1" applyAlignment="1">
      <alignment horizontal="center" wrapText="1" readingOrder="1"/>
    </xf>
    <xf numFmtId="14" fontId="9" fillId="0" borderId="0" xfId="0" applyNumberFormat="1" applyFont="1" applyBorder="1" applyAlignment="1">
      <alignment horizontal="center" wrapText="1" readingOrder="1"/>
    </xf>
    <xf numFmtId="10" fontId="9" fillId="0" borderId="0" xfId="0" applyNumberFormat="1" applyFont="1" applyBorder="1" applyAlignment="1">
      <alignment horizontal="center" wrapText="1" readingOrder="1"/>
    </xf>
    <xf numFmtId="178" fontId="0" fillId="0" borderId="0" xfId="0" applyNumberFormat="1" applyFill="1" applyBorder="1" applyAlignment="1">
      <alignment horizontal="center"/>
    </xf>
    <xf numFmtId="178" fontId="0" fillId="0" borderId="1" xfId="0" applyNumberFormat="1" applyFill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0" fillId="0" borderId="1" xfId="0" applyNumberFormat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6011872"/>
        <c:axId val="506012432"/>
      </c:lineChart>
      <c:dateAx>
        <c:axId val="5060118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6012432"/>
        <c:crosses val="autoZero"/>
        <c:auto val="1"/>
        <c:lblOffset val="100"/>
        <c:baseTimeUnit val="days"/>
      </c:dateAx>
      <c:valAx>
        <c:axId val="50601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601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三均线策略权益曲线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权益!$A$19:$A$80</c:f>
              <c:numCache>
                <c:formatCode>m/d/yyyy</c:formatCode>
                <c:ptCount val="62"/>
                <c:pt idx="0">
                  <c:v>43117</c:v>
                </c:pt>
                <c:pt idx="1">
                  <c:v>43118</c:v>
                </c:pt>
                <c:pt idx="2">
                  <c:v>43119</c:v>
                </c:pt>
                <c:pt idx="3">
                  <c:v>43122</c:v>
                </c:pt>
                <c:pt idx="4">
                  <c:v>43123</c:v>
                </c:pt>
                <c:pt idx="5">
                  <c:v>43124</c:v>
                </c:pt>
                <c:pt idx="6">
                  <c:v>43125</c:v>
                </c:pt>
                <c:pt idx="7">
                  <c:v>43126</c:v>
                </c:pt>
                <c:pt idx="8">
                  <c:v>43129</c:v>
                </c:pt>
                <c:pt idx="9">
                  <c:v>43130</c:v>
                </c:pt>
                <c:pt idx="10">
                  <c:v>43131</c:v>
                </c:pt>
                <c:pt idx="11">
                  <c:v>43132</c:v>
                </c:pt>
                <c:pt idx="12">
                  <c:v>43133</c:v>
                </c:pt>
                <c:pt idx="13">
                  <c:v>43136</c:v>
                </c:pt>
                <c:pt idx="14">
                  <c:v>43137</c:v>
                </c:pt>
                <c:pt idx="15">
                  <c:v>43138</c:v>
                </c:pt>
                <c:pt idx="16">
                  <c:v>43139</c:v>
                </c:pt>
                <c:pt idx="17">
                  <c:v>43140</c:v>
                </c:pt>
                <c:pt idx="18">
                  <c:v>43143</c:v>
                </c:pt>
                <c:pt idx="19">
                  <c:v>43144</c:v>
                </c:pt>
                <c:pt idx="20">
                  <c:v>43145</c:v>
                </c:pt>
                <c:pt idx="21">
                  <c:v>43153</c:v>
                </c:pt>
                <c:pt idx="22">
                  <c:v>43154</c:v>
                </c:pt>
                <c:pt idx="23">
                  <c:v>43157</c:v>
                </c:pt>
                <c:pt idx="24">
                  <c:v>43158</c:v>
                </c:pt>
                <c:pt idx="25">
                  <c:v>43159</c:v>
                </c:pt>
                <c:pt idx="26">
                  <c:v>43160</c:v>
                </c:pt>
                <c:pt idx="27">
                  <c:v>43161</c:v>
                </c:pt>
                <c:pt idx="28">
                  <c:v>43164</c:v>
                </c:pt>
                <c:pt idx="29">
                  <c:v>43165</c:v>
                </c:pt>
                <c:pt idx="30">
                  <c:v>43166</c:v>
                </c:pt>
                <c:pt idx="31">
                  <c:v>43167</c:v>
                </c:pt>
                <c:pt idx="32">
                  <c:v>43168</c:v>
                </c:pt>
                <c:pt idx="33">
                  <c:v>43171</c:v>
                </c:pt>
                <c:pt idx="34">
                  <c:v>43172</c:v>
                </c:pt>
                <c:pt idx="35">
                  <c:v>43173</c:v>
                </c:pt>
                <c:pt idx="36">
                  <c:v>43174</c:v>
                </c:pt>
                <c:pt idx="37">
                  <c:v>43175</c:v>
                </c:pt>
                <c:pt idx="38">
                  <c:v>43178</c:v>
                </c:pt>
                <c:pt idx="39">
                  <c:v>43179</c:v>
                </c:pt>
                <c:pt idx="40">
                  <c:v>43181</c:v>
                </c:pt>
                <c:pt idx="41">
                  <c:v>43182</c:v>
                </c:pt>
                <c:pt idx="42">
                  <c:v>43185</c:v>
                </c:pt>
                <c:pt idx="43">
                  <c:v>43186</c:v>
                </c:pt>
                <c:pt idx="44">
                  <c:v>43187</c:v>
                </c:pt>
                <c:pt idx="45">
                  <c:v>43188</c:v>
                </c:pt>
                <c:pt idx="46">
                  <c:v>43189</c:v>
                </c:pt>
                <c:pt idx="47">
                  <c:v>43192</c:v>
                </c:pt>
                <c:pt idx="48">
                  <c:v>43193</c:v>
                </c:pt>
                <c:pt idx="49">
                  <c:v>43194</c:v>
                </c:pt>
                <c:pt idx="50">
                  <c:v>43195</c:v>
                </c:pt>
                <c:pt idx="51">
                  <c:v>43196</c:v>
                </c:pt>
                <c:pt idx="52">
                  <c:v>43197</c:v>
                </c:pt>
                <c:pt idx="53">
                  <c:v>43198</c:v>
                </c:pt>
                <c:pt idx="54">
                  <c:v>43199</c:v>
                </c:pt>
                <c:pt idx="55">
                  <c:v>43200</c:v>
                </c:pt>
                <c:pt idx="56">
                  <c:v>43201</c:v>
                </c:pt>
                <c:pt idx="57">
                  <c:v>43202</c:v>
                </c:pt>
                <c:pt idx="58">
                  <c:v>43203</c:v>
                </c:pt>
                <c:pt idx="59">
                  <c:v>43206</c:v>
                </c:pt>
                <c:pt idx="60">
                  <c:v>43207</c:v>
                </c:pt>
                <c:pt idx="61">
                  <c:v>43208</c:v>
                </c:pt>
              </c:numCache>
            </c:numRef>
          </c:cat>
          <c:val>
            <c:numRef>
              <c:f>权益!$C$19:$C$80</c:f>
              <c:numCache>
                <c:formatCode>0.0000</c:formatCode>
                <c:ptCount val="62"/>
                <c:pt idx="0">
                  <c:v>0.96859209999999996</c:v>
                </c:pt>
                <c:pt idx="1">
                  <c:v>0.97040610000000005</c:v>
                </c:pt>
                <c:pt idx="2">
                  <c:v>0.97298989999999996</c:v>
                </c:pt>
                <c:pt idx="3">
                  <c:v>0.97157280000000001</c:v>
                </c:pt>
                <c:pt idx="4">
                  <c:v>0.97568270000000001</c:v>
                </c:pt>
                <c:pt idx="5">
                  <c:v>0.97392330000000005</c:v>
                </c:pt>
                <c:pt idx="6">
                  <c:v>0.97964110000000004</c:v>
                </c:pt>
                <c:pt idx="7">
                  <c:v>0.97484548400000004</c:v>
                </c:pt>
                <c:pt idx="8">
                  <c:v>0.97710112799999993</c:v>
                </c:pt>
                <c:pt idx="9">
                  <c:v>0.97533999199999999</c:v>
                </c:pt>
                <c:pt idx="10">
                  <c:v>0.97128279100000003</c:v>
                </c:pt>
                <c:pt idx="11">
                  <c:v>0.97321309099999997</c:v>
                </c:pt>
                <c:pt idx="12">
                  <c:v>0.97120030000000002</c:v>
                </c:pt>
                <c:pt idx="13">
                  <c:v>0.96940765299999998</c:v>
                </c:pt>
                <c:pt idx="14">
                  <c:v>0.97086309000000004</c:v>
                </c:pt>
                <c:pt idx="15">
                  <c:v>0.9702242390000001</c:v>
                </c:pt>
                <c:pt idx="16">
                  <c:v>0.97060205299999991</c:v>
                </c:pt>
                <c:pt idx="17">
                  <c:v>0.97952649999999997</c:v>
                </c:pt>
                <c:pt idx="18">
                  <c:v>0.96992429999999996</c:v>
                </c:pt>
                <c:pt idx="19">
                  <c:v>0.96781741799999998</c:v>
                </c:pt>
                <c:pt idx="20">
                  <c:v>0.96894181800000001</c:v>
                </c:pt>
                <c:pt idx="21">
                  <c:v>0.96276589999999995</c:v>
                </c:pt>
                <c:pt idx="22">
                  <c:v>0.96193956300000005</c:v>
                </c:pt>
                <c:pt idx="23">
                  <c:v>0.96342102500000004</c:v>
                </c:pt>
                <c:pt idx="24">
                  <c:v>0.96463829999999995</c:v>
                </c:pt>
                <c:pt idx="25">
                  <c:v>0.96455610000000003</c:v>
                </c:pt>
                <c:pt idx="26">
                  <c:v>0.96447989999999995</c:v>
                </c:pt>
                <c:pt idx="27">
                  <c:v>0.96317379999999997</c:v>
                </c:pt>
                <c:pt idx="28">
                  <c:v>0.9596808</c:v>
                </c:pt>
                <c:pt idx="29">
                  <c:v>0.9571733</c:v>
                </c:pt>
                <c:pt idx="30">
                  <c:v>0.95421270000000002</c:v>
                </c:pt>
                <c:pt idx="31">
                  <c:v>0.96255460000000004</c:v>
                </c:pt>
                <c:pt idx="32">
                  <c:v>0.98076339999999995</c:v>
                </c:pt>
                <c:pt idx="33">
                  <c:v>0.96398490000000003</c:v>
                </c:pt>
                <c:pt idx="34">
                  <c:v>0.96287529999999999</c:v>
                </c:pt>
                <c:pt idx="35">
                  <c:v>0.96229379999999998</c:v>
                </c:pt>
                <c:pt idx="36">
                  <c:v>0.96135789999999999</c:v>
                </c:pt>
                <c:pt idx="37">
                  <c:v>0.96135789999999999</c:v>
                </c:pt>
                <c:pt idx="38">
                  <c:v>0.96145150000000001</c:v>
                </c:pt>
                <c:pt idx="39">
                  <c:v>0.96111310000000005</c:v>
                </c:pt>
                <c:pt idx="40">
                  <c:v>0.96040110000000001</c:v>
                </c:pt>
                <c:pt idx="41">
                  <c:v>0.95824980000000004</c:v>
                </c:pt>
                <c:pt idx="42">
                  <c:v>0.95824980000000004</c:v>
                </c:pt>
                <c:pt idx="43">
                  <c:v>0.95824980000000004</c:v>
                </c:pt>
                <c:pt idx="44">
                  <c:v>0.95824980000000004</c:v>
                </c:pt>
                <c:pt idx="45">
                  <c:v>0.95824980000000004</c:v>
                </c:pt>
                <c:pt idx="46">
                  <c:v>0.95824980000000004</c:v>
                </c:pt>
                <c:pt idx="47">
                  <c:v>0.95824980000000004</c:v>
                </c:pt>
                <c:pt idx="48">
                  <c:v>0.95824980000000004</c:v>
                </c:pt>
                <c:pt idx="49">
                  <c:v>0.95824980000000004</c:v>
                </c:pt>
                <c:pt idx="50">
                  <c:v>0.95824980000000004</c:v>
                </c:pt>
                <c:pt idx="51">
                  <c:v>0.95824980000000004</c:v>
                </c:pt>
                <c:pt idx="52">
                  <c:v>0.95824980000000004</c:v>
                </c:pt>
                <c:pt idx="53">
                  <c:v>0.95824980000000004</c:v>
                </c:pt>
                <c:pt idx="54">
                  <c:v>0.95824980000000004</c:v>
                </c:pt>
                <c:pt idx="55">
                  <c:v>0.95798439999999996</c:v>
                </c:pt>
                <c:pt idx="56">
                  <c:v>0.95557029999999998</c:v>
                </c:pt>
                <c:pt idx="57">
                  <c:v>0.95250990000000002</c:v>
                </c:pt>
                <c:pt idx="58">
                  <c:v>0.95236540000000003</c:v>
                </c:pt>
                <c:pt idx="59">
                  <c:v>0.95335539999999996</c:v>
                </c:pt>
                <c:pt idx="60">
                  <c:v>0.95580549999999997</c:v>
                </c:pt>
                <c:pt idx="61">
                  <c:v>0.95700499999999999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6014672"/>
        <c:axId val="506015232"/>
      </c:lineChart>
      <c:dateAx>
        <c:axId val="5060146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6015232"/>
        <c:crosses val="autoZero"/>
        <c:auto val="1"/>
        <c:lblOffset val="100"/>
        <c:baseTimeUnit val="days"/>
      </c:dateAx>
      <c:valAx>
        <c:axId val="50601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601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409574</xdr:colOff>
      <xdr:row>28</xdr:row>
      <xdr:rowOff>161924</xdr:rowOff>
    </xdr:from>
    <xdr:to>
      <xdr:col>16</xdr:col>
      <xdr:colOff>333375</xdr:colOff>
      <xdr:row>49</xdr:row>
      <xdr:rowOff>57149</xdr:rowOff>
    </xdr:to>
    <xdr:graphicFrame macro="">
      <xdr:nvGraphicFramePr>
        <xdr:cNvPr id="4" name="图表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88"/>
  <sheetViews>
    <sheetView workbookViewId="0">
      <pane ySplit="1" topLeftCell="A29" activePane="bottomLeft" state="frozen"/>
      <selection pane="bottomLeft" activeCell="C80" sqref="C80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COUNTA(C2:C9969)</f>
        <v>67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0.26168224299065418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0.80913492402351073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80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68">
        <f t="shared" si="1"/>
        <v>0.96940765299999998</v>
      </c>
    </row>
    <row r="33" spans="1:3">
      <c r="A33" s="2">
        <v>43137</v>
      </c>
      <c r="B33" s="25">
        <v>9708630.9000000004</v>
      </c>
      <c r="C33" s="68">
        <f t="shared" si="1"/>
        <v>0.97086309000000004</v>
      </c>
    </row>
    <row r="34" spans="1:3">
      <c r="A34" s="2">
        <v>43138</v>
      </c>
      <c r="B34" s="25">
        <v>9702242.3900000006</v>
      </c>
      <c r="C34" s="68">
        <f t="shared" si="1"/>
        <v>0.9702242390000001</v>
      </c>
    </row>
    <row r="35" spans="1:3">
      <c r="A35" s="2">
        <v>43139</v>
      </c>
      <c r="B35" s="25">
        <v>9706020.5299999993</v>
      </c>
      <c r="C35" s="68">
        <f t="shared" si="1"/>
        <v>0.97060205299999991</v>
      </c>
    </row>
    <row r="36" spans="1:3">
      <c r="A36" s="19">
        <v>43140</v>
      </c>
      <c r="B36" s="41">
        <v>9795265</v>
      </c>
      <c r="C36" s="42">
        <f t="shared" si="1"/>
        <v>0.97952649999999997</v>
      </c>
    </row>
    <row r="37" spans="1:3">
      <c r="A37" s="2">
        <v>43143</v>
      </c>
      <c r="B37" s="25">
        <v>9699243</v>
      </c>
      <c r="C37" s="68">
        <f t="shared" si="1"/>
        <v>0.96992429999999996</v>
      </c>
    </row>
    <row r="38" spans="1:3">
      <c r="A38" s="2">
        <v>43144</v>
      </c>
      <c r="B38" s="25">
        <v>9678174.1799999997</v>
      </c>
      <c r="C38" s="68">
        <f t="shared" si="1"/>
        <v>0.96781741799999998</v>
      </c>
    </row>
    <row r="39" spans="1:3">
      <c r="A39" s="19">
        <v>43145</v>
      </c>
      <c r="B39" s="41">
        <v>9689418.1799999997</v>
      </c>
      <c r="C39" s="42">
        <f t="shared" si="1"/>
        <v>0.96894181800000001</v>
      </c>
    </row>
    <row r="40" spans="1:3">
      <c r="A40" s="2">
        <v>43153</v>
      </c>
      <c r="B40" s="25">
        <v>9627659</v>
      </c>
      <c r="C40" s="68">
        <f t="shared" si="1"/>
        <v>0.96276589999999995</v>
      </c>
    </row>
    <row r="41" spans="1:3">
      <c r="A41" s="19">
        <v>43154</v>
      </c>
      <c r="B41" s="41">
        <v>9619395.6300000008</v>
      </c>
      <c r="C41" s="42">
        <f t="shared" si="1"/>
        <v>0.96193956300000005</v>
      </c>
    </row>
    <row r="42" spans="1:3">
      <c r="A42" s="2">
        <v>43157</v>
      </c>
      <c r="B42" s="25">
        <v>9634210.25</v>
      </c>
      <c r="C42" s="68">
        <f t="shared" si="1"/>
        <v>0.96342102500000004</v>
      </c>
    </row>
    <row r="43" spans="1:3">
      <c r="A43" s="2">
        <v>43158</v>
      </c>
      <c r="B43" s="25">
        <v>9646383</v>
      </c>
      <c r="C43" s="85">
        <f t="shared" si="1"/>
        <v>0.96463829999999995</v>
      </c>
    </row>
    <row r="44" spans="1:3">
      <c r="A44" s="2">
        <v>43159</v>
      </c>
      <c r="B44" s="25">
        <v>9645561</v>
      </c>
      <c r="C44" s="85">
        <f t="shared" si="1"/>
        <v>0.96455610000000003</v>
      </c>
    </row>
    <row r="45" spans="1:3">
      <c r="A45" s="2">
        <v>43160</v>
      </c>
      <c r="B45" s="25">
        <v>9644799</v>
      </c>
      <c r="C45" s="85">
        <f t="shared" si="1"/>
        <v>0.96447989999999995</v>
      </c>
    </row>
    <row r="46" spans="1:3">
      <c r="A46" s="19">
        <v>43161</v>
      </c>
      <c r="B46" s="41">
        <v>9631738</v>
      </c>
      <c r="C46" s="86">
        <f t="shared" si="1"/>
        <v>0.96317379999999997</v>
      </c>
    </row>
    <row r="47" spans="1:3">
      <c r="A47" s="2">
        <v>43164</v>
      </c>
      <c r="B47" s="25">
        <v>9596808</v>
      </c>
      <c r="C47" s="85">
        <f t="shared" si="1"/>
        <v>0.9596808</v>
      </c>
    </row>
    <row r="48" spans="1:3">
      <c r="A48" s="2">
        <v>43165</v>
      </c>
      <c r="B48" s="25">
        <v>9571733</v>
      </c>
      <c r="C48" s="85">
        <f t="shared" si="1"/>
        <v>0.9571733</v>
      </c>
    </row>
    <row r="49" spans="1:3">
      <c r="A49" s="2">
        <v>43166</v>
      </c>
      <c r="B49" s="25">
        <v>9542127</v>
      </c>
      <c r="C49" s="85">
        <f t="shared" si="1"/>
        <v>0.95421270000000002</v>
      </c>
    </row>
    <row r="50" spans="1:3">
      <c r="A50" s="2">
        <v>43167</v>
      </c>
      <c r="B50" s="25">
        <v>9625546</v>
      </c>
      <c r="C50" s="85">
        <f t="shared" si="1"/>
        <v>0.96255460000000004</v>
      </c>
    </row>
    <row r="51" spans="1:3">
      <c r="A51" s="19">
        <v>43168</v>
      </c>
      <c r="B51" s="41">
        <v>9807634</v>
      </c>
      <c r="C51" s="86">
        <f t="shared" si="1"/>
        <v>0.98076339999999995</v>
      </c>
    </row>
    <row r="52" spans="1:3">
      <c r="A52" s="2">
        <v>43171</v>
      </c>
      <c r="B52" s="25">
        <v>9639849</v>
      </c>
      <c r="C52" s="85">
        <f t="shared" si="1"/>
        <v>0.96398490000000003</v>
      </c>
    </row>
    <row r="53" spans="1:3">
      <c r="A53" s="2">
        <v>43172</v>
      </c>
      <c r="B53" s="25">
        <v>9628753</v>
      </c>
      <c r="C53" s="85">
        <f t="shared" si="1"/>
        <v>0.96287529999999999</v>
      </c>
    </row>
    <row r="54" spans="1:3">
      <c r="A54" s="2">
        <v>43173</v>
      </c>
      <c r="B54" s="25">
        <v>9622938</v>
      </c>
      <c r="C54" s="85">
        <f t="shared" si="1"/>
        <v>0.96229379999999998</v>
      </c>
    </row>
    <row r="55" spans="1:3">
      <c r="A55" s="2">
        <v>43174</v>
      </c>
      <c r="B55" s="25">
        <v>9613579</v>
      </c>
      <c r="C55" s="85">
        <f t="shared" si="1"/>
        <v>0.96135789999999999</v>
      </c>
    </row>
    <row r="56" spans="1:3">
      <c r="A56" s="19">
        <v>43175</v>
      </c>
      <c r="B56" s="41">
        <v>9613579</v>
      </c>
      <c r="C56" s="86">
        <f t="shared" si="1"/>
        <v>0.96135789999999999</v>
      </c>
    </row>
    <row r="57" spans="1:3">
      <c r="A57" s="2">
        <v>43178</v>
      </c>
      <c r="B57" s="25">
        <v>9614515</v>
      </c>
      <c r="C57" s="85">
        <f t="shared" si="1"/>
        <v>0.96145150000000001</v>
      </c>
    </row>
    <row r="58" spans="1:3">
      <c r="A58" s="2">
        <v>43179</v>
      </c>
      <c r="B58" s="25">
        <v>9611131</v>
      </c>
      <c r="C58" s="85">
        <f t="shared" si="1"/>
        <v>0.96111310000000005</v>
      </c>
    </row>
    <row r="59" spans="1:3">
      <c r="A59" s="2">
        <v>43181</v>
      </c>
      <c r="B59" s="25">
        <v>9604011</v>
      </c>
      <c r="C59" s="85">
        <f t="shared" si="1"/>
        <v>0.96040110000000001</v>
      </c>
    </row>
    <row r="60" spans="1:3">
      <c r="A60" s="19">
        <v>43182</v>
      </c>
      <c r="B60" s="41">
        <v>9582498</v>
      </c>
      <c r="C60" s="85">
        <f t="shared" si="1"/>
        <v>0.95824980000000004</v>
      </c>
    </row>
    <row r="61" spans="1:3">
      <c r="A61" s="2">
        <v>43185</v>
      </c>
      <c r="B61" s="41">
        <v>9582498</v>
      </c>
      <c r="C61" s="85">
        <f t="shared" si="1"/>
        <v>0.95824980000000004</v>
      </c>
    </row>
    <row r="62" spans="1:3">
      <c r="A62" s="2">
        <v>43186</v>
      </c>
      <c r="B62" s="41">
        <v>9582498</v>
      </c>
      <c r="C62" s="85">
        <f t="shared" si="1"/>
        <v>0.95824980000000004</v>
      </c>
    </row>
    <row r="63" spans="1:3">
      <c r="A63" s="2">
        <v>43187</v>
      </c>
      <c r="B63" s="41">
        <v>9582498</v>
      </c>
      <c r="C63" s="85">
        <f t="shared" si="1"/>
        <v>0.95824980000000004</v>
      </c>
    </row>
    <row r="64" spans="1:3">
      <c r="A64" s="2">
        <v>43188</v>
      </c>
      <c r="B64" s="41">
        <v>9582498</v>
      </c>
      <c r="C64" s="85">
        <f t="shared" si="1"/>
        <v>0.95824980000000004</v>
      </c>
    </row>
    <row r="65" spans="1:4">
      <c r="A65" s="19">
        <v>43189</v>
      </c>
      <c r="B65" s="41">
        <v>9582498</v>
      </c>
      <c r="C65" s="85">
        <f t="shared" si="1"/>
        <v>0.95824980000000004</v>
      </c>
    </row>
    <row r="66" spans="1:4">
      <c r="A66" s="2">
        <v>43192</v>
      </c>
      <c r="B66" s="41">
        <v>9582498</v>
      </c>
      <c r="C66" s="85">
        <f t="shared" si="1"/>
        <v>0.95824980000000004</v>
      </c>
      <c r="D66" s="22"/>
    </row>
    <row r="67" spans="1:4">
      <c r="A67" s="2">
        <v>43193</v>
      </c>
      <c r="B67" s="41">
        <v>9582498</v>
      </c>
      <c r="C67" s="85">
        <f t="shared" si="1"/>
        <v>0.95824980000000004</v>
      </c>
      <c r="D67" s="22"/>
    </row>
    <row r="68" spans="1:4">
      <c r="A68" s="2">
        <v>43194</v>
      </c>
      <c r="B68" s="41">
        <v>9582498</v>
      </c>
      <c r="C68" s="85">
        <f t="shared" si="1"/>
        <v>0.95824980000000004</v>
      </c>
      <c r="D68" s="22"/>
    </row>
    <row r="69" spans="1:4">
      <c r="A69" s="2">
        <v>43195</v>
      </c>
      <c r="B69" s="41">
        <v>9582498</v>
      </c>
      <c r="C69" s="85">
        <f t="shared" si="1"/>
        <v>0.95824980000000004</v>
      </c>
      <c r="D69" s="22"/>
    </row>
    <row r="70" spans="1:4">
      <c r="A70" s="2">
        <v>43196</v>
      </c>
      <c r="B70" s="41">
        <v>9582498</v>
      </c>
      <c r="C70" s="85">
        <f t="shared" si="1"/>
        <v>0.95824980000000004</v>
      </c>
      <c r="D70" s="22"/>
    </row>
    <row r="71" spans="1:4">
      <c r="A71" s="2">
        <v>43197</v>
      </c>
      <c r="B71" s="41">
        <v>9582498</v>
      </c>
      <c r="C71" s="85">
        <f t="shared" si="1"/>
        <v>0.95824980000000004</v>
      </c>
      <c r="D71" s="22"/>
    </row>
    <row r="72" spans="1:4">
      <c r="A72" s="2">
        <v>43198</v>
      </c>
      <c r="B72" s="41">
        <v>9582498</v>
      </c>
      <c r="C72" s="85">
        <f t="shared" si="1"/>
        <v>0.95824980000000004</v>
      </c>
      <c r="D72" s="22"/>
    </row>
    <row r="73" spans="1:4">
      <c r="A73" s="2">
        <v>43199</v>
      </c>
      <c r="B73" s="41">
        <v>9582498</v>
      </c>
      <c r="C73" s="85">
        <f t="shared" si="1"/>
        <v>0.95824980000000004</v>
      </c>
      <c r="D73" s="22"/>
    </row>
    <row r="74" spans="1:4">
      <c r="A74" s="2">
        <v>43200</v>
      </c>
      <c r="B74" s="25">
        <v>9579844</v>
      </c>
      <c r="C74" s="85">
        <f t="shared" si="1"/>
        <v>0.95798439999999996</v>
      </c>
    </row>
    <row r="75" spans="1:4">
      <c r="A75" s="2">
        <v>43201</v>
      </c>
      <c r="B75" s="25">
        <v>9555703</v>
      </c>
      <c r="C75" s="85">
        <f t="shared" si="1"/>
        <v>0.95557029999999998</v>
      </c>
    </row>
    <row r="76" spans="1:4">
      <c r="A76" s="2">
        <v>43202</v>
      </c>
      <c r="B76" s="25">
        <v>9525099</v>
      </c>
      <c r="C76" s="85">
        <f t="shared" si="1"/>
        <v>0.95250990000000002</v>
      </c>
    </row>
    <row r="77" spans="1:4">
      <c r="A77" s="19">
        <v>43203</v>
      </c>
      <c r="B77" s="41">
        <v>9523654</v>
      </c>
      <c r="C77" s="86">
        <f t="shared" si="1"/>
        <v>0.95236540000000003</v>
      </c>
    </row>
    <row r="78" spans="1:4">
      <c r="A78" s="2">
        <v>43206</v>
      </c>
      <c r="B78" s="25">
        <v>9533554</v>
      </c>
      <c r="C78" s="85">
        <f t="shared" si="1"/>
        <v>0.95335539999999996</v>
      </c>
    </row>
    <row r="79" spans="1:4">
      <c r="A79" s="2">
        <v>43207</v>
      </c>
      <c r="B79" s="25">
        <v>9558055</v>
      </c>
      <c r="C79" s="85">
        <f t="shared" si="1"/>
        <v>0.95580549999999997</v>
      </c>
    </row>
    <row r="80" spans="1:4">
      <c r="A80" s="2">
        <v>43208</v>
      </c>
      <c r="B80" s="25">
        <v>9570050</v>
      </c>
      <c r="C80" s="85">
        <f t="shared" si="1"/>
        <v>0.95700499999999999</v>
      </c>
    </row>
    <row r="81" spans="1:3">
      <c r="A81" s="2">
        <v>43209</v>
      </c>
    </row>
    <row r="82" spans="1:3">
      <c r="A82" s="19">
        <v>43210</v>
      </c>
      <c r="B82" s="41"/>
      <c r="C82" s="4"/>
    </row>
    <row r="83" spans="1:3">
      <c r="A83" s="2">
        <v>43213</v>
      </c>
    </row>
    <row r="84" spans="1:3">
      <c r="A84" s="2">
        <v>43214</v>
      </c>
    </row>
    <row r="85" spans="1:3">
      <c r="A85" s="2">
        <v>43215</v>
      </c>
    </row>
    <row r="86" spans="1:3">
      <c r="A86" s="2">
        <v>43216</v>
      </c>
    </row>
    <row r="87" spans="1:3">
      <c r="A87" s="19">
        <v>43217</v>
      </c>
      <c r="B87" s="41"/>
      <c r="C87" s="4"/>
    </row>
    <row r="88" spans="1:3">
      <c r="A88" s="2">
        <v>43222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4"/>
  <sheetViews>
    <sheetView tabSelected="1" workbookViewId="0">
      <pane ySplit="1" topLeftCell="A317" activePane="bottomLeft" state="frozen"/>
      <selection pane="bottomLeft" activeCell="B350" sqref="B350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9.8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2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2" customFormat="1">
      <c r="A1" s="58" t="s">
        <v>0</v>
      </c>
      <c r="B1" s="58" t="s">
        <v>1</v>
      </c>
      <c r="C1" s="58" t="s">
        <v>2</v>
      </c>
      <c r="D1" s="58" t="s">
        <v>3</v>
      </c>
      <c r="E1" s="58" t="s">
        <v>86</v>
      </c>
      <c r="F1" s="58" t="s">
        <v>41</v>
      </c>
      <c r="G1" s="59" t="s">
        <v>177</v>
      </c>
      <c r="H1" s="60" t="s">
        <v>185</v>
      </c>
      <c r="I1" s="59" t="s">
        <v>176</v>
      </c>
      <c r="J1" s="58" t="s">
        <v>5</v>
      </c>
      <c r="K1" s="58" t="s">
        <v>19</v>
      </c>
      <c r="L1" s="61" t="s">
        <v>42</v>
      </c>
      <c r="M1" s="61" t="s">
        <v>4</v>
      </c>
      <c r="N1" s="58" t="s">
        <v>178</v>
      </c>
      <c r="O1" s="58" t="s">
        <v>181</v>
      </c>
      <c r="P1" s="62" t="s">
        <v>179</v>
      </c>
      <c r="Q1" s="62" t="s">
        <v>180</v>
      </c>
      <c r="S1" s="63" t="s">
        <v>6</v>
      </c>
      <c r="T1" s="64"/>
      <c r="U1" s="65">
        <f>COUNT(M2:M9991)</f>
        <v>321</v>
      </c>
      <c r="V1" s="64">
        <f>COUNTIF(M2:M9991,"&gt;0")</f>
        <v>84</v>
      </c>
      <c r="W1" s="64">
        <f>COUNTIF(M2:M9991,"&lt;0")</f>
        <v>231</v>
      </c>
      <c r="X1" s="64">
        <f>SUMIF(M2:M9991,"&gt;0")</f>
        <v>1145851.05</v>
      </c>
      <c r="Y1" s="64">
        <f>ABS(SUMIF(M2:M9991,"&lt;0"))</f>
        <v>1416143.360000001</v>
      </c>
      <c r="Z1" s="64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92</v>
      </c>
      <c r="V2" s="11" t="s">
        <v>93</v>
      </c>
      <c r="W2" s="11" t="s">
        <v>94</v>
      </c>
      <c r="X2" s="11" t="s">
        <v>95</v>
      </c>
      <c r="Y2" s="11" t="s">
        <v>96</v>
      </c>
      <c r="Z2" s="11" t="s">
        <v>97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3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91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101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71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1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4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3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1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4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1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1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1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5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1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1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4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62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3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63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63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64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4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65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66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1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67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68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69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67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4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78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1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70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5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72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72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73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73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74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75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76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77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1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1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79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80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81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82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83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85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87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88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89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1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5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98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99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100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102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106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107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103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104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105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3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108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109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1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110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111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112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113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114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115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116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116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1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103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117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1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118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119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119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120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121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122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1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125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126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127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128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129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130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1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123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124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131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132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133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134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131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135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136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137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1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1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138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139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140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141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142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143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7"/>
      <c r="Q165" s="48"/>
      <c r="R165" s="48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144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144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145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1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146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147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183</v>
      </c>
      <c r="B171" s="1" t="s">
        <v>148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182</v>
      </c>
      <c r="M171" s="16">
        <f t="shared" si="71"/>
        <v>46200</v>
      </c>
      <c r="N171" s="1">
        <f>C171*1</f>
        <v>11</v>
      </c>
      <c r="O171" s="1">
        <v>1374.5</v>
      </c>
      <c r="P171" s="47">
        <v>43136</v>
      </c>
      <c r="Q171" s="48">
        <v>0.62152777777777779</v>
      </c>
      <c r="R171" s="48" t="s">
        <v>186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149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150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1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146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151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153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7"/>
      <c r="Q176" s="48"/>
      <c r="R176" s="48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154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155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156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150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157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154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184</v>
      </c>
      <c r="B183" s="1" t="s">
        <v>162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192</v>
      </c>
      <c r="L183" s="26" t="s">
        <v>193</v>
      </c>
      <c r="M183" s="16">
        <f t="shared" si="71"/>
        <v>29400</v>
      </c>
      <c r="N183" s="1">
        <f>C183*1</f>
        <v>4</v>
      </c>
      <c r="O183" s="1">
        <v>2115</v>
      </c>
      <c r="P183" s="47">
        <v>43136</v>
      </c>
      <c r="Q183" s="48">
        <v>0.62152777777777779</v>
      </c>
      <c r="R183" s="48" t="s">
        <v>187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155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163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164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7"/>
      <c r="Q186" s="48"/>
      <c r="R186" s="48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154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165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3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166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167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168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1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49"/>
      <c r="Q191" s="50"/>
      <c r="R191" s="50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169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2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7"/>
      <c r="Q192" s="48"/>
      <c r="R192" s="48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170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2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7"/>
      <c r="Q193" s="48"/>
      <c r="R193" s="48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171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2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7">
        <v>43136</v>
      </c>
      <c r="Q194" s="48">
        <v>0.62152777777777779</v>
      </c>
      <c r="R194" s="48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172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2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7">
        <v>43136</v>
      </c>
      <c r="Q195" s="48">
        <v>0.62152777777777779</v>
      </c>
      <c r="R195" s="48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173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2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7"/>
      <c r="Q196" s="48"/>
      <c r="R196" s="48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174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2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7">
        <v>43136</v>
      </c>
      <c r="Q197" s="48">
        <v>0.62152777777777779</v>
      </c>
      <c r="R197" s="48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175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1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49">
        <v>43136</v>
      </c>
      <c r="Q198" s="50">
        <v>0.62152777777777779</v>
      </c>
      <c r="R198" s="50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188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1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49">
        <v>43137</v>
      </c>
      <c r="Q199" s="50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189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2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7">
        <v>43137</v>
      </c>
      <c r="Q200" s="48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190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2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7">
        <v>43137</v>
      </c>
      <c r="Q201" s="48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191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2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194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1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195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2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7">
        <v>43138</v>
      </c>
      <c r="Q204" s="48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71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1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196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2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7">
        <v>43138</v>
      </c>
      <c r="Q206" s="48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197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2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7">
        <v>43138</v>
      </c>
      <c r="Q207" s="48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198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2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7">
        <v>43138</v>
      </c>
      <c r="Q208" s="48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199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2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7">
        <v>43138</v>
      </c>
      <c r="Q209" s="48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200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2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7">
        <v>43138</v>
      </c>
      <c r="Q210" s="48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201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2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202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2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203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2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204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1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206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2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208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1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205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2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7">
        <v>43139</v>
      </c>
      <c r="Q217" s="48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209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2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210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2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264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2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7">
        <v>43139</v>
      </c>
      <c r="Q220" s="48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4" si="110">IF(S220="","",T220*I220/(D220*S220*0.15))</f>
        <v>29.097483718323268</v>
      </c>
      <c r="W220" s="11"/>
    </row>
    <row r="221" spans="1:23">
      <c r="B221" s="1" t="s">
        <v>265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2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7">
        <v>43139</v>
      </c>
      <c r="Q221" s="48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2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7">
        <v>43139</v>
      </c>
      <c r="Q222" s="48">
        <v>0.62152777777777779</v>
      </c>
      <c r="S222">
        <f>IF(B222="","",VLOOKUP(Cmt(B222),Sheet2!A:B,2,FALSE))</f>
        <v>10</v>
      </c>
      <c r="T222" s="39">
        <f t="shared" ref="T222:T286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70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1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49">
        <v>43139</v>
      </c>
      <c r="Q223" s="50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2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2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2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2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266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1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268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2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4">
        <f t="shared" ref="M229:M231" si="113">IF(J229="","",C229*(J229-D229)*S229)+IF(J229="","",N229*(J229-O229)*S229)</f>
        <v>1800</v>
      </c>
      <c r="N229" s="1">
        <v>-2</v>
      </c>
      <c r="O229" s="1">
        <v>51340</v>
      </c>
      <c r="P229" s="47">
        <v>43140</v>
      </c>
      <c r="Q229" s="48">
        <v>0.62222222222222223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269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2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4">
        <f t="shared" si="113"/>
        <v>-4130</v>
      </c>
      <c r="N230" s="1">
        <v>-7</v>
      </c>
      <c r="O230" s="1">
        <v>98780</v>
      </c>
      <c r="P230" s="47">
        <v>43140</v>
      </c>
      <c r="Q230" s="48">
        <v>0.62222222222222223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270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2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4">
        <f t="shared" si="113"/>
        <v>-9020</v>
      </c>
      <c r="N231" s="1">
        <v>-22</v>
      </c>
      <c r="O231" s="1">
        <v>5600</v>
      </c>
      <c r="P231" s="47">
        <v>43140</v>
      </c>
      <c r="Q231" s="48">
        <v>0.62222222222222223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272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2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273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2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4">
        <f t="shared" ref="M233" si="114">IF(J233="","",C233*(J233-D233)*S233)+IF(J233="","",N233*(J233-O233)*S233)</f>
        <v>-6250</v>
      </c>
      <c r="N233" s="1">
        <v>-10</v>
      </c>
      <c r="O233" s="1">
        <v>14360</v>
      </c>
      <c r="P233" s="47">
        <v>43140</v>
      </c>
      <c r="Q233" s="48">
        <v>0.62222222222222223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275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3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69" t="s">
        <v>35</v>
      </c>
      <c r="C235" s="69">
        <v>-2</v>
      </c>
      <c r="D235" s="69">
        <v>271.89999999999998</v>
      </c>
      <c r="E235" s="70">
        <v>43140</v>
      </c>
      <c r="F235" s="71">
        <v>0.88124999999999998</v>
      </c>
      <c r="G235" s="72">
        <v>1.2999999999999999E-2</v>
      </c>
      <c r="H235" s="73">
        <v>0.5</v>
      </c>
      <c r="I235" s="72">
        <f t="shared" si="102"/>
        <v>6.4999999999999997E-3</v>
      </c>
      <c r="J235" s="69">
        <v>272.7</v>
      </c>
      <c r="K235" s="70">
        <v>43143</v>
      </c>
      <c r="L235" s="71">
        <v>0.44166666666666665</v>
      </c>
      <c r="M235" s="74">
        <f t="shared" si="103"/>
        <v>-1600.0000000000227</v>
      </c>
      <c r="N235" s="69"/>
      <c r="O235" s="69"/>
      <c r="P235" s="75"/>
      <c r="Q235" s="75"/>
      <c r="R235" s="7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276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2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ref="M236:M238" si="115">IF(J236="","",C236*(J236-D236)*S236)+IF(J236="","",N236*(J236-O236)*S236)</f>
        <v>-1650</v>
      </c>
      <c r="N236" s="1">
        <v>30</v>
      </c>
      <c r="O236" s="1">
        <v>2380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277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2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15"/>
        <v>-8700</v>
      </c>
      <c r="N237" s="1">
        <v>-12</v>
      </c>
      <c r="O237" s="1">
        <v>9455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278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2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15"/>
        <v>7980</v>
      </c>
      <c r="N238" s="1">
        <v>28</v>
      </c>
      <c r="O238" s="1">
        <v>2841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279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2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280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1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6">
        <f t="shared" ref="M240:M241" si="116">IF(J240="","",C240*(J240-D240)*S240)+IF(J240="","",N240*(J240-O240)*S240)</f>
        <v>-10500</v>
      </c>
      <c r="N240" s="3">
        <v>10</v>
      </c>
      <c r="O240" s="3">
        <v>1364</v>
      </c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281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5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16">
        <f t="shared" si="116"/>
        <v>-9880.4999999999836</v>
      </c>
      <c r="N241" s="27">
        <v>-30</v>
      </c>
      <c r="O241" s="27">
        <v>2696</v>
      </c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282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2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283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2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ref="M243" si="117">IF(J243="","",C243*(J243-D243)*S243)+IF(J243="","",N243*(J243-O243)*S243)</f>
        <v>13800</v>
      </c>
      <c r="N243" s="1">
        <v>12</v>
      </c>
      <c r="O243" s="1">
        <v>528.5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4.25" thickBot="1">
      <c r="A244" s="34"/>
      <c r="B244" s="34" t="s">
        <v>284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3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285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2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286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2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287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2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288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2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289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2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290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2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291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1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B252" s="1" t="s">
        <v>292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2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1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>
      <c r="B254" s="1" t="s">
        <v>293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2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>
      <c r="B255" s="1" t="s">
        <v>294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2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4.25" thickBot="1">
      <c r="A256" s="34"/>
      <c r="B256" s="34" t="s">
        <v>295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3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>
      <c r="A257" s="2">
        <v>43157</v>
      </c>
      <c r="B257" s="1" t="s">
        <v>296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2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>
      <c r="B258" s="1" t="s">
        <v>297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2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>
      <c r="B259" s="3" t="s">
        <v>298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1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>
      <c r="B260" s="1" t="s">
        <v>299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2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>
      <c r="B261" s="1" t="s">
        <v>300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2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>
      <c r="B262" s="1" t="s">
        <v>301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2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>
      <c r="B263" s="1" t="s">
        <v>302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2">
        <v>0.33333333333333331</v>
      </c>
      <c r="I263" s="17">
        <f t="shared" si="102"/>
        <v>4.0000000000000001E-3</v>
      </c>
      <c r="J263" s="1">
        <v>5788</v>
      </c>
      <c r="K263" s="2">
        <v>43164</v>
      </c>
      <c r="L263" s="26">
        <v>0.58819444444444446</v>
      </c>
      <c r="M263" s="16">
        <f t="shared" si="103"/>
        <v>-2250</v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>
      <c r="B264" s="1" t="s">
        <v>303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2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>
      <c r="B265" s="1" t="s">
        <v>304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2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>
      <c r="A266" s="3"/>
      <c r="B266" s="3" t="s">
        <v>305</v>
      </c>
      <c r="C266" s="3">
        <v>-13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1">
        <v>0.33333333333333331</v>
      </c>
      <c r="I266" s="18">
        <f t="shared" si="102"/>
        <v>5.6666666666666671E-3</v>
      </c>
      <c r="J266" s="3">
        <v>2676</v>
      </c>
      <c r="K266" s="19">
        <v>43159</v>
      </c>
      <c r="L266" s="31">
        <v>0.38541666666666669</v>
      </c>
      <c r="M266" s="14">
        <f t="shared" si="103"/>
        <v>4160</v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>
      <c r="A267" s="21">
        <v>43159</v>
      </c>
      <c r="B267" s="13" t="s">
        <v>306</v>
      </c>
      <c r="C267" s="13">
        <v>-2</v>
      </c>
      <c r="D267" s="13">
        <v>272.3</v>
      </c>
      <c r="E267" s="21">
        <v>43159</v>
      </c>
      <c r="F267" s="33">
        <v>0.40069444444444446</v>
      </c>
      <c r="G267" s="20">
        <v>1.2E-2</v>
      </c>
      <c r="H267" s="54">
        <v>0.5</v>
      </c>
      <c r="I267" s="20">
        <f t="shared" si="102"/>
        <v>6.0000000000000001E-3</v>
      </c>
      <c r="J267" s="13">
        <v>272.3</v>
      </c>
      <c r="K267" s="21">
        <v>43159</v>
      </c>
      <c r="L267" s="33">
        <v>0.8833333333333333</v>
      </c>
      <c r="M267" s="16">
        <f t="shared" si="103"/>
        <v>0</v>
      </c>
      <c r="N267" s="13"/>
      <c r="O267" s="13"/>
      <c r="P267" s="22"/>
      <c r="Q267" s="22"/>
      <c r="R267" s="22"/>
      <c r="S267">
        <f>IF(B267="","",VLOOKUP(Cmt(B267),Sheet2!A:B,2,FALSE))</f>
        <v>1000</v>
      </c>
      <c r="T267" s="39">
        <f t="shared" si="112"/>
        <v>9670000</v>
      </c>
      <c r="U267" s="13">
        <f t="shared" si="110"/>
        <v>1.4204921042967316</v>
      </c>
      <c r="W267" s="11"/>
    </row>
    <row r="268" spans="1:23">
      <c r="A268" s="19"/>
      <c r="B268" s="3" t="s">
        <v>308</v>
      </c>
      <c r="C268" s="3">
        <v>-13</v>
      </c>
      <c r="D268" s="3">
        <v>2661</v>
      </c>
      <c r="E268" s="19">
        <v>43160</v>
      </c>
      <c r="F268" s="31">
        <v>0.56597222222222221</v>
      </c>
      <c r="G268" s="18">
        <v>1.7000000000000001E-2</v>
      </c>
      <c r="H268" s="51">
        <v>0.33333333333333331</v>
      </c>
      <c r="I268" s="18">
        <f t="shared" si="102"/>
        <v>5.6666666666666671E-3</v>
      </c>
      <c r="J268" s="3">
        <v>2663</v>
      </c>
      <c r="K268" s="19">
        <v>43160</v>
      </c>
      <c r="L268" s="31">
        <v>0.92638888888888893</v>
      </c>
      <c r="M268" s="14">
        <f t="shared" si="103"/>
        <v>-260</v>
      </c>
      <c r="N268" s="3"/>
      <c r="O268" s="3"/>
      <c r="P268" s="4"/>
      <c r="Q268" s="4"/>
      <c r="R268" s="4"/>
      <c r="S268">
        <f>IF(B268="","",VLOOKUP(Cmt(B268),Sheet2!A:B,2,FALSE))</f>
        <v>10</v>
      </c>
      <c r="T268" s="39">
        <f>IF(S268="","",T267)</f>
        <v>9670000</v>
      </c>
      <c r="U268" s="13">
        <f t="shared" si="110"/>
        <v>13.728339387865883</v>
      </c>
      <c r="W268" s="11"/>
    </row>
    <row r="269" spans="1:23">
      <c r="A269" s="43">
        <v>43160</v>
      </c>
      <c r="B269" s="27" t="s">
        <v>309</v>
      </c>
      <c r="C269" s="27">
        <v>-2</v>
      </c>
      <c r="D269" s="27">
        <v>272.10000000000002</v>
      </c>
      <c r="E269" s="43">
        <v>43160</v>
      </c>
      <c r="F269" s="28">
        <v>0.37847222222222227</v>
      </c>
      <c r="G269" s="29">
        <v>1.2E-2</v>
      </c>
      <c r="H269" s="55">
        <v>0.5</v>
      </c>
      <c r="I269" s="29">
        <f t="shared" si="102"/>
        <v>6.0000000000000001E-3</v>
      </c>
      <c r="J269" s="27">
        <v>272.14999999999998</v>
      </c>
      <c r="K269" s="43">
        <v>43161</v>
      </c>
      <c r="L269" s="28">
        <v>0.38125000000000003</v>
      </c>
      <c r="M269" s="32">
        <f t="shared" si="103"/>
        <v>-99.999999999909051</v>
      </c>
      <c r="N269" s="27"/>
      <c r="O269" s="27"/>
      <c r="P269" s="30"/>
      <c r="Q269" s="30"/>
      <c r="R269" s="30"/>
      <c r="S269">
        <f>IF(B269="","",VLOOKUP(Cmt(B269),Sheet2!A:B,2,FALSE))</f>
        <v>1000</v>
      </c>
      <c r="T269" s="39">
        <f t="shared" si="112"/>
        <v>9670000</v>
      </c>
      <c r="U269" s="13">
        <f t="shared" si="110"/>
        <v>1.4215361999264977</v>
      </c>
      <c r="W269" s="11"/>
    </row>
    <row r="270" spans="1:23">
      <c r="A270" s="2">
        <v>43161</v>
      </c>
      <c r="B270" s="1" t="s">
        <v>310</v>
      </c>
      <c r="C270" s="1">
        <v>-1</v>
      </c>
      <c r="D270" s="1">
        <v>2857</v>
      </c>
      <c r="E270" s="2">
        <v>43161</v>
      </c>
      <c r="F270" s="26">
        <v>0.42569444444444443</v>
      </c>
      <c r="G270" s="17">
        <v>1.2999999999999999E-2</v>
      </c>
      <c r="H270" s="52">
        <v>1</v>
      </c>
      <c r="I270" s="17">
        <f t="shared" si="102"/>
        <v>1.2999999999999999E-2</v>
      </c>
      <c r="J270" s="1">
        <v>2866.4</v>
      </c>
      <c r="K270" s="2">
        <v>43161</v>
      </c>
      <c r="L270" s="26">
        <v>0.42222222222222222</v>
      </c>
      <c r="M270" s="16">
        <f t="shared" si="103"/>
        <v>-2820.0000000000273</v>
      </c>
      <c r="S270">
        <f>IF(B270="","",VLOOKUP(Cmt(B270),Sheet2!A:B,2,FALSE))</f>
        <v>300</v>
      </c>
      <c r="T270" s="39">
        <f t="shared" si="112"/>
        <v>9670000</v>
      </c>
      <c r="U270" s="13">
        <f t="shared" si="110"/>
        <v>0.97779333411114999</v>
      </c>
      <c r="W270" s="11"/>
    </row>
    <row r="271" spans="1:23" ht="14.25" thickBot="1">
      <c r="A271" s="34"/>
      <c r="B271" s="34" t="s">
        <v>311</v>
      </c>
      <c r="C271" s="34">
        <v>20</v>
      </c>
      <c r="D271" s="34">
        <v>2181</v>
      </c>
      <c r="E271" s="38">
        <v>43161</v>
      </c>
      <c r="F271" s="35">
        <v>0.46458333333333335</v>
      </c>
      <c r="G271" s="36">
        <v>2.1999999999999999E-2</v>
      </c>
      <c r="H271" s="53">
        <v>1</v>
      </c>
      <c r="I271" s="36">
        <f t="shared" si="102"/>
        <v>2.1999999999999999E-2</v>
      </c>
      <c r="J271" s="34">
        <v>2197</v>
      </c>
      <c r="K271" s="38">
        <v>43165</v>
      </c>
      <c r="L271" s="35">
        <v>0.58958333333333335</v>
      </c>
      <c r="M271" s="40">
        <f t="shared" si="103"/>
        <v>3200</v>
      </c>
      <c r="N271" s="34"/>
      <c r="O271" s="34"/>
      <c r="P271" s="37"/>
      <c r="Q271" s="37"/>
      <c r="R271" s="37"/>
      <c r="S271">
        <f>IF(B271="","",VLOOKUP(Cmt(B271),Sheet2!A:B,2,FALSE))</f>
        <v>10</v>
      </c>
      <c r="T271" s="39">
        <f t="shared" si="112"/>
        <v>9670000</v>
      </c>
      <c r="U271" s="13">
        <f t="shared" si="110"/>
        <v>65.028274491823325</v>
      </c>
      <c r="W271" s="11"/>
    </row>
    <row r="272" spans="1:23">
      <c r="A272" s="2">
        <v>43164</v>
      </c>
      <c r="B272" s="1" t="s">
        <v>312</v>
      </c>
      <c r="C272" s="1">
        <v>49</v>
      </c>
      <c r="D272" s="1">
        <v>4018</v>
      </c>
      <c r="E272" s="2">
        <v>43161</v>
      </c>
      <c r="F272" s="26">
        <v>0.88611111111111107</v>
      </c>
      <c r="G272" s="17">
        <v>3.1E-2</v>
      </c>
      <c r="H272" s="52">
        <v>1</v>
      </c>
      <c r="I272" s="17">
        <f t="shared" si="102"/>
        <v>3.1E-2</v>
      </c>
      <c r="J272" s="1">
        <v>3980</v>
      </c>
      <c r="K272" s="2">
        <v>43164</v>
      </c>
      <c r="L272" s="26">
        <v>0.38194444444444442</v>
      </c>
      <c r="M272" s="16">
        <f t="shared" si="103"/>
        <v>-18620</v>
      </c>
      <c r="S272">
        <f>IF(B272="","",VLOOKUP(Cmt(B272),Sheet2!A:B,2,FALSE))</f>
        <v>10</v>
      </c>
      <c r="T272" s="39">
        <f t="shared" si="112"/>
        <v>9670000</v>
      </c>
      <c r="U272" s="13">
        <f t="shared" si="110"/>
        <v>49.737846358055414</v>
      </c>
      <c r="W272" s="11"/>
    </row>
    <row r="273" spans="1:23">
      <c r="B273" s="3" t="s">
        <v>313</v>
      </c>
      <c r="C273" s="3">
        <v>36</v>
      </c>
      <c r="D273" s="3">
        <v>4106</v>
      </c>
      <c r="E273" s="19">
        <v>43161</v>
      </c>
      <c r="F273" s="31">
        <v>0.88611111111111107</v>
      </c>
      <c r="G273" s="18">
        <v>2.3E-2</v>
      </c>
      <c r="H273" s="51">
        <v>1</v>
      </c>
      <c r="I273" s="18">
        <f t="shared" si="102"/>
        <v>2.3E-2</v>
      </c>
      <c r="J273" s="3">
        <v>4069</v>
      </c>
      <c r="K273" s="19">
        <v>43164</v>
      </c>
      <c r="L273" s="31">
        <v>0.38194444444444442</v>
      </c>
      <c r="M273" s="14">
        <f t="shared" si="103"/>
        <v>-13320</v>
      </c>
      <c r="N273" s="3"/>
      <c r="O273" s="3"/>
      <c r="P273" s="4"/>
      <c r="Q273" s="4"/>
      <c r="R273" s="4"/>
      <c r="S273">
        <f>IF(B273="","",VLOOKUP(Cmt(B273),Sheet2!A:B,2,FALSE))</f>
        <v>10</v>
      </c>
      <c r="T273" s="39">
        <f t="shared" si="112"/>
        <v>9670000</v>
      </c>
      <c r="U273" s="13">
        <f t="shared" si="110"/>
        <v>36.111381717811334</v>
      </c>
      <c r="W273" s="11"/>
    </row>
    <row r="274" spans="1:23">
      <c r="B274" s="1" t="s">
        <v>314</v>
      </c>
      <c r="C274" s="1">
        <v>1</v>
      </c>
      <c r="D274" s="1">
        <v>6040</v>
      </c>
      <c r="E274" s="2">
        <v>43164</v>
      </c>
      <c r="F274" s="26">
        <v>0.42430555555555555</v>
      </c>
      <c r="G274" s="17">
        <v>1.4E-2</v>
      </c>
      <c r="H274" s="52">
        <v>1</v>
      </c>
      <c r="I274" s="17">
        <f t="shared" si="102"/>
        <v>1.4E-2</v>
      </c>
      <c r="J274" s="1">
        <v>5986.2</v>
      </c>
      <c r="K274" s="2">
        <v>43164</v>
      </c>
      <c r="L274" s="26">
        <v>0.56736111111111109</v>
      </c>
      <c r="M274" s="16">
        <f t="shared" si="103"/>
        <v>-10760.000000000036</v>
      </c>
      <c r="S274">
        <f>IF(B274="","",VLOOKUP(Cmt(B274),Sheet2!A:B,2,FALSE))</f>
        <v>200</v>
      </c>
      <c r="T274" s="39">
        <v>9591000</v>
      </c>
      <c r="U274" s="13">
        <f t="shared" si="110"/>
        <v>0.74102649006622512</v>
      </c>
      <c r="W274" s="11"/>
    </row>
    <row r="275" spans="1:23">
      <c r="B275" s="1" t="s">
        <v>315</v>
      </c>
      <c r="C275" s="1">
        <v>-5</v>
      </c>
      <c r="D275" s="1">
        <v>52090</v>
      </c>
      <c r="E275" s="2">
        <v>43164</v>
      </c>
      <c r="F275" s="26">
        <v>0.42430555555555555</v>
      </c>
      <c r="G275" s="17">
        <v>1.9E-2</v>
      </c>
      <c r="H275" s="52">
        <v>1</v>
      </c>
      <c r="I275" s="17">
        <f t="shared" ref="I275:I342" si="118">IF(G275="","",G275*H275)</f>
        <v>1.9E-2</v>
      </c>
      <c r="J275" s="1">
        <v>52180</v>
      </c>
      <c r="K275" s="2">
        <v>43165</v>
      </c>
      <c r="L275" s="26">
        <v>0.37986111111111115</v>
      </c>
      <c r="M275" s="16">
        <f t="shared" si="103"/>
        <v>-2250</v>
      </c>
      <c r="S275">
        <f>IF(B275="","",VLOOKUP(Cmt(B275),Sheet2!A:B,2,FALSE))</f>
        <v>5</v>
      </c>
      <c r="T275" s="39">
        <f t="shared" si="112"/>
        <v>9591000</v>
      </c>
      <c r="U275" s="13">
        <f t="shared" si="110"/>
        <v>4.6644653484354004</v>
      </c>
      <c r="W275" s="11"/>
    </row>
    <row r="276" spans="1:23">
      <c r="B276" s="1" t="s">
        <v>316</v>
      </c>
      <c r="C276" s="1">
        <v>-1</v>
      </c>
      <c r="D276" s="1">
        <v>4013</v>
      </c>
      <c r="E276" s="2">
        <v>43164</v>
      </c>
      <c r="F276" s="26">
        <v>0.42430555555555555</v>
      </c>
      <c r="G276" s="17">
        <v>1.0999999999999999E-2</v>
      </c>
      <c r="H276" s="52">
        <v>1</v>
      </c>
      <c r="I276" s="17">
        <f t="shared" si="118"/>
        <v>1.0999999999999999E-2</v>
      </c>
      <c r="J276" s="1">
        <v>3982</v>
      </c>
      <c r="K276" s="2">
        <v>43164</v>
      </c>
      <c r="L276" s="26">
        <v>0.56736111111111109</v>
      </c>
      <c r="M276" s="16">
        <f t="shared" ref="M276:M343" si="119">IF(J276="","",C276*(J276-D276)*S276)</f>
        <v>9300</v>
      </c>
      <c r="S276">
        <f>IF(B276="","",VLOOKUP(Cmt(B276),Sheet2!A:B,2,FALSE))</f>
        <v>300</v>
      </c>
      <c r="T276" s="39">
        <f t="shared" si="112"/>
        <v>9591000</v>
      </c>
      <c r="U276" s="13">
        <f t="shared" si="110"/>
        <v>0.58421795830218459</v>
      </c>
      <c r="W276" s="11"/>
    </row>
    <row r="277" spans="1:23">
      <c r="B277" s="1" t="s">
        <v>317</v>
      </c>
      <c r="C277" s="1">
        <v>-1</v>
      </c>
      <c r="D277" s="1">
        <v>92.54</v>
      </c>
      <c r="E277" s="2">
        <v>43164</v>
      </c>
      <c r="F277" s="26">
        <v>0.42430555555555555</v>
      </c>
      <c r="G277" s="17">
        <v>1.4999999999999999E-2</v>
      </c>
      <c r="H277" s="52">
        <v>1</v>
      </c>
      <c r="I277" s="17">
        <f t="shared" si="118"/>
        <v>1.4999999999999999E-2</v>
      </c>
      <c r="J277" s="1">
        <v>92.55</v>
      </c>
      <c r="K277" s="2">
        <v>43164</v>
      </c>
      <c r="L277" s="26">
        <v>0.56736111111111109</v>
      </c>
      <c r="M277" s="16">
        <f t="shared" si="119"/>
        <v>-99.999999999909051</v>
      </c>
      <c r="S277">
        <f>IF(B277="","",VLOOKUP(Cmt(B277),Sheet2!A:B,2,FALSE))</f>
        <v>10000</v>
      </c>
      <c r="T277" s="39">
        <f t="shared" si="112"/>
        <v>9591000</v>
      </c>
      <c r="U277" s="13">
        <f t="shared" si="110"/>
        <v>1.0364166846768965</v>
      </c>
      <c r="W277" s="11"/>
    </row>
    <row r="278" spans="1:23">
      <c r="B278" s="1" t="s">
        <v>318</v>
      </c>
      <c r="C278" s="1">
        <v>-2</v>
      </c>
      <c r="D278" s="1">
        <v>6460</v>
      </c>
      <c r="E278" s="2">
        <v>43164</v>
      </c>
      <c r="F278" s="26">
        <v>0.56805555555555554</v>
      </c>
      <c r="G278" s="17">
        <v>1E-3</v>
      </c>
      <c r="H278" s="52">
        <v>1</v>
      </c>
      <c r="I278" s="17">
        <f t="shared" si="118"/>
        <v>1E-3</v>
      </c>
      <c r="J278" s="1">
        <v>6308</v>
      </c>
      <c r="K278" s="2">
        <v>43167</v>
      </c>
      <c r="L278" s="26">
        <v>0.59027777777777779</v>
      </c>
      <c r="M278" s="16">
        <f t="shared" si="119"/>
        <v>1520</v>
      </c>
      <c r="S278">
        <f>IF(B278="","",VLOOKUP(Cmt(B278),Sheet2!A:B,2,FALSE))</f>
        <v>5</v>
      </c>
      <c r="T278" s="39">
        <f t="shared" si="112"/>
        <v>9591000</v>
      </c>
      <c r="U278" s="13">
        <f t="shared" si="110"/>
        <v>1.9795665634674922</v>
      </c>
      <c r="W278" s="11"/>
    </row>
    <row r="279" spans="1:23">
      <c r="A279" s="3"/>
      <c r="B279" s="3" t="s">
        <v>319</v>
      </c>
      <c r="C279" s="3">
        <v>-1</v>
      </c>
      <c r="D279" s="3">
        <v>2858.6</v>
      </c>
      <c r="E279" s="19">
        <v>43164</v>
      </c>
      <c r="F279" s="31">
        <v>0.56736111111111109</v>
      </c>
      <c r="G279" s="18">
        <v>1.2999999999999999E-2</v>
      </c>
      <c r="H279" s="51">
        <v>1</v>
      </c>
      <c r="I279" s="18">
        <f t="shared" si="118"/>
        <v>1.2999999999999999E-2</v>
      </c>
      <c r="J279" s="3">
        <v>2879</v>
      </c>
      <c r="K279" s="19">
        <v>43165</v>
      </c>
      <c r="L279" s="31">
        <v>0.56597222222222221</v>
      </c>
      <c r="M279" s="14">
        <f t="shared" si="119"/>
        <v>-6120.0000000000273</v>
      </c>
      <c r="N279" s="3"/>
      <c r="O279" s="3"/>
      <c r="P279" s="4"/>
      <c r="Q279" s="4"/>
      <c r="R279" s="4"/>
      <c r="S279">
        <f>IF(B279="","",VLOOKUP(Cmt(B279),Sheet2!A:B,2,FALSE))</f>
        <v>300</v>
      </c>
      <c r="T279" s="39">
        <f t="shared" si="112"/>
        <v>9591000</v>
      </c>
      <c r="U279" s="13">
        <f t="shared" si="110"/>
        <v>0.96926234287180202</v>
      </c>
      <c r="W279" s="11"/>
    </row>
    <row r="280" spans="1:23">
      <c r="A280" s="43">
        <v>43165</v>
      </c>
      <c r="B280" s="27" t="s">
        <v>23</v>
      </c>
      <c r="C280" s="27">
        <v>-15</v>
      </c>
      <c r="D280" s="27">
        <v>101930</v>
      </c>
      <c r="E280" s="43">
        <v>43164</v>
      </c>
      <c r="F280" s="28">
        <v>0.88263888888888886</v>
      </c>
      <c r="G280" s="29">
        <v>2.4E-2</v>
      </c>
      <c r="H280" s="55">
        <v>1</v>
      </c>
      <c r="I280" s="29">
        <f t="shared" si="118"/>
        <v>2.4E-2</v>
      </c>
      <c r="J280" s="27">
        <v>102620</v>
      </c>
      <c r="K280" s="43">
        <v>43165</v>
      </c>
      <c r="L280" s="28">
        <v>0.58958333333333335</v>
      </c>
      <c r="M280" s="32">
        <f t="shared" si="119"/>
        <v>-10350</v>
      </c>
      <c r="N280" s="27"/>
      <c r="O280" s="27"/>
      <c r="P280" s="30"/>
      <c r="Q280" s="30"/>
      <c r="R280" s="30"/>
      <c r="S280">
        <f>IF(B280="","",VLOOKUP(Cmt(B280),Sheet2!A:B,2,FALSE))</f>
        <v>1</v>
      </c>
      <c r="T280" s="39">
        <f t="shared" si="112"/>
        <v>9591000</v>
      </c>
      <c r="U280" s="13">
        <f t="shared" si="110"/>
        <v>15.055037771019327</v>
      </c>
      <c r="W280" s="11"/>
    </row>
    <row r="281" spans="1:23">
      <c r="A281" s="2">
        <v>43166</v>
      </c>
      <c r="B281" s="13" t="s">
        <v>330</v>
      </c>
      <c r="C281" s="13">
        <v>1</v>
      </c>
      <c r="D281" s="13">
        <v>6101.6</v>
      </c>
      <c r="E281" s="21">
        <v>43166</v>
      </c>
      <c r="F281" s="33">
        <v>0.37847222222222227</v>
      </c>
      <c r="G281" s="20">
        <v>1.4E-2</v>
      </c>
      <c r="H281" s="54">
        <v>1</v>
      </c>
      <c r="I281" s="20">
        <f t="shared" si="118"/>
        <v>1.4E-2</v>
      </c>
      <c r="J281" s="13">
        <v>6057.4</v>
      </c>
      <c r="K281" s="21">
        <v>43167</v>
      </c>
      <c r="L281" s="33">
        <v>0.4201388888888889</v>
      </c>
      <c r="M281" s="16">
        <f>IF(J281="","",C281*(J281-D281)*S281)</f>
        <v>-8840.0000000001455</v>
      </c>
      <c r="N281" s="13"/>
      <c r="O281" s="13"/>
      <c r="P281" s="22"/>
      <c r="Q281" s="22"/>
      <c r="R281" s="22"/>
      <c r="S281">
        <f>IF(B281="","",VLOOKUP(Cmt(B281),Sheet2!A:B,2,FALSE))</f>
        <v>200</v>
      </c>
      <c r="T281" s="39">
        <f t="shared" ref="T281" si="120">IF(S281="","",T280)</f>
        <v>9591000</v>
      </c>
      <c r="U281" s="13">
        <f t="shared" ref="U281" si="121">IF(S281="","",T281*I281/(D281*S281*0.15))</f>
        <v>0.73354529959354919</v>
      </c>
      <c r="W281" s="11"/>
    </row>
    <row r="282" spans="1:23">
      <c r="B282" s="1" t="s">
        <v>320</v>
      </c>
      <c r="C282" s="1">
        <v>-40</v>
      </c>
      <c r="D282" s="1">
        <v>2654</v>
      </c>
      <c r="E282" s="2">
        <v>43166</v>
      </c>
      <c r="F282" s="26">
        <v>0.40972222222222227</v>
      </c>
      <c r="G282" s="17">
        <v>1.7000000000000001E-2</v>
      </c>
      <c r="H282" s="52">
        <v>1</v>
      </c>
      <c r="I282" s="17">
        <f t="shared" si="118"/>
        <v>1.7000000000000001E-2</v>
      </c>
      <c r="J282" s="1">
        <v>2679</v>
      </c>
      <c r="K282" s="2">
        <v>43166</v>
      </c>
      <c r="L282" s="26">
        <v>0.61805555555555558</v>
      </c>
      <c r="M282" s="16">
        <f t="shared" si="119"/>
        <v>-10000</v>
      </c>
      <c r="S282">
        <f>IF(B282="","",VLOOKUP(Cmt(B282),Sheet2!A:B,2,FALSE))</f>
        <v>10</v>
      </c>
      <c r="T282" s="39">
        <f>IF(S282="","",T280)</f>
        <v>9591000</v>
      </c>
      <c r="U282" s="13">
        <f t="shared" si="110"/>
        <v>40.956292388847025</v>
      </c>
      <c r="W282" s="11"/>
    </row>
    <row r="283" spans="1:23">
      <c r="B283" s="1" t="s">
        <v>321</v>
      </c>
      <c r="C283" s="1">
        <v>-40</v>
      </c>
      <c r="D283" s="1">
        <v>2710</v>
      </c>
      <c r="E283" s="2">
        <v>43166</v>
      </c>
      <c r="F283" s="26">
        <v>0.40972222222222227</v>
      </c>
      <c r="G283" s="17">
        <v>1.7000000000000001E-2</v>
      </c>
      <c r="H283" s="52">
        <v>1</v>
      </c>
      <c r="I283" s="17">
        <f t="shared" si="118"/>
        <v>1.7000000000000001E-2</v>
      </c>
      <c r="J283" s="1">
        <v>2728</v>
      </c>
      <c r="K283" s="2">
        <v>43166</v>
      </c>
      <c r="L283" s="26">
        <v>0.93333333333333324</v>
      </c>
      <c r="M283" s="16">
        <f t="shared" si="119"/>
        <v>-7200</v>
      </c>
      <c r="S283">
        <f>IF(B283="","",VLOOKUP(Cmt(B283),Sheet2!A:B,2,FALSE))</f>
        <v>10</v>
      </c>
      <c r="T283" s="39">
        <f t="shared" si="112"/>
        <v>9591000</v>
      </c>
      <c r="U283" s="13">
        <f t="shared" si="110"/>
        <v>40.109963099630995</v>
      </c>
      <c r="W283" s="11"/>
    </row>
    <row r="284" spans="1:23">
      <c r="B284" s="1" t="s">
        <v>322</v>
      </c>
      <c r="C284" s="1">
        <v>-15</v>
      </c>
      <c r="D284" s="1">
        <v>102650</v>
      </c>
      <c r="E284" s="2">
        <v>43166</v>
      </c>
      <c r="F284" s="26">
        <v>0.4236111111111111</v>
      </c>
      <c r="G284" s="17">
        <v>2.4E-2</v>
      </c>
      <c r="H284" s="52">
        <v>1</v>
      </c>
      <c r="I284" s="17">
        <f t="shared" si="118"/>
        <v>2.4E-2</v>
      </c>
      <c r="J284" s="1">
        <v>102690</v>
      </c>
      <c r="K284" s="2">
        <v>43166</v>
      </c>
      <c r="L284" s="26">
        <v>0.46527777777777773</v>
      </c>
      <c r="M284" s="16">
        <f t="shared" si="119"/>
        <v>-600</v>
      </c>
      <c r="S284">
        <f>IF(B284="","",VLOOKUP(Cmt(B284),Sheet2!A:B,2,FALSE))</f>
        <v>1</v>
      </c>
      <c r="T284" s="39">
        <v>9565000</v>
      </c>
      <c r="U284" s="13">
        <f t="shared" si="110"/>
        <v>14.908913784705309</v>
      </c>
      <c r="W284" s="11"/>
    </row>
    <row r="285" spans="1:23">
      <c r="B285" s="1" t="s">
        <v>323</v>
      </c>
      <c r="C285" s="1">
        <v>36</v>
      </c>
      <c r="D285" s="1">
        <v>3146</v>
      </c>
      <c r="E285" s="2">
        <v>43166</v>
      </c>
      <c r="F285" s="26">
        <v>0.56597222222222221</v>
      </c>
      <c r="G285" s="17">
        <v>1.7999999999999999E-2</v>
      </c>
      <c r="H285" s="52">
        <v>1</v>
      </c>
      <c r="I285" s="17">
        <f t="shared" si="118"/>
        <v>1.7999999999999999E-2</v>
      </c>
      <c r="J285" s="1">
        <v>3100</v>
      </c>
      <c r="K285" s="2">
        <v>43167</v>
      </c>
      <c r="L285" s="26">
        <v>0.38194444444444442</v>
      </c>
      <c r="M285" s="16">
        <f t="shared" si="119"/>
        <v>-16560</v>
      </c>
      <c r="S285">
        <f>IF(B285="","",VLOOKUP(Cmt(B285),Sheet2!A:B,2,FALSE))</f>
        <v>10</v>
      </c>
      <c r="T285" s="39">
        <f t="shared" si="112"/>
        <v>9565000</v>
      </c>
      <c r="U285" s="13">
        <f t="shared" ref="U285:U351" si="122">IF(S285="","",T285*I285/(D285*S285*0.15))</f>
        <v>36.484424666242845</v>
      </c>
      <c r="W285" s="11"/>
    </row>
    <row r="286" spans="1:23">
      <c r="B286" s="1" t="s">
        <v>322</v>
      </c>
      <c r="C286" s="1">
        <v>-15</v>
      </c>
      <c r="D286" s="1">
        <v>102450</v>
      </c>
      <c r="E286" s="2">
        <v>43166</v>
      </c>
      <c r="F286" s="26">
        <v>0.56597222222222221</v>
      </c>
      <c r="G286" s="17">
        <v>2.4E-2</v>
      </c>
      <c r="H286" s="52">
        <v>1</v>
      </c>
      <c r="I286" s="17">
        <f t="shared" si="118"/>
        <v>2.4E-2</v>
      </c>
      <c r="J286" s="1">
        <v>102550</v>
      </c>
      <c r="K286" s="2">
        <v>43167</v>
      </c>
      <c r="L286" s="26">
        <v>0.38194444444444442</v>
      </c>
      <c r="M286" s="16">
        <f t="shared" si="119"/>
        <v>-1500</v>
      </c>
      <c r="S286">
        <f>IF(B286="","",VLOOKUP(Cmt(B286),Sheet2!A:B,2,FALSE))</f>
        <v>1</v>
      </c>
      <c r="T286" s="39">
        <f t="shared" si="112"/>
        <v>9565000</v>
      </c>
      <c r="U286" s="13">
        <f t="shared" si="122"/>
        <v>14.938018545632016</v>
      </c>
      <c r="W286" s="11"/>
    </row>
    <row r="287" spans="1:23">
      <c r="B287" s="1" t="s">
        <v>324</v>
      </c>
      <c r="C287" s="1">
        <v>-5</v>
      </c>
      <c r="D287" s="1">
        <v>52310</v>
      </c>
      <c r="E287" s="2">
        <v>43166</v>
      </c>
      <c r="F287" s="26">
        <v>0.61805555555555558</v>
      </c>
      <c r="G287" s="17">
        <v>2.4E-2</v>
      </c>
      <c r="H287" s="52">
        <v>1</v>
      </c>
      <c r="I287" s="17">
        <f t="shared" si="118"/>
        <v>2.4E-2</v>
      </c>
      <c r="J287" s="1">
        <v>52040</v>
      </c>
      <c r="K287" s="2">
        <v>43171</v>
      </c>
      <c r="L287" s="26">
        <v>0.38125000000000003</v>
      </c>
      <c r="M287" s="16">
        <f t="shared" si="119"/>
        <v>6750</v>
      </c>
      <c r="S287" s="22">
        <f>IF(B287="","",VLOOKUP(Cmt(B287),Sheet2!A:B,2,FALSE))</f>
        <v>5</v>
      </c>
      <c r="T287" s="39">
        <f t="shared" ref="T287:T353" si="123">IF(S287="","",T286)</f>
        <v>9565000</v>
      </c>
      <c r="U287" s="13">
        <f t="shared" si="122"/>
        <v>5.8512712674440834</v>
      </c>
      <c r="W287" s="11"/>
    </row>
    <row r="288" spans="1:23">
      <c r="A288" s="3"/>
      <c r="B288" s="3" t="s">
        <v>325</v>
      </c>
      <c r="C288" s="3">
        <v>-1</v>
      </c>
      <c r="D288" s="3">
        <v>2870.2</v>
      </c>
      <c r="E288" s="19">
        <v>43166</v>
      </c>
      <c r="F288" s="31">
        <v>0.61805555555555558</v>
      </c>
      <c r="G288" s="18">
        <v>1.2999999999999999E-2</v>
      </c>
      <c r="H288" s="51">
        <v>1</v>
      </c>
      <c r="I288" s="18">
        <f t="shared" si="118"/>
        <v>1.2999999999999999E-2</v>
      </c>
      <c r="J288" s="3">
        <v>2885.2</v>
      </c>
      <c r="K288" s="19">
        <v>43167</v>
      </c>
      <c r="L288" s="31">
        <v>0.4604166666666667</v>
      </c>
      <c r="M288" s="14">
        <f t="shared" si="119"/>
        <v>-4500</v>
      </c>
      <c r="N288" s="3"/>
      <c r="O288" s="3"/>
      <c r="P288" s="4"/>
      <c r="Q288" s="4"/>
      <c r="R288" s="4"/>
      <c r="S288" s="22">
        <f>IF(B288="","",VLOOKUP(Cmt(B288),Sheet2!A:B,2,FALSE))</f>
        <v>300</v>
      </c>
      <c r="T288" s="39">
        <f t="shared" si="123"/>
        <v>9565000</v>
      </c>
      <c r="U288" s="13">
        <f t="shared" si="122"/>
        <v>0.96272811031364447</v>
      </c>
      <c r="W288" s="11"/>
    </row>
    <row r="289" spans="1:23">
      <c r="A289" s="2">
        <v>43167</v>
      </c>
      <c r="B289" s="1" t="s">
        <v>326</v>
      </c>
      <c r="C289" s="1">
        <v>-31</v>
      </c>
      <c r="D289" s="1">
        <v>3870</v>
      </c>
      <c r="E289" s="2">
        <v>43167</v>
      </c>
      <c r="F289" s="26">
        <v>0.39930555555555558</v>
      </c>
      <c r="G289" s="17">
        <v>1.9E-2</v>
      </c>
      <c r="H289" s="52">
        <v>1</v>
      </c>
      <c r="I289" s="17">
        <f t="shared" si="118"/>
        <v>1.9E-2</v>
      </c>
      <c r="J289" s="1">
        <v>3744</v>
      </c>
      <c r="K289" s="2">
        <v>43171</v>
      </c>
      <c r="L289" s="26">
        <v>0.38125000000000003</v>
      </c>
      <c r="M289" s="16">
        <f t="shared" si="119"/>
        <v>39060</v>
      </c>
      <c r="S289" s="22">
        <f>IF(B289="","",VLOOKUP(Cmt(B289),Sheet2!A:B,2,FALSE))</f>
        <v>10</v>
      </c>
      <c r="T289" s="39">
        <f t="shared" si="123"/>
        <v>9565000</v>
      </c>
      <c r="U289" s="13">
        <f t="shared" si="122"/>
        <v>31.306632213608957</v>
      </c>
      <c r="W289" s="11"/>
    </row>
    <row r="290" spans="1:23">
      <c r="B290" s="1" t="s">
        <v>327</v>
      </c>
      <c r="C290" s="1">
        <v>-13</v>
      </c>
      <c r="D290" s="1">
        <v>25310</v>
      </c>
      <c r="E290" s="2">
        <v>43167</v>
      </c>
      <c r="F290" s="26">
        <v>0.39930555555555558</v>
      </c>
      <c r="G290" s="17">
        <v>2.7E-2</v>
      </c>
      <c r="H290" s="52">
        <v>1</v>
      </c>
      <c r="I290" s="17">
        <f t="shared" si="118"/>
        <v>2.7E-2</v>
      </c>
      <c r="J290" s="1">
        <v>25100</v>
      </c>
      <c r="K290" s="2">
        <v>43171</v>
      </c>
      <c r="L290" s="26">
        <v>0.38125000000000003</v>
      </c>
      <c r="M290" s="16">
        <f t="shared" si="119"/>
        <v>13650</v>
      </c>
      <c r="S290" s="22">
        <f>IF(B290="","",VLOOKUP(Cmt(B290),Sheet2!A:B,2,FALSE))</f>
        <v>5</v>
      </c>
      <c r="T290" s="39">
        <f t="shared" si="123"/>
        <v>9565000</v>
      </c>
      <c r="U290" s="13">
        <f t="shared" si="122"/>
        <v>13.604899249308573</v>
      </c>
      <c r="W290" s="11"/>
    </row>
    <row r="291" spans="1:23">
      <c r="B291" s="1" t="s">
        <v>328</v>
      </c>
      <c r="C291" s="1">
        <v>-45</v>
      </c>
      <c r="D291" s="1">
        <v>3956</v>
      </c>
      <c r="E291" s="2">
        <v>43167</v>
      </c>
      <c r="F291" s="26">
        <v>0.39930555555555558</v>
      </c>
      <c r="G291" s="17">
        <v>2.8000000000000001E-2</v>
      </c>
      <c r="H291" s="52">
        <v>1</v>
      </c>
      <c r="I291" s="17">
        <f t="shared" si="118"/>
        <v>2.8000000000000001E-2</v>
      </c>
      <c r="J291" s="1">
        <v>3843</v>
      </c>
      <c r="K291" s="2">
        <v>43171</v>
      </c>
      <c r="L291" s="26">
        <v>0.38125000000000003</v>
      </c>
      <c r="M291" s="16">
        <f t="shared" si="119"/>
        <v>50850</v>
      </c>
      <c r="S291" s="22">
        <f>IF(B291="","",VLOOKUP(Cmt(B291),Sheet2!A:B,2,FALSE))</f>
        <v>10</v>
      </c>
      <c r="T291" s="39">
        <f t="shared" si="123"/>
        <v>9565000</v>
      </c>
      <c r="U291" s="13">
        <f t="shared" si="122"/>
        <v>45.13313110886417</v>
      </c>
      <c r="W291" s="11"/>
    </row>
    <row r="292" spans="1:23">
      <c r="B292" s="1" t="s">
        <v>329</v>
      </c>
      <c r="C292" s="1">
        <v>-11</v>
      </c>
      <c r="D292" s="1">
        <v>5144</v>
      </c>
      <c r="E292" s="2">
        <v>43167</v>
      </c>
      <c r="F292" s="26">
        <v>0.41944444444444445</v>
      </c>
      <c r="G292" s="17">
        <v>8.9999999999999993E-3</v>
      </c>
      <c r="H292" s="52">
        <v>1</v>
      </c>
      <c r="I292" s="17">
        <f t="shared" si="118"/>
        <v>8.9999999999999993E-3</v>
      </c>
      <c r="J292" s="1">
        <v>5102</v>
      </c>
      <c r="K292" s="2">
        <v>43171</v>
      </c>
      <c r="L292" s="26">
        <v>0.38125000000000003</v>
      </c>
      <c r="M292" s="16">
        <f t="shared" si="119"/>
        <v>4620</v>
      </c>
      <c r="S292" s="22">
        <f>IF(B292="","",VLOOKUP(Cmt(B292),Sheet2!A:B,2,FALSE))</f>
        <v>10</v>
      </c>
      <c r="T292" s="39">
        <f t="shared" si="123"/>
        <v>9565000</v>
      </c>
      <c r="U292" s="13">
        <f t="shared" si="122"/>
        <v>11.156687402799378</v>
      </c>
      <c r="W292" s="11"/>
    </row>
    <row r="293" spans="1:23">
      <c r="B293" s="1" t="s">
        <v>331</v>
      </c>
      <c r="C293" s="1">
        <v>-20</v>
      </c>
      <c r="D293" s="1">
        <v>9420</v>
      </c>
      <c r="E293" s="2">
        <v>43167</v>
      </c>
      <c r="F293" s="26">
        <v>0.46180555555555558</v>
      </c>
      <c r="G293" s="17">
        <v>1.4999999999999999E-2</v>
      </c>
      <c r="H293" s="52">
        <v>1</v>
      </c>
      <c r="I293" s="17">
        <f t="shared" si="118"/>
        <v>1.4999999999999999E-2</v>
      </c>
      <c r="J293" s="1">
        <v>9350</v>
      </c>
      <c r="K293" s="2">
        <v>43171</v>
      </c>
      <c r="L293" s="26">
        <v>0.38125000000000003</v>
      </c>
      <c r="M293" s="16">
        <f t="shared" si="119"/>
        <v>7000</v>
      </c>
      <c r="S293" s="22">
        <f>IF(B293="","",VLOOKUP(Cmt(B293),Sheet2!A:B,2,FALSE))</f>
        <v>5</v>
      </c>
      <c r="T293" s="39">
        <f t="shared" si="123"/>
        <v>9565000</v>
      </c>
      <c r="U293" s="13">
        <f t="shared" si="122"/>
        <v>20.307855626326965</v>
      </c>
      <c r="W293" s="11"/>
    </row>
    <row r="294" spans="1:23">
      <c r="B294" s="1" t="s">
        <v>332</v>
      </c>
      <c r="C294" s="1">
        <v>-15</v>
      </c>
      <c r="D294" s="1">
        <v>101010</v>
      </c>
      <c r="E294" s="2">
        <v>43167</v>
      </c>
      <c r="F294" s="26">
        <v>0.58680555555555558</v>
      </c>
      <c r="G294" s="17">
        <v>2.4E-2</v>
      </c>
      <c r="H294" s="52">
        <v>1</v>
      </c>
      <c r="I294" s="17">
        <f t="shared" si="118"/>
        <v>2.4E-2</v>
      </c>
      <c r="J294" s="1">
        <v>100560</v>
      </c>
      <c r="K294" s="2">
        <v>43168</v>
      </c>
      <c r="L294" s="26">
        <v>0.58958333333333335</v>
      </c>
      <c r="M294" s="16">
        <f t="shared" si="119"/>
        <v>6750</v>
      </c>
      <c r="S294" s="22">
        <f>IF(B294="","",VLOOKUP(Cmt(B294),Sheet2!A:B,2,FALSE))</f>
        <v>1</v>
      </c>
      <c r="T294" s="39">
        <f t="shared" si="123"/>
        <v>9565000</v>
      </c>
      <c r="U294" s="13">
        <f t="shared" si="122"/>
        <v>15.150975150975151</v>
      </c>
      <c r="W294" s="11"/>
    </row>
    <row r="295" spans="1:23">
      <c r="A295" s="3"/>
      <c r="B295" s="3" t="s">
        <v>330</v>
      </c>
      <c r="C295" s="3">
        <v>1</v>
      </c>
      <c r="D295" s="3">
        <v>6099</v>
      </c>
      <c r="E295" s="19">
        <v>43167</v>
      </c>
      <c r="F295" s="31">
        <v>0.62013888888888891</v>
      </c>
      <c r="G295" s="18">
        <v>1.4E-2</v>
      </c>
      <c r="H295" s="51">
        <v>1</v>
      </c>
      <c r="I295" s="18">
        <f t="shared" ref="I295" si="124">IF(G295="","",G295*H295)</f>
        <v>1.4E-2</v>
      </c>
      <c r="J295" s="89">
        <v>6204.8</v>
      </c>
      <c r="K295" s="19">
        <v>43173</v>
      </c>
      <c r="L295" s="31">
        <v>0.47361111111111115</v>
      </c>
      <c r="M295" s="14">
        <f t="shared" si="119"/>
        <v>21160.000000000036</v>
      </c>
      <c r="N295" s="3"/>
      <c r="O295" s="3"/>
      <c r="P295" s="4"/>
      <c r="Q295" s="4"/>
      <c r="R295" s="4"/>
      <c r="S295" s="22">
        <f>IF(B295="","",VLOOKUP(Cmt(B295),Sheet2!A:B,2,FALSE))</f>
        <v>200</v>
      </c>
      <c r="T295" s="39">
        <f t="shared" si="123"/>
        <v>9565000</v>
      </c>
      <c r="U295" s="13">
        <f t="shared" si="122"/>
        <v>0.7318686123408209</v>
      </c>
      <c r="W295" s="11"/>
    </row>
    <row r="296" spans="1:23">
      <c r="A296" s="2">
        <v>43168</v>
      </c>
      <c r="B296" s="1" t="s">
        <v>333</v>
      </c>
      <c r="C296" s="1">
        <v>-16</v>
      </c>
      <c r="D296" s="1">
        <v>6272</v>
      </c>
      <c r="E296" s="2">
        <v>43168</v>
      </c>
      <c r="F296" s="26">
        <v>0.38263888888888892</v>
      </c>
      <c r="G296" s="17">
        <v>8.0000000000000002E-3</v>
      </c>
      <c r="H296" s="52">
        <v>1</v>
      </c>
      <c r="I296" s="17">
        <f t="shared" si="118"/>
        <v>8.0000000000000002E-3</v>
      </c>
      <c r="J296" s="1">
        <v>6160</v>
      </c>
      <c r="K296" s="2">
        <v>43171</v>
      </c>
      <c r="L296" s="26">
        <v>0.4694444444444445</v>
      </c>
      <c r="M296" s="16">
        <f t="shared" si="119"/>
        <v>8960</v>
      </c>
      <c r="S296" s="22">
        <f>IF(B296="","",VLOOKUP(Cmt(B296),Sheet2!A:B,2,FALSE))</f>
        <v>5</v>
      </c>
      <c r="T296" s="39">
        <f t="shared" si="123"/>
        <v>9565000</v>
      </c>
      <c r="U296" s="13">
        <f t="shared" si="122"/>
        <v>16.267006802721088</v>
      </c>
      <c r="W296" s="11"/>
    </row>
    <row r="297" spans="1:23">
      <c r="B297" s="1" t="s">
        <v>334</v>
      </c>
      <c r="C297" s="1">
        <v>-12</v>
      </c>
      <c r="D297" s="1">
        <v>2059</v>
      </c>
      <c r="E297" s="2">
        <v>43168</v>
      </c>
      <c r="F297" s="26">
        <v>0.46319444444444446</v>
      </c>
      <c r="G297" s="17">
        <v>3.9E-2</v>
      </c>
      <c r="H297" s="52">
        <v>1</v>
      </c>
      <c r="I297" s="17">
        <f t="shared" si="118"/>
        <v>3.9E-2</v>
      </c>
      <c r="J297" s="1">
        <v>2068</v>
      </c>
      <c r="K297" s="2">
        <v>43168</v>
      </c>
      <c r="L297" s="26">
        <v>0.96875</v>
      </c>
      <c r="M297" s="16">
        <f t="shared" si="119"/>
        <v>-10800</v>
      </c>
      <c r="S297" s="22">
        <f>IF(B297="","",VLOOKUP(Cmt(B297),Sheet2!A:B,2,FALSE))</f>
        <v>100</v>
      </c>
      <c r="T297" s="39">
        <f t="shared" si="123"/>
        <v>9565000</v>
      </c>
      <c r="U297" s="13">
        <f t="shared" si="122"/>
        <v>12.078193297717338</v>
      </c>
      <c r="W297" s="11"/>
    </row>
    <row r="298" spans="1:23">
      <c r="B298" s="1" t="s">
        <v>335</v>
      </c>
      <c r="C298" s="1">
        <v>-40</v>
      </c>
      <c r="D298" s="1">
        <v>2706</v>
      </c>
      <c r="E298" s="2">
        <v>43168</v>
      </c>
      <c r="F298" s="26">
        <v>0.57638888888888895</v>
      </c>
      <c r="G298" s="17">
        <v>1.7000000000000001E-2</v>
      </c>
      <c r="H298" s="52">
        <v>1</v>
      </c>
      <c r="I298" s="17">
        <f t="shared" si="118"/>
        <v>1.7000000000000001E-2</v>
      </c>
      <c r="J298" s="1">
        <v>2740</v>
      </c>
      <c r="K298" s="2">
        <v>43171</v>
      </c>
      <c r="L298" s="26">
        <v>0.375</v>
      </c>
      <c r="M298" s="16">
        <f t="shared" si="119"/>
        <v>-13600</v>
      </c>
      <c r="S298" s="22">
        <f>IF(B298="","",VLOOKUP(Cmt(B298),Sheet2!A:B,2,FALSE))</f>
        <v>10</v>
      </c>
      <c r="T298" s="39">
        <f t="shared" si="123"/>
        <v>9565000</v>
      </c>
      <c r="U298" s="13">
        <f t="shared" si="122"/>
        <v>40.060359694506033</v>
      </c>
      <c r="W298" s="11"/>
    </row>
    <row r="299" spans="1:23">
      <c r="B299" s="1" t="s">
        <v>336</v>
      </c>
      <c r="C299" s="1">
        <v>-20</v>
      </c>
      <c r="D299" s="1">
        <v>14075</v>
      </c>
      <c r="E299" s="2">
        <v>43168</v>
      </c>
      <c r="F299" s="26">
        <v>0.62013888888888891</v>
      </c>
      <c r="G299" s="17">
        <v>2.1999999999999999E-2</v>
      </c>
      <c r="H299" s="52">
        <v>1</v>
      </c>
      <c r="I299" s="17">
        <f t="shared" si="118"/>
        <v>2.1999999999999999E-2</v>
      </c>
      <c r="J299" s="1">
        <v>14185</v>
      </c>
      <c r="K299" s="2">
        <v>43171</v>
      </c>
      <c r="L299" s="26">
        <v>0.38125000000000003</v>
      </c>
      <c r="M299" s="16">
        <f t="shared" si="119"/>
        <v>-11000</v>
      </c>
      <c r="S299" s="22">
        <f>IF(B299="","",VLOOKUP(Cmt(B299),Sheet2!A:B,2,FALSE))</f>
        <v>5</v>
      </c>
      <c r="T299" s="39">
        <f t="shared" si="123"/>
        <v>9565000</v>
      </c>
      <c r="U299" s="13">
        <f t="shared" si="122"/>
        <v>19.934162226169331</v>
      </c>
      <c r="W299" s="11"/>
    </row>
    <row r="300" spans="1:23" ht="14.25" thickBot="1">
      <c r="A300" s="34"/>
      <c r="B300" s="34" t="s">
        <v>337</v>
      </c>
      <c r="C300" s="34">
        <v>-15</v>
      </c>
      <c r="D300" s="34">
        <v>100240</v>
      </c>
      <c r="E300" s="38">
        <v>43168</v>
      </c>
      <c r="F300" s="35">
        <v>0.62013888888888891</v>
      </c>
      <c r="G300" s="36">
        <v>2.4E-2</v>
      </c>
      <c r="H300" s="53">
        <v>1</v>
      </c>
      <c r="I300" s="36">
        <f t="shared" si="118"/>
        <v>2.4E-2</v>
      </c>
      <c r="J300" s="34">
        <v>101240</v>
      </c>
      <c r="K300" s="38">
        <v>43168</v>
      </c>
      <c r="L300" s="35">
        <v>0.93472222222222223</v>
      </c>
      <c r="M300" s="40">
        <f t="shared" si="119"/>
        <v>-15000</v>
      </c>
      <c r="N300" s="34"/>
      <c r="O300" s="34"/>
      <c r="P300" s="37"/>
      <c r="Q300" s="37"/>
      <c r="R300" s="37"/>
      <c r="S300" s="22">
        <f>IF(B300="","",VLOOKUP(Cmt(B300),Sheet2!A:B,2,FALSE))</f>
        <v>1</v>
      </c>
      <c r="T300" s="39">
        <f t="shared" si="123"/>
        <v>9565000</v>
      </c>
      <c r="U300" s="13">
        <f t="shared" si="122"/>
        <v>15.267358339984039</v>
      </c>
      <c r="W300" s="11"/>
    </row>
    <row r="301" spans="1:23">
      <c r="A301" s="70">
        <v>43171</v>
      </c>
      <c r="B301" s="69"/>
      <c r="C301" s="69"/>
      <c r="D301" s="69"/>
      <c r="E301" s="69"/>
      <c r="F301" s="69"/>
      <c r="G301" s="72"/>
      <c r="H301" s="73"/>
      <c r="I301" s="72" t="str">
        <f t="shared" si="118"/>
        <v/>
      </c>
      <c r="J301" s="69"/>
      <c r="K301" s="69"/>
      <c r="L301" s="69"/>
      <c r="M301" s="74" t="str">
        <f t="shared" si="119"/>
        <v/>
      </c>
      <c r="N301" s="69"/>
      <c r="O301" s="69"/>
      <c r="P301" s="75"/>
      <c r="Q301" s="75"/>
      <c r="R301" s="75"/>
      <c r="S301" t="str">
        <f>IF(B301="","",VLOOKUP(Cmt(B301),Sheet2!A:B,2,FALSE))</f>
        <v/>
      </c>
      <c r="T301" s="39" t="str">
        <f t="shared" si="123"/>
        <v/>
      </c>
      <c r="U301" s="13" t="str">
        <f t="shared" si="122"/>
        <v/>
      </c>
      <c r="W301" s="11"/>
    </row>
    <row r="302" spans="1:23">
      <c r="A302" s="19">
        <v>43172</v>
      </c>
      <c r="B302" s="3" t="s">
        <v>352</v>
      </c>
      <c r="C302" s="3">
        <v>1</v>
      </c>
      <c r="D302" s="3">
        <v>4113</v>
      </c>
      <c r="E302" s="19">
        <v>43172</v>
      </c>
      <c r="F302" s="31">
        <v>0.40277777777777773</v>
      </c>
      <c r="G302" s="18">
        <v>0.02</v>
      </c>
      <c r="H302" s="51">
        <v>1</v>
      </c>
      <c r="I302" s="18">
        <f t="shared" si="118"/>
        <v>0.02</v>
      </c>
      <c r="J302" s="3">
        <v>4104</v>
      </c>
      <c r="K302" s="19">
        <v>43172</v>
      </c>
      <c r="L302" s="31">
        <v>0.47500000000000003</v>
      </c>
      <c r="M302" s="14">
        <f t="shared" si="119"/>
        <v>-2700</v>
      </c>
      <c r="N302" s="3"/>
      <c r="O302" s="3"/>
      <c r="P302" s="4"/>
      <c r="Q302" s="4"/>
      <c r="R302" s="4"/>
      <c r="S302">
        <f>IF(B302="","",VLOOKUP(Cmt(B302),Sheet2!A:B,2,FALSE))</f>
        <v>300</v>
      </c>
      <c r="T302" s="39">
        <v>9620000</v>
      </c>
      <c r="U302" s="13">
        <f t="shared" si="122"/>
        <v>1.0395223816084502</v>
      </c>
      <c r="W302" s="11"/>
    </row>
    <row r="303" spans="1:23">
      <c r="A303" s="43">
        <v>43173</v>
      </c>
      <c r="B303" s="27" t="s">
        <v>353</v>
      </c>
      <c r="C303" s="27">
        <v>21</v>
      </c>
      <c r="D303" s="27">
        <v>2744</v>
      </c>
      <c r="E303" s="43">
        <v>43172</v>
      </c>
      <c r="F303" s="28">
        <v>0.9194444444444444</v>
      </c>
      <c r="G303" s="29">
        <v>8.9999999999999993E-3</v>
      </c>
      <c r="H303" s="55">
        <v>1</v>
      </c>
      <c r="I303" s="29">
        <f t="shared" si="118"/>
        <v>8.9999999999999993E-3</v>
      </c>
      <c r="J303" s="27">
        <v>2741</v>
      </c>
      <c r="K303" s="43">
        <v>43174</v>
      </c>
      <c r="L303" s="28">
        <v>0.38958333333333334</v>
      </c>
      <c r="M303" s="32">
        <f t="shared" si="119"/>
        <v>-630</v>
      </c>
      <c r="N303" s="27"/>
      <c r="O303" s="27"/>
      <c r="P303" s="30"/>
      <c r="Q303" s="30"/>
      <c r="R303" s="30"/>
      <c r="S303">
        <f>IF(B303="","",VLOOKUP(Cmt(B303),Sheet2!A:B,2,FALSE))</f>
        <v>10</v>
      </c>
      <c r="T303" s="39">
        <f t="shared" si="123"/>
        <v>9620000</v>
      </c>
      <c r="U303" s="13">
        <f t="shared" si="122"/>
        <v>21.034985422740526</v>
      </c>
      <c r="W303" s="11"/>
    </row>
    <row r="304" spans="1:23">
      <c r="A304" s="2">
        <v>43174</v>
      </c>
      <c r="B304" s="13" t="s">
        <v>352</v>
      </c>
      <c r="C304" s="1">
        <v>1</v>
      </c>
      <c r="D304" s="1">
        <v>4093.8</v>
      </c>
      <c r="E304" s="2">
        <v>43174</v>
      </c>
      <c r="F304" s="26">
        <v>0.46388888888888885</v>
      </c>
      <c r="G304" s="17">
        <v>0.02</v>
      </c>
      <c r="H304" s="52">
        <v>1</v>
      </c>
      <c r="I304" s="17">
        <f t="shared" si="118"/>
        <v>0.02</v>
      </c>
      <c r="J304" s="1">
        <v>4080.6</v>
      </c>
      <c r="K304" s="2">
        <v>43174</v>
      </c>
      <c r="M304" s="16">
        <f t="shared" si="119"/>
        <v>-3960.0000000000819</v>
      </c>
      <c r="S304">
        <f>IF(B304="","",VLOOKUP(Cmt(B304),Sheet2!A:B,2,FALSE))</f>
        <v>300</v>
      </c>
      <c r="T304" s="39">
        <f t="shared" si="123"/>
        <v>9620000</v>
      </c>
      <c r="U304" s="13">
        <f t="shared" si="122"/>
        <v>1.0443977613844242</v>
      </c>
      <c r="W304" s="11"/>
    </row>
    <row r="305" spans="1:23" ht="14.25" thickBot="1">
      <c r="A305" s="38">
        <v>43175</v>
      </c>
      <c r="B305" s="34"/>
      <c r="C305" s="34"/>
      <c r="D305" s="34"/>
      <c r="E305" s="34"/>
      <c r="F305" s="34"/>
      <c r="G305" s="36"/>
      <c r="H305" s="53"/>
      <c r="I305" s="36" t="str">
        <f t="shared" si="118"/>
        <v/>
      </c>
      <c r="J305" s="34"/>
      <c r="K305" s="34"/>
      <c r="L305" s="34"/>
      <c r="M305" s="40" t="str">
        <f t="shared" si="119"/>
        <v/>
      </c>
      <c r="N305" s="34"/>
      <c r="O305" s="34"/>
      <c r="P305" s="37"/>
      <c r="Q305" s="37"/>
      <c r="R305" s="37"/>
      <c r="S305" t="str">
        <f>IF(B305="","",VLOOKUP(Cmt(B305),Sheet2!A:B,2,FALSE))</f>
        <v/>
      </c>
      <c r="T305" s="39" t="str">
        <f t="shared" si="123"/>
        <v/>
      </c>
      <c r="U305" s="13" t="str">
        <f t="shared" si="122"/>
        <v/>
      </c>
      <c r="W305" s="11"/>
    </row>
    <row r="306" spans="1:23">
      <c r="A306" s="2">
        <v>43178</v>
      </c>
      <c r="B306" s="1" t="s">
        <v>354</v>
      </c>
      <c r="C306" s="1">
        <v>36</v>
      </c>
      <c r="D306" s="1">
        <v>2786</v>
      </c>
      <c r="E306" s="2">
        <v>43178</v>
      </c>
      <c r="G306" s="17">
        <v>1.6E-2</v>
      </c>
      <c r="H306" s="52">
        <v>1</v>
      </c>
      <c r="I306" s="17">
        <f t="shared" si="118"/>
        <v>1.6E-2</v>
      </c>
      <c r="J306" s="1">
        <v>2780</v>
      </c>
      <c r="K306" s="2">
        <v>43179</v>
      </c>
      <c r="M306" s="16">
        <f t="shared" si="119"/>
        <v>-2160</v>
      </c>
      <c r="S306">
        <f>IF(B306="","",VLOOKUP(Cmt(B306),Sheet2!A:B,2,FALSE))</f>
        <v>10</v>
      </c>
      <c r="T306" s="39">
        <v>9620000</v>
      </c>
      <c r="U306" s="13">
        <f t="shared" si="122"/>
        <v>36.831777937305574</v>
      </c>
      <c r="W306" s="11"/>
    </row>
    <row r="307" spans="1:23">
      <c r="A307" s="2">
        <v>43180</v>
      </c>
      <c r="B307" s="1" t="s">
        <v>359</v>
      </c>
      <c r="C307" s="1">
        <v>40</v>
      </c>
      <c r="D307" s="1">
        <v>2778</v>
      </c>
      <c r="E307" s="2">
        <v>43180</v>
      </c>
      <c r="I307" s="17" t="str">
        <f t="shared" si="118"/>
        <v/>
      </c>
      <c r="J307" s="1">
        <v>2784</v>
      </c>
      <c r="K307" s="2">
        <v>43181</v>
      </c>
      <c r="M307" s="16">
        <f t="shared" si="119"/>
        <v>2400</v>
      </c>
      <c r="S307">
        <f>IF(B307="","",VLOOKUP(Cmt(B307),Sheet2!A:B,2,FALSE))</f>
        <v>10</v>
      </c>
      <c r="T307" s="39">
        <f t="shared" si="123"/>
        <v>9620000</v>
      </c>
      <c r="U307" s="13" t="e">
        <f t="shared" si="122"/>
        <v>#VALUE!</v>
      </c>
      <c r="W307" s="11"/>
    </row>
    <row r="308" spans="1:23">
      <c r="A308" s="2"/>
      <c r="B308" s="1" t="s">
        <v>360</v>
      </c>
      <c r="C308" s="1">
        <v>35</v>
      </c>
      <c r="D308" s="1">
        <v>2790</v>
      </c>
      <c r="E308" s="2">
        <v>43180</v>
      </c>
      <c r="J308" s="1">
        <v>2770</v>
      </c>
      <c r="K308" s="2">
        <v>43180</v>
      </c>
      <c r="M308" s="16">
        <f>IF(J308="","",C308*(J308-D308)*S308)</f>
        <v>-7000</v>
      </c>
      <c r="S308">
        <f>IF(B308="","",VLOOKUP(Cmt(B308),Sheet2!A:B,2,FALSE))</f>
        <v>10</v>
      </c>
      <c r="T308" s="39">
        <f t="shared" ref="T308:T310" si="125">IF(S308="","",T307)</f>
        <v>9620000</v>
      </c>
      <c r="U308" s="13">
        <f t="shared" ref="U308:U310" si="126">IF(S308="","",T308*I308/(D308*S308*0.15))</f>
        <v>0</v>
      </c>
      <c r="W308" s="11"/>
    </row>
    <row r="309" spans="1:23">
      <c r="A309" s="2">
        <v>43181</v>
      </c>
      <c r="B309" s="1" t="s">
        <v>359</v>
      </c>
      <c r="C309" s="1">
        <v>40</v>
      </c>
      <c r="D309" s="1">
        <v>2802</v>
      </c>
      <c r="E309" s="2">
        <v>43181</v>
      </c>
      <c r="J309" s="1">
        <v>2790</v>
      </c>
      <c r="K309" s="2">
        <v>43182</v>
      </c>
      <c r="M309" s="16">
        <f t="shared" si="119"/>
        <v>-4800</v>
      </c>
      <c r="S309">
        <f>IF(B309="","",VLOOKUP(Cmt(B309),Sheet2!A:B,2,FALSE))</f>
        <v>10</v>
      </c>
      <c r="T309" s="39">
        <f t="shared" si="125"/>
        <v>9620000</v>
      </c>
      <c r="U309" s="13">
        <f t="shared" si="126"/>
        <v>0</v>
      </c>
      <c r="W309" s="11"/>
    </row>
    <row r="310" spans="1:23" ht="14.25" thickBot="1">
      <c r="A310" s="38"/>
      <c r="B310" s="34" t="s">
        <v>360</v>
      </c>
      <c r="C310" s="34">
        <v>35</v>
      </c>
      <c r="D310" s="34">
        <v>2819</v>
      </c>
      <c r="E310" s="38">
        <v>43181</v>
      </c>
      <c r="F310" s="34"/>
      <c r="G310" s="36"/>
      <c r="H310" s="53"/>
      <c r="I310" s="36"/>
      <c r="J310" s="34">
        <v>2769</v>
      </c>
      <c r="K310" s="38">
        <v>43182</v>
      </c>
      <c r="L310" s="34"/>
      <c r="M310" s="40">
        <f t="shared" si="119"/>
        <v>-17500</v>
      </c>
      <c r="N310" s="34"/>
      <c r="O310" s="34"/>
      <c r="P310" s="37"/>
      <c r="Q310" s="37"/>
      <c r="R310" s="37"/>
      <c r="S310">
        <f>IF(B310="","",VLOOKUP(Cmt(B310),Sheet2!A:B,2,FALSE))</f>
        <v>10</v>
      </c>
      <c r="T310" s="39">
        <f t="shared" si="125"/>
        <v>9620000</v>
      </c>
      <c r="U310" s="13">
        <f t="shared" si="126"/>
        <v>0</v>
      </c>
      <c r="W310" s="11"/>
    </row>
    <row r="311" spans="1:23">
      <c r="A311" s="2">
        <v>43200</v>
      </c>
      <c r="B311" s="1" t="s">
        <v>355</v>
      </c>
      <c r="C311" s="1">
        <v>-1</v>
      </c>
      <c r="D311" s="1">
        <v>6006</v>
      </c>
      <c r="E311" s="2">
        <v>43200</v>
      </c>
      <c r="F311" s="26">
        <v>0.59097222222222223</v>
      </c>
      <c r="G311" s="17">
        <v>1.6E-2</v>
      </c>
      <c r="H311" s="52">
        <v>1</v>
      </c>
      <c r="I311" s="17">
        <f t="shared" si="118"/>
        <v>1.6E-2</v>
      </c>
      <c r="J311" s="1">
        <v>6039.8</v>
      </c>
      <c r="K311" s="2">
        <v>43200</v>
      </c>
      <c r="L311" s="26">
        <v>0.62222222222222223</v>
      </c>
      <c r="M311" s="16">
        <f t="shared" si="119"/>
        <v>-6760.0000000000364</v>
      </c>
      <c r="S311">
        <f>IF(B311="","",VLOOKUP(Cmt(B311),Sheet2!A:B,2,FALSE))</f>
        <v>200</v>
      </c>
      <c r="T311" s="39">
        <v>9582498</v>
      </c>
      <c r="U311" s="13">
        <f t="shared" si="122"/>
        <v>0.85092667332667327</v>
      </c>
      <c r="W311" s="11"/>
    </row>
    <row r="312" spans="1:23">
      <c r="A312" s="3"/>
      <c r="B312" s="3" t="s">
        <v>356</v>
      </c>
      <c r="C312" s="3">
        <v>-31</v>
      </c>
      <c r="D312" s="3">
        <v>560.6</v>
      </c>
      <c r="E312" s="19">
        <v>43200</v>
      </c>
      <c r="F312" s="31">
        <v>0.59097222222222223</v>
      </c>
      <c r="G312" s="18">
        <v>2.8000000000000001E-2</v>
      </c>
      <c r="H312" s="51">
        <v>1</v>
      </c>
      <c r="I312" s="18">
        <f t="shared" si="118"/>
        <v>2.8000000000000001E-2</v>
      </c>
      <c r="J312" s="3">
        <v>556.79999999999995</v>
      </c>
      <c r="K312" s="19">
        <v>43202</v>
      </c>
      <c r="L312" s="31">
        <v>0.47847222222222219</v>
      </c>
      <c r="M312" s="14">
        <f t="shared" si="119"/>
        <v>11780.000000000211</v>
      </c>
      <c r="N312" s="3"/>
      <c r="O312" s="3"/>
      <c r="P312" s="4"/>
      <c r="Q312" s="4"/>
      <c r="R312" s="4"/>
      <c r="S312">
        <f>IF(B312="","",VLOOKUP(Cmt(B312),Sheet2!A:B,2,FALSE))</f>
        <v>100</v>
      </c>
      <c r="T312" s="39">
        <f t="shared" si="123"/>
        <v>9582498</v>
      </c>
      <c r="U312" s="13">
        <f t="shared" si="122"/>
        <v>31.907473421334288</v>
      </c>
      <c r="W312" s="11"/>
    </row>
    <row r="313" spans="1:23">
      <c r="A313" s="2">
        <v>43201</v>
      </c>
      <c r="B313" s="1" t="s">
        <v>357</v>
      </c>
      <c r="C313" s="1">
        <v>16</v>
      </c>
      <c r="D313" s="1">
        <v>101720</v>
      </c>
      <c r="E313" s="2">
        <v>43200</v>
      </c>
      <c r="F313" s="26">
        <v>0.88611111111111107</v>
      </c>
      <c r="G313" s="17">
        <v>2.5999999999999999E-2</v>
      </c>
      <c r="H313" s="52">
        <v>1</v>
      </c>
      <c r="I313" s="17">
        <f t="shared" si="118"/>
        <v>2.5999999999999999E-2</v>
      </c>
      <c r="J313" s="1">
        <v>101085</v>
      </c>
      <c r="K313" s="2">
        <v>43201</v>
      </c>
      <c r="L313" s="26">
        <v>0.58611111111111114</v>
      </c>
      <c r="M313" s="16">
        <f t="shared" si="119"/>
        <v>-10160</v>
      </c>
      <c r="S313">
        <f>IF(B313="","",VLOOKUP(Cmt(B313),Sheet2!A:B,2,FALSE))</f>
        <v>1</v>
      </c>
      <c r="T313" s="39">
        <f t="shared" si="123"/>
        <v>9582498</v>
      </c>
      <c r="U313" s="13">
        <f t="shared" si="122"/>
        <v>16.328807707432166</v>
      </c>
      <c r="W313" s="11"/>
    </row>
    <row r="314" spans="1:23">
      <c r="B314" s="1" t="s">
        <v>358</v>
      </c>
      <c r="C314" s="1">
        <v>6</v>
      </c>
      <c r="D314" s="1">
        <v>51200</v>
      </c>
      <c r="E314" s="2">
        <v>43200</v>
      </c>
      <c r="F314" s="26">
        <v>0.88611111111111107</v>
      </c>
      <c r="G314" s="17">
        <v>2.3E-2</v>
      </c>
      <c r="H314" s="52">
        <v>1</v>
      </c>
      <c r="I314" s="17">
        <f t="shared" si="118"/>
        <v>2.3E-2</v>
      </c>
      <c r="J314" s="1">
        <v>50860</v>
      </c>
      <c r="K314" s="2">
        <v>43201</v>
      </c>
      <c r="L314" s="26">
        <v>0.91736111111111107</v>
      </c>
      <c r="M314" s="16">
        <f t="shared" si="119"/>
        <v>-10200</v>
      </c>
      <c r="S314">
        <f>IF(B314="","",VLOOKUP(Cmt(B314),Sheet2!A:B,2,FALSE))</f>
        <v>5</v>
      </c>
      <c r="T314" s="39">
        <f t="shared" si="123"/>
        <v>9582498</v>
      </c>
      <c r="U314" s="13">
        <f t="shared" si="122"/>
        <v>5.7395170312500001</v>
      </c>
      <c r="W314" s="11"/>
    </row>
    <row r="315" spans="1:23">
      <c r="B315" s="1" t="s">
        <v>360</v>
      </c>
      <c r="C315" s="1">
        <v>19</v>
      </c>
      <c r="D315" s="1">
        <v>2749</v>
      </c>
      <c r="E315" s="2">
        <v>43201</v>
      </c>
      <c r="F315" s="26">
        <v>0.38611111111111113</v>
      </c>
      <c r="G315" s="17">
        <v>8.0000000000000002E-3</v>
      </c>
      <c r="H315" s="52">
        <v>1</v>
      </c>
      <c r="I315" s="17">
        <f t="shared" si="118"/>
        <v>8.0000000000000002E-3</v>
      </c>
      <c r="J315" s="1">
        <v>2716</v>
      </c>
      <c r="K315" s="2">
        <v>43201</v>
      </c>
      <c r="L315" s="26">
        <v>0.47500000000000003</v>
      </c>
      <c r="M315" s="16">
        <f t="shared" si="119"/>
        <v>-6270</v>
      </c>
      <c r="S315">
        <f>IF(B315="","",VLOOKUP(Cmt(B315),Sheet2!A:B,2,FALSE))</f>
        <v>10</v>
      </c>
      <c r="T315" s="39">
        <f t="shared" si="123"/>
        <v>9582498</v>
      </c>
      <c r="U315" s="13">
        <f t="shared" si="122"/>
        <v>18.590998908694068</v>
      </c>
      <c r="W315" s="11"/>
    </row>
    <row r="316" spans="1:23">
      <c r="B316" s="1" t="s">
        <v>359</v>
      </c>
      <c r="C316" s="1">
        <v>20</v>
      </c>
      <c r="D316" s="1">
        <v>2844</v>
      </c>
      <c r="E316" s="2">
        <v>43201</v>
      </c>
      <c r="F316" s="26">
        <v>0.38611111111111113</v>
      </c>
      <c r="G316" s="17">
        <v>8.9999999999999993E-3</v>
      </c>
      <c r="H316" s="52">
        <v>1</v>
      </c>
      <c r="I316" s="17">
        <f t="shared" si="118"/>
        <v>8.9999999999999993E-3</v>
      </c>
      <c r="J316" s="1">
        <v>2838</v>
      </c>
      <c r="K316" s="2">
        <v>43201</v>
      </c>
      <c r="L316" s="26">
        <v>0.95208333333333339</v>
      </c>
      <c r="M316" s="16">
        <f t="shared" si="119"/>
        <v>-1200</v>
      </c>
      <c r="S316">
        <f>IF(B316="","",VLOOKUP(Cmt(B316),Sheet2!A:B,2,FALSE))</f>
        <v>10</v>
      </c>
      <c r="T316" s="39">
        <f t="shared" si="123"/>
        <v>9582498</v>
      </c>
      <c r="U316" s="13">
        <f t="shared" si="122"/>
        <v>20.216240506329111</v>
      </c>
      <c r="W316" s="11"/>
    </row>
    <row r="317" spans="1:23">
      <c r="A317" s="3"/>
      <c r="B317" s="3" t="s">
        <v>361</v>
      </c>
      <c r="C317" s="3">
        <v>16</v>
      </c>
      <c r="D317" s="3">
        <v>101640</v>
      </c>
      <c r="E317" s="19">
        <v>43201</v>
      </c>
      <c r="F317" s="31">
        <v>0.62291666666666667</v>
      </c>
      <c r="G317" s="18">
        <v>2.5999999999999999E-2</v>
      </c>
      <c r="H317" s="51">
        <v>1</v>
      </c>
      <c r="I317" s="18">
        <f t="shared" si="118"/>
        <v>2.5999999999999999E-2</v>
      </c>
      <c r="J317" s="3">
        <v>101380</v>
      </c>
      <c r="K317" s="19">
        <v>43201</v>
      </c>
      <c r="L317" s="31">
        <v>0.91736111111111107</v>
      </c>
      <c r="M317" s="14">
        <f t="shared" si="119"/>
        <v>-4160</v>
      </c>
      <c r="N317" s="3"/>
      <c r="O317" s="3"/>
      <c r="P317" s="4"/>
      <c r="Q317" s="4"/>
      <c r="R317" s="4"/>
      <c r="S317">
        <f>IF(B317="","",VLOOKUP(Cmt(B317),Sheet2!A:B,2,FALSE))</f>
        <v>1</v>
      </c>
      <c r="T317" s="39">
        <f t="shared" si="123"/>
        <v>9582498</v>
      </c>
      <c r="U317" s="13">
        <f t="shared" si="122"/>
        <v>16.341659976387248</v>
      </c>
      <c r="W317" s="11"/>
    </row>
    <row r="318" spans="1:23">
      <c r="A318" s="2">
        <v>43202</v>
      </c>
      <c r="B318" s="1" t="s">
        <v>362</v>
      </c>
      <c r="C318" s="1">
        <v>55</v>
      </c>
      <c r="D318" s="1">
        <v>2665</v>
      </c>
      <c r="E318" s="2">
        <v>43201</v>
      </c>
      <c r="F318" s="26">
        <v>0.91875000000000007</v>
      </c>
      <c r="G318" s="17">
        <v>2.3E-2</v>
      </c>
      <c r="H318" s="52">
        <v>1</v>
      </c>
      <c r="I318" s="17">
        <f t="shared" si="118"/>
        <v>2.3E-2</v>
      </c>
      <c r="J318" s="1">
        <v>2655</v>
      </c>
      <c r="K318" s="2">
        <v>43202</v>
      </c>
      <c r="L318" s="26">
        <v>0.47847222222222219</v>
      </c>
      <c r="M318" s="16">
        <f t="shared" si="119"/>
        <v>-5500</v>
      </c>
      <c r="S318">
        <f>IF(B318="","",VLOOKUP(Cmt(B318),Sheet2!A:B,2,FALSE))</f>
        <v>10</v>
      </c>
      <c r="T318" s="39">
        <f t="shared" si="123"/>
        <v>9582498</v>
      </c>
      <c r="U318" s="13">
        <f t="shared" si="122"/>
        <v>55.13382213883677</v>
      </c>
      <c r="W318" s="11"/>
    </row>
    <row r="319" spans="1:23">
      <c r="B319" s="1" t="s">
        <v>363</v>
      </c>
      <c r="C319" s="1">
        <v>18</v>
      </c>
      <c r="D319" s="1">
        <v>2743</v>
      </c>
      <c r="E319" s="2">
        <v>43201</v>
      </c>
      <c r="F319" s="26">
        <v>0.91875000000000007</v>
      </c>
      <c r="G319" s="17">
        <v>8.0000000000000002E-3</v>
      </c>
      <c r="H319" s="52">
        <v>1</v>
      </c>
      <c r="I319" s="17">
        <f t="shared" si="118"/>
        <v>8.0000000000000002E-3</v>
      </c>
      <c r="J319" s="1">
        <v>2744</v>
      </c>
      <c r="K319" s="2">
        <v>43202</v>
      </c>
      <c r="L319" s="26">
        <v>0.88750000000000007</v>
      </c>
      <c r="M319" s="16">
        <f t="shared" si="119"/>
        <v>180</v>
      </c>
      <c r="S319">
        <f>IF(B319="","",VLOOKUP(Cmt(B319),Sheet2!A:B,2,FALSE))</f>
        <v>10</v>
      </c>
      <c r="T319" s="39">
        <f t="shared" si="123"/>
        <v>9582498</v>
      </c>
      <c r="U319" s="13">
        <f t="shared" si="122"/>
        <v>18.63166460080204</v>
      </c>
      <c r="W319" s="11"/>
    </row>
    <row r="320" spans="1:23">
      <c r="B320" s="1" t="s">
        <v>364</v>
      </c>
      <c r="C320" s="1">
        <v>16</v>
      </c>
      <c r="D320" s="1">
        <v>102136.25</v>
      </c>
      <c r="E320" s="2">
        <v>43202</v>
      </c>
      <c r="F320" s="26">
        <v>0.38611111111111113</v>
      </c>
      <c r="G320" s="17">
        <v>2.5999999999999999E-2</v>
      </c>
      <c r="H320" s="52">
        <v>1</v>
      </c>
      <c r="I320" s="17">
        <f t="shared" si="118"/>
        <v>2.5999999999999999E-2</v>
      </c>
      <c r="J320" s="1">
        <v>101300</v>
      </c>
      <c r="K320" s="2">
        <v>43202</v>
      </c>
      <c r="L320" s="26">
        <v>0.56944444444444442</v>
      </c>
      <c r="M320" s="16">
        <f t="shared" si="119"/>
        <v>-13380</v>
      </c>
      <c r="S320">
        <f>IF(B320="","",VLOOKUP(Cmt(B320),Sheet2!A:B,2,FALSE))</f>
        <v>1</v>
      </c>
      <c r="T320" s="39">
        <f t="shared" si="123"/>
        <v>9582498</v>
      </c>
      <c r="U320" s="13">
        <f t="shared" si="122"/>
        <v>16.262260656720802</v>
      </c>
      <c r="W320" s="11"/>
    </row>
    <row r="321" spans="1:23">
      <c r="B321" s="1" t="s">
        <v>365</v>
      </c>
      <c r="C321" s="1">
        <v>20</v>
      </c>
      <c r="D321" s="1">
        <v>2838</v>
      </c>
      <c r="E321" s="2">
        <v>43202</v>
      </c>
      <c r="F321" s="26">
        <v>0.47847222222222219</v>
      </c>
      <c r="G321" s="17">
        <v>8.9999999999999993E-3</v>
      </c>
      <c r="H321" s="52">
        <v>1</v>
      </c>
      <c r="I321" s="17">
        <f t="shared" si="118"/>
        <v>8.9999999999999993E-3</v>
      </c>
      <c r="J321" s="1">
        <v>2840</v>
      </c>
      <c r="K321" s="2">
        <v>43202</v>
      </c>
      <c r="L321" s="26">
        <v>0.59652777777777777</v>
      </c>
      <c r="M321" s="16">
        <f t="shared" si="119"/>
        <v>400</v>
      </c>
      <c r="S321">
        <f>IF(B321="","",VLOOKUP(Cmt(B321),Sheet2!A:B,2,FALSE))</f>
        <v>10</v>
      </c>
      <c r="T321" s="39">
        <f t="shared" si="123"/>
        <v>9582498</v>
      </c>
      <c r="U321" s="13">
        <f t="shared" si="122"/>
        <v>20.258980972515854</v>
      </c>
      <c r="W321" s="11"/>
    </row>
    <row r="322" spans="1:23">
      <c r="B322" s="1" t="s">
        <v>366</v>
      </c>
      <c r="C322" s="1">
        <v>-45</v>
      </c>
      <c r="D322" s="1">
        <v>2125</v>
      </c>
      <c r="E322" s="2">
        <v>43202</v>
      </c>
      <c r="F322" s="26">
        <v>0.47847222222222219</v>
      </c>
      <c r="G322" s="17">
        <v>1.4999999999999999E-2</v>
      </c>
      <c r="H322" s="52">
        <v>1</v>
      </c>
      <c r="I322" s="17">
        <f t="shared" si="118"/>
        <v>1.4999999999999999E-2</v>
      </c>
      <c r="J322" s="1">
        <v>2125</v>
      </c>
      <c r="K322" s="2">
        <v>43202</v>
      </c>
      <c r="L322" s="26">
        <v>0.56944444444444442</v>
      </c>
      <c r="M322" s="16">
        <f t="shared" si="119"/>
        <v>0</v>
      </c>
      <c r="S322">
        <f>IF(B322="","",VLOOKUP(Cmt(B322),Sheet2!A:B,2,FALSE))</f>
        <v>10</v>
      </c>
      <c r="T322" s="39">
        <f t="shared" si="123"/>
        <v>9582498</v>
      </c>
      <c r="U322" s="13">
        <f t="shared" si="122"/>
        <v>45.094108235294115</v>
      </c>
      <c r="W322" s="11"/>
    </row>
    <row r="323" spans="1:23">
      <c r="A323" s="3"/>
      <c r="B323" s="3" t="s">
        <v>367</v>
      </c>
      <c r="C323" s="3">
        <v>-12</v>
      </c>
      <c r="D323" s="3">
        <v>23480</v>
      </c>
      <c r="E323" s="19">
        <v>43202</v>
      </c>
      <c r="F323" s="31">
        <v>0.56597222222222221</v>
      </c>
      <c r="G323" s="18">
        <v>2.3E-2</v>
      </c>
      <c r="H323" s="51">
        <v>1</v>
      </c>
      <c r="I323" s="18">
        <f t="shared" si="118"/>
        <v>2.3E-2</v>
      </c>
      <c r="J323" s="3">
        <v>23535</v>
      </c>
      <c r="K323" s="19">
        <v>43203</v>
      </c>
      <c r="L323" s="31">
        <v>0.56805555555555554</v>
      </c>
      <c r="M323" s="14">
        <f t="shared" si="119"/>
        <v>-3300</v>
      </c>
      <c r="N323" s="3"/>
      <c r="O323" s="3"/>
      <c r="P323" s="4"/>
      <c r="Q323" s="4"/>
      <c r="R323" s="4"/>
      <c r="S323">
        <f>IF(B323="","",VLOOKUP(Cmt(B323),Sheet2!A:B,2,FALSE))</f>
        <v>5</v>
      </c>
      <c r="T323" s="39">
        <f t="shared" si="123"/>
        <v>9582498</v>
      </c>
      <c r="U323" s="13">
        <f t="shared" si="122"/>
        <v>12.515471550255537</v>
      </c>
      <c r="W323" s="11"/>
    </row>
    <row r="324" spans="1:23">
      <c r="A324" s="2">
        <v>43203</v>
      </c>
      <c r="B324" s="1" t="s">
        <v>368</v>
      </c>
      <c r="C324" s="1">
        <v>16</v>
      </c>
      <c r="D324" s="1">
        <v>2840.13</v>
      </c>
      <c r="E324" s="2">
        <v>43202</v>
      </c>
      <c r="F324" s="26">
        <v>0.88958333333333339</v>
      </c>
      <c r="G324" s="17">
        <v>7.0000000000000001E-3</v>
      </c>
      <c r="H324" s="52">
        <v>1</v>
      </c>
      <c r="I324" s="17">
        <f t="shared" si="118"/>
        <v>7.0000000000000001E-3</v>
      </c>
      <c r="J324" s="1">
        <v>2828</v>
      </c>
      <c r="K324" s="2">
        <v>43203</v>
      </c>
      <c r="L324" s="26">
        <v>0.3833333333333333</v>
      </c>
      <c r="M324" s="16">
        <f t="shared" si="119"/>
        <v>-1940.8000000000175</v>
      </c>
      <c r="S324">
        <f>IF(B324="","",VLOOKUP(Cmt(B324),Sheet2!A:B,2,FALSE))</f>
        <v>10</v>
      </c>
      <c r="T324" s="39">
        <f t="shared" si="123"/>
        <v>9582498</v>
      </c>
      <c r="U324" s="13">
        <f t="shared" si="122"/>
        <v>15.745168002873106</v>
      </c>
      <c r="W324" s="11"/>
    </row>
    <row r="325" spans="1:23">
      <c r="B325" s="1" t="s">
        <v>369</v>
      </c>
      <c r="C325" s="1">
        <v>-12</v>
      </c>
      <c r="D325" s="1">
        <f>(1724.5*2+1725.5*9+1724*1)/12</f>
        <v>1725.2083333333333</v>
      </c>
      <c r="E325" s="2">
        <v>43202</v>
      </c>
      <c r="F325" s="26">
        <v>0.89027777777777783</v>
      </c>
      <c r="G325" s="17">
        <v>3.2000000000000001E-2</v>
      </c>
      <c r="H325" s="52">
        <v>1</v>
      </c>
      <c r="I325" s="17">
        <f t="shared" si="118"/>
        <v>3.2000000000000001E-2</v>
      </c>
      <c r="J325" s="1">
        <v>1726</v>
      </c>
      <c r="K325" s="2">
        <v>43202</v>
      </c>
      <c r="L325" s="26">
        <v>0.9291666666666667</v>
      </c>
      <c r="M325" s="16">
        <f t="shared" si="119"/>
        <v>-950.00000000009095</v>
      </c>
      <c r="S325">
        <f>IF(B325="","",VLOOKUP(Cmt(B325),Sheet2!A:B,2,FALSE))</f>
        <v>100</v>
      </c>
      <c r="T325" s="39">
        <f t="shared" si="123"/>
        <v>9582498</v>
      </c>
      <c r="U325" s="13">
        <f t="shared" si="122"/>
        <v>11.849387697138027</v>
      </c>
      <c r="W325" s="11"/>
    </row>
    <row r="326" spans="1:23">
      <c r="B326" s="1" t="s">
        <v>370</v>
      </c>
      <c r="C326" s="1">
        <v>15</v>
      </c>
      <c r="D326" s="1">
        <f>(101820*1+101810*6+101850*8)/15</f>
        <v>101832</v>
      </c>
      <c r="E326" s="2">
        <v>43202</v>
      </c>
      <c r="F326" s="26">
        <v>0.9291666666666667</v>
      </c>
      <c r="G326" s="17">
        <v>2.4E-2</v>
      </c>
      <c r="H326" s="52">
        <v>1</v>
      </c>
      <c r="I326" s="17">
        <f t="shared" si="118"/>
        <v>2.4E-2</v>
      </c>
      <c r="J326" s="1">
        <v>103590</v>
      </c>
      <c r="K326" s="2">
        <v>43206</v>
      </c>
      <c r="L326" s="26">
        <v>0.38263888888888892</v>
      </c>
      <c r="M326" s="16">
        <f t="shared" si="119"/>
        <v>26370</v>
      </c>
      <c r="S326">
        <f>IF(B326="","",VLOOKUP(Cmt(B326),Sheet2!A:B,2,FALSE))</f>
        <v>1</v>
      </c>
      <c r="T326" s="39">
        <f t="shared" si="123"/>
        <v>9582498</v>
      </c>
      <c r="U326" s="13">
        <f t="shared" si="122"/>
        <v>15.056167805797786</v>
      </c>
      <c r="W326" s="11"/>
    </row>
    <row r="327" spans="1:23">
      <c r="B327" s="1" t="s">
        <v>371</v>
      </c>
      <c r="C327" s="1">
        <v>26</v>
      </c>
      <c r="D327" s="1">
        <v>2681</v>
      </c>
      <c r="E327" s="2">
        <v>43203</v>
      </c>
      <c r="F327" s="26">
        <v>0.39583333333333331</v>
      </c>
      <c r="G327" s="17">
        <v>1.0999999999999999E-2</v>
      </c>
      <c r="H327" s="52">
        <v>1</v>
      </c>
      <c r="I327" s="17">
        <f t="shared" si="118"/>
        <v>1.0999999999999999E-2</v>
      </c>
      <c r="J327" s="1">
        <v>2654</v>
      </c>
      <c r="K327" s="2">
        <v>43202</v>
      </c>
      <c r="L327" s="26">
        <v>0.93125000000000002</v>
      </c>
      <c r="M327" s="16">
        <f t="shared" si="119"/>
        <v>-7020</v>
      </c>
      <c r="S327">
        <f>IF(B327="","",VLOOKUP(Cmt(B327),Sheet2!A:B,2,FALSE))</f>
        <v>10</v>
      </c>
      <c r="T327" s="39">
        <f t="shared" si="123"/>
        <v>9582498</v>
      </c>
      <c r="U327" s="13">
        <f t="shared" si="122"/>
        <v>26.210985453189107</v>
      </c>
      <c r="W327" s="11"/>
    </row>
    <row r="328" spans="1:23">
      <c r="B328" s="1" t="s">
        <v>372</v>
      </c>
      <c r="C328" s="1">
        <v>-45</v>
      </c>
      <c r="D328" s="1">
        <v>2118</v>
      </c>
      <c r="E328" s="2">
        <v>43203</v>
      </c>
      <c r="F328" s="26">
        <v>0.39583333333333331</v>
      </c>
      <c r="G328" s="17">
        <v>1.4999999999999999E-2</v>
      </c>
      <c r="H328" s="52">
        <v>1</v>
      </c>
      <c r="I328" s="17">
        <f t="shared" si="118"/>
        <v>1.4999999999999999E-2</v>
      </c>
      <c r="J328" s="1">
        <v>2134</v>
      </c>
      <c r="K328" s="2">
        <v>43203</v>
      </c>
      <c r="L328" s="26">
        <v>0.56666666666666665</v>
      </c>
      <c r="M328" s="16">
        <f t="shared" si="119"/>
        <v>-7200</v>
      </c>
      <c r="S328">
        <f>IF(B328="","",VLOOKUP(Cmt(B328),Sheet2!A:B,2,FALSE))</f>
        <v>10</v>
      </c>
      <c r="T328" s="39">
        <f t="shared" si="123"/>
        <v>9582498</v>
      </c>
      <c r="U328" s="13">
        <f t="shared" si="122"/>
        <v>45.24314447592068</v>
      </c>
      <c r="W328" s="11"/>
    </row>
    <row r="329" spans="1:23">
      <c r="B329" s="1" t="s">
        <v>369</v>
      </c>
      <c r="C329" s="1">
        <v>-11</v>
      </c>
      <c r="D329" s="1">
        <v>1739</v>
      </c>
      <c r="E329" s="2">
        <v>43203</v>
      </c>
      <c r="F329" s="26">
        <v>0.39583333333333331</v>
      </c>
      <c r="G329" s="17">
        <v>3.2000000000000001E-2</v>
      </c>
      <c r="H329" s="52">
        <v>1</v>
      </c>
      <c r="I329" s="17">
        <f t="shared" si="118"/>
        <v>3.2000000000000001E-2</v>
      </c>
      <c r="J329" s="1">
        <v>1753.5</v>
      </c>
      <c r="K329" s="2">
        <v>43203</v>
      </c>
      <c r="L329" s="26">
        <v>0.56805555555555554</v>
      </c>
      <c r="M329" s="16">
        <f t="shared" si="119"/>
        <v>-15950</v>
      </c>
      <c r="S329">
        <f>IF(B329="","",VLOOKUP(Cmt(B329),Sheet2!A:B,2,FALSE))</f>
        <v>100</v>
      </c>
      <c r="T329" s="39">
        <f t="shared" si="123"/>
        <v>9582498</v>
      </c>
      <c r="U329" s="13">
        <f t="shared" si="122"/>
        <v>11.755412535940195</v>
      </c>
      <c r="W329" s="11"/>
    </row>
    <row r="330" spans="1:23">
      <c r="B330" s="1" t="s">
        <v>373</v>
      </c>
      <c r="C330" s="1">
        <v>18</v>
      </c>
      <c r="D330" s="1">
        <v>2778</v>
      </c>
      <c r="E330" s="2">
        <v>43202</v>
      </c>
      <c r="F330" s="26">
        <v>0.56805555555555554</v>
      </c>
      <c r="G330" s="17">
        <v>8.0000000000000002E-3</v>
      </c>
      <c r="H330" s="52">
        <v>1</v>
      </c>
      <c r="I330" s="17">
        <f t="shared" si="118"/>
        <v>8.0000000000000002E-3</v>
      </c>
      <c r="J330" s="1">
        <v>2826</v>
      </c>
      <c r="K330" s="2">
        <v>43206</v>
      </c>
      <c r="L330" s="26">
        <v>0.61388888888888882</v>
      </c>
      <c r="M330" s="16">
        <f t="shared" si="119"/>
        <v>8640</v>
      </c>
      <c r="S330">
        <f>IF(B330="","",VLOOKUP(Cmt(B330),Sheet2!A:B,2,FALSE))</f>
        <v>10</v>
      </c>
      <c r="T330" s="39">
        <f t="shared" si="123"/>
        <v>9582498</v>
      </c>
      <c r="U330" s="13">
        <f t="shared" si="122"/>
        <v>18.396924406047514</v>
      </c>
      <c r="W330" s="11"/>
    </row>
    <row r="331" spans="1:23">
      <c r="A331" s="3"/>
      <c r="B331" s="3" t="s">
        <v>374</v>
      </c>
      <c r="C331" s="3">
        <v>31</v>
      </c>
      <c r="D331" s="3">
        <v>2840.97</v>
      </c>
      <c r="E331" s="19">
        <v>43203</v>
      </c>
      <c r="F331" s="31">
        <v>0.59097222222222223</v>
      </c>
      <c r="G331" s="18">
        <v>1.4999999999999999E-2</v>
      </c>
      <c r="H331" s="51">
        <v>1</v>
      </c>
      <c r="I331" s="18">
        <f t="shared" si="118"/>
        <v>1.4999999999999999E-2</v>
      </c>
      <c r="J331" s="3">
        <v>2814</v>
      </c>
      <c r="K331" s="19">
        <v>43206</v>
      </c>
      <c r="L331" s="31">
        <v>0.43958333333333338</v>
      </c>
      <c r="M331" s="14">
        <f t="shared" si="119"/>
        <v>-8360.6999999999389</v>
      </c>
      <c r="N331" s="3"/>
      <c r="O331" s="3"/>
      <c r="P331" s="4"/>
      <c r="Q331" s="4"/>
      <c r="R331" s="4"/>
      <c r="S331">
        <f>IF(B331="","",VLOOKUP(Cmt(B331),Sheet2!A:B,2,FALSE))</f>
        <v>10</v>
      </c>
      <c r="T331" s="39">
        <v>9520000</v>
      </c>
      <c r="U331" s="13">
        <f t="shared" si="122"/>
        <v>33.509681552427523</v>
      </c>
      <c r="W331" s="11"/>
    </row>
    <row r="332" spans="1:23">
      <c r="A332" s="2">
        <v>43206</v>
      </c>
      <c r="B332" s="1" t="s">
        <v>375</v>
      </c>
      <c r="C332" s="1">
        <v>-12</v>
      </c>
      <c r="D332" s="1">
        <v>23310</v>
      </c>
      <c r="E332" s="2">
        <v>43206</v>
      </c>
      <c r="F332" s="26">
        <v>0.38541666666666669</v>
      </c>
      <c r="G332" s="17">
        <v>2.3E-2</v>
      </c>
      <c r="H332" s="52">
        <v>1</v>
      </c>
      <c r="I332" s="17">
        <f t="shared" si="118"/>
        <v>2.3E-2</v>
      </c>
      <c r="J332" s="1">
        <v>23705</v>
      </c>
      <c r="K332" s="2">
        <v>43206</v>
      </c>
      <c r="L332" s="26">
        <v>0.61458333333333337</v>
      </c>
      <c r="M332" s="16">
        <f t="shared" si="119"/>
        <v>-23700</v>
      </c>
      <c r="S332">
        <f>IF(B332="","",VLOOKUP(Cmt(B332),Sheet2!A:B,2,FALSE))</f>
        <v>5</v>
      </c>
      <c r="T332" s="39">
        <f t="shared" si="123"/>
        <v>9520000</v>
      </c>
      <c r="U332" s="13">
        <f t="shared" si="122"/>
        <v>12.524524524524525</v>
      </c>
      <c r="W332" s="11"/>
    </row>
    <row r="333" spans="1:23">
      <c r="B333" s="1" t="s">
        <v>376</v>
      </c>
      <c r="C333" s="1">
        <v>-24</v>
      </c>
      <c r="D333" s="1">
        <v>5046</v>
      </c>
      <c r="E333" s="2">
        <v>43206</v>
      </c>
      <c r="F333" s="26">
        <v>0.38541666666666669</v>
      </c>
      <c r="G333" s="17">
        <v>1.9E-2</v>
      </c>
      <c r="H333" s="52">
        <v>1</v>
      </c>
      <c r="I333" s="17">
        <f t="shared" si="118"/>
        <v>1.9E-2</v>
      </c>
      <c r="J333" s="1">
        <v>4998</v>
      </c>
      <c r="K333" s="2">
        <v>43207</v>
      </c>
      <c r="L333" s="26">
        <v>0.88541666666666663</v>
      </c>
      <c r="M333" s="16">
        <f t="shared" si="119"/>
        <v>11520</v>
      </c>
      <c r="S333">
        <f>IF(B333="","",VLOOKUP(Cmt(B333),Sheet2!A:B,2,FALSE))</f>
        <v>10</v>
      </c>
      <c r="T333" s="39">
        <f t="shared" si="123"/>
        <v>9520000</v>
      </c>
      <c r="U333" s="13">
        <f t="shared" si="122"/>
        <v>23.89747654908178</v>
      </c>
      <c r="W333" s="11"/>
    </row>
    <row r="334" spans="1:23">
      <c r="B334" s="1" t="s">
        <v>377</v>
      </c>
      <c r="C334" s="1">
        <v>1</v>
      </c>
      <c r="D334" s="1">
        <v>94.114999999999995</v>
      </c>
      <c r="E334" s="2">
        <v>43206</v>
      </c>
      <c r="F334" s="26">
        <v>0.44305555555555554</v>
      </c>
      <c r="G334" s="17">
        <v>8.0000000000000002E-3</v>
      </c>
      <c r="H334" s="52">
        <v>1</v>
      </c>
      <c r="I334" s="17">
        <f t="shared" si="118"/>
        <v>8.0000000000000002E-3</v>
      </c>
      <c r="M334" s="16" t="str">
        <f t="shared" si="119"/>
        <v/>
      </c>
      <c r="S334">
        <f>IF(B334="","",VLOOKUP(Cmt(B334),Sheet2!A:B,2,FALSE))</f>
        <v>10000</v>
      </c>
      <c r="T334" s="39">
        <f t="shared" si="123"/>
        <v>9520000</v>
      </c>
      <c r="U334" s="13">
        <f t="shared" si="122"/>
        <v>0.53948183959340523</v>
      </c>
      <c r="W334" s="11"/>
    </row>
    <row r="335" spans="1:23">
      <c r="B335" s="1" t="s">
        <v>378</v>
      </c>
      <c r="C335" s="1">
        <v>1</v>
      </c>
      <c r="D335" s="1">
        <v>97.204999999999998</v>
      </c>
      <c r="E335" s="2">
        <v>43206</v>
      </c>
      <c r="F335" s="26">
        <v>0.44305555555555554</v>
      </c>
      <c r="G335" s="17">
        <v>1.0999999999999999E-2</v>
      </c>
      <c r="H335" s="52">
        <v>1</v>
      </c>
      <c r="I335" s="17">
        <f t="shared" si="118"/>
        <v>1.0999999999999999E-2</v>
      </c>
      <c r="M335" s="16" t="str">
        <f t="shared" si="119"/>
        <v/>
      </c>
      <c r="S335">
        <f>IF(B335="","",VLOOKUP(Cmt(B335),Sheet2!A:B,2,FALSE))</f>
        <v>10000</v>
      </c>
      <c r="T335" s="39">
        <f t="shared" si="123"/>
        <v>9520000</v>
      </c>
      <c r="U335" s="13">
        <f t="shared" si="122"/>
        <v>0.71820722527990677</v>
      </c>
      <c r="W335" s="11"/>
    </row>
    <row r="336" spans="1:23">
      <c r="B336" s="1" t="s">
        <v>379</v>
      </c>
      <c r="C336" s="1">
        <v>-45</v>
      </c>
      <c r="D336" s="1">
        <v>2127</v>
      </c>
      <c r="E336" s="2">
        <v>43206</v>
      </c>
      <c r="F336" s="26">
        <v>0.44305555555555554</v>
      </c>
      <c r="G336" s="17">
        <v>1.4999999999999999E-2</v>
      </c>
      <c r="H336" s="52">
        <v>1</v>
      </c>
      <c r="I336" s="17">
        <f t="shared" si="118"/>
        <v>1.4999999999999999E-2</v>
      </c>
      <c r="J336" s="1">
        <v>2128</v>
      </c>
      <c r="K336" s="2">
        <v>43206</v>
      </c>
      <c r="L336" s="26">
        <v>0.47569444444444442</v>
      </c>
      <c r="M336" s="16">
        <f t="shared" si="119"/>
        <v>-450</v>
      </c>
      <c r="S336">
        <f>IF(B336="","",VLOOKUP(Cmt(B336),Sheet2!A:B,2,FALSE))</f>
        <v>10</v>
      </c>
      <c r="T336" s="39">
        <f t="shared" si="123"/>
        <v>9520000</v>
      </c>
      <c r="U336" s="13">
        <f t="shared" si="122"/>
        <v>44.757874941231783</v>
      </c>
      <c r="W336" s="11"/>
    </row>
    <row r="337" spans="1:23">
      <c r="B337" s="1" t="s">
        <v>381</v>
      </c>
      <c r="C337" s="1">
        <v>-1</v>
      </c>
      <c r="D337" s="1">
        <v>6001.2</v>
      </c>
      <c r="E337" s="2">
        <v>43206</v>
      </c>
      <c r="F337" s="26">
        <v>0.44305555555555554</v>
      </c>
      <c r="G337" s="17">
        <v>0.01</v>
      </c>
      <c r="H337" s="52">
        <v>1</v>
      </c>
      <c r="I337" s="17">
        <f t="shared" si="118"/>
        <v>0.01</v>
      </c>
      <c r="M337" s="16" t="str">
        <f t="shared" si="119"/>
        <v/>
      </c>
      <c r="S337">
        <f>IF(B337="","",VLOOKUP(Cmt(B337),Sheet2!A:B,2,FALSE))</f>
        <v>200</v>
      </c>
      <c r="T337" s="39">
        <f t="shared" si="123"/>
        <v>9520000</v>
      </c>
      <c r="U337" s="13">
        <f t="shared" si="122"/>
        <v>0.52878313226243645</v>
      </c>
      <c r="W337" s="11"/>
    </row>
    <row r="338" spans="1:23">
      <c r="B338" s="1" t="s">
        <v>380</v>
      </c>
      <c r="C338" s="1">
        <v>-1</v>
      </c>
      <c r="D338" s="1">
        <v>3764.6</v>
      </c>
      <c r="E338" s="2">
        <v>43206</v>
      </c>
      <c r="F338" s="26">
        <v>0.47222222222222227</v>
      </c>
      <c r="G338" s="17">
        <v>1.4999999999999999E-2</v>
      </c>
      <c r="H338" s="52">
        <v>1</v>
      </c>
      <c r="I338" s="17">
        <f t="shared" si="118"/>
        <v>1.4999999999999999E-2</v>
      </c>
      <c r="M338" s="16" t="str">
        <f t="shared" si="119"/>
        <v/>
      </c>
      <c r="S338">
        <f>IF(B338="","",VLOOKUP(Cmt(B338),Sheet2!A:B,2,FALSE))</f>
        <v>300</v>
      </c>
      <c r="T338" s="39">
        <f t="shared" si="123"/>
        <v>9520000</v>
      </c>
      <c r="U338" s="13">
        <f t="shared" si="122"/>
        <v>0.84294037436469571</v>
      </c>
      <c r="W338" s="11"/>
    </row>
    <row r="339" spans="1:23">
      <c r="B339" s="1" t="s">
        <v>382</v>
      </c>
      <c r="C339" s="1">
        <v>23</v>
      </c>
      <c r="D339" s="1">
        <v>4065</v>
      </c>
      <c r="E339" s="2">
        <v>43206</v>
      </c>
      <c r="F339" s="26">
        <v>0.56597222222222221</v>
      </c>
      <c r="G339" s="17">
        <v>1.4999999999999999E-2</v>
      </c>
      <c r="H339" s="52">
        <v>1</v>
      </c>
      <c r="I339" s="17">
        <f t="shared" si="118"/>
        <v>1.4999999999999999E-2</v>
      </c>
      <c r="J339" s="1">
        <v>4068</v>
      </c>
      <c r="K339" s="2">
        <v>43207</v>
      </c>
      <c r="L339" s="26">
        <v>0.38194444444444442</v>
      </c>
      <c r="M339" s="16">
        <f t="shared" si="119"/>
        <v>345</v>
      </c>
      <c r="S339">
        <f>IF(B339="","",VLOOKUP(Cmt(B339),Sheet2!A:B,2,FALSE))</f>
        <v>5</v>
      </c>
      <c r="T339" s="39">
        <f t="shared" si="123"/>
        <v>9520000</v>
      </c>
      <c r="U339" s="13">
        <f t="shared" si="122"/>
        <v>46.838868388683885</v>
      </c>
      <c r="W339" s="11"/>
    </row>
    <row r="340" spans="1:23">
      <c r="B340" s="1" t="s">
        <v>383</v>
      </c>
      <c r="C340" s="1">
        <v>-39</v>
      </c>
      <c r="D340" s="1">
        <v>2126</v>
      </c>
      <c r="E340" s="2">
        <v>43206</v>
      </c>
      <c r="F340" s="26">
        <v>0.56597222222222221</v>
      </c>
      <c r="G340" s="17">
        <v>1.2999999999999999E-2</v>
      </c>
      <c r="H340" s="52">
        <v>1</v>
      </c>
      <c r="I340" s="17">
        <f t="shared" si="118"/>
        <v>1.2999999999999999E-2</v>
      </c>
      <c r="J340" s="1">
        <v>2132</v>
      </c>
      <c r="K340" s="2">
        <v>43208</v>
      </c>
      <c r="L340" s="26">
        <v>0.4680555555555555</v>
      </c>
      <c r="M340" s="16">
        <f t="shared" si="119"/>
        <v>-2340</v>
      </c>
      <c r="S340">
        <f>IF(B340="","",VLOOKUP(Cmt(B340),Sheet2!A:B,2,FALSE))</f>
        <v>10</v>
      </c>
      <c r="T340" s="39">
        <f t="shared" si="123"/>
        <v>9520000</v>
      </c>
      <c r="U340" s="13">
        <f t="shared" si="122"/>
        <v>38.808403888366257</v>
      </c>
      <c r="W340" s="11"/>
    </row>
    <row r="341" spans="1:23">
      <c r="B341" s="1" t="s">
        <v>384</v>
      </c>
      <c r="C341" s="1">
        <v>-16</v>
      </c>
      <c r="D341" s="1">
        <v>1116.5</v>
      </c>
      <c r="E341" s="2">
        <v>43206</v>
      </c>
      <c r="F341" s="26">
        <v>0.56597222222222221</v>
      </c>
      <c r="G341" s="17">
        <v>1.9E-2</v>
      </c>
      <c r="H341" s="52">
        <v>1</v>
      </c>
      <c r="I341" s="17">
        <f t="shared" si="118"/>
        <v>1.9E-2</v>
      </c>
      <c r="J341" s="1">
        <v>1126.5</v>
      </c>
      <c r="K341" s="2">
        <v>43207</v>
      </c>
      <c r="L341" s="26">
        <v>0.4458333333333333</v>
      </c>
      <c r="M341" s="16">
        <f t="shared" si="119"/>
        <v>-9600</v>
      </c>
      <c r="S341">
        <f>IF(B341="","",VLOOKUP(Cmt(B341),Sheet2!A:B,2,FALSE))</f>
        <v>60</v>
      </c>
      <c r="T341" s="39">
        <f t="shared" si="123"/>
        <v>9520000</v>
      </c>
      <c r="U341" s="13">
        <f t="shared" si="122"/>
        <v>18.000696621386275</v>
      </c>
      <c r="W341" s="11"/>
    </row>
    <row r="342" spans="1:23">
      <c r="A342" s="3"/>
      <c r="B342" s="3" t="s">
        <v>370</v>
      </c>
      <c r="C342" s="3">
        <v>12</v>
      </c>
      <c r="D342" s="3">
        <v>104375</v>
      </c>
      <c r="E342" s="19">
        <v>43206</v>
      </c>
      <c r="F342" s="31">
        <v>0.61388888888888882</v>
      </c>
      <c r="G342" s="18">
        <v>0.02</v>
      </c>
      <c r="H342" s="51">
        <v>1</v>
      </c>
      <c r="I342" s="18">
        <f t="shared" si="118"/>
        <v>0.02</v>
      </c>
      <c r="J342" s="3">
        <v>103910</v>
      </c>
      <c r="K342" s="19">
        <v>43207</v>
      </c>
      <c r="L342" s="31">
        <v>0.46249999999999997</v>
      </c>
      <c r="M342" s="14">
        <f t="shared" si="119"/>
        <v>-5580</v>
      </c>
      <c r="N342" s="3"/>
      <c r="O342" s="3"/>
      <c r="P342" s="4"/>
      <c r="Q342" s="4"/>
      <c r="R342" s="4"/>
      <c r="S342">
        <f>IF(B342="","",VLOOKUP(Cmt(B342),Sheet2!A:B,2,FALSE))</f>
        <v>1</v>
      </c>
      <c r="T342" s="39">
        <f t="shared" si="123"/>
        <v>9520000</v>
      </c>
      <c r="U342" s="13">
        <f t="shared" si="122"/>
        <v>12.16127744510978</v>
      </c>
      <c r="W342" s="11"/>
    </row>
    <row r="343" spans="1:23">
      <c r="A343" s="2">
        <v>43207</v>
      </c>
      <c r="B343" s="1" t="s">
        <v>385</v>
      </c>
      <c r="C343" s="1">
        <v>-10</v>
      </c>
      <c r="D343" s="1">
        <v>23605</v>
      </c>
      <c r="E343" s="2">
        <v>43207</v>
      </c>
      <c r="F343" s="26">
        <v>0.38194444444444442</v>
      </c>
      <c r="G343" s="17">
        <v>1.9E-2</v>
      </c>
      <c r="H343" s="52">
        <v>1</v>
      </c>
      <c r="I343" s="17">
        <f t="shared" ref="I343:I374" si="127">IF(G343="","",G343*H343)</f>
        <v>1.9E-2</v>
      </c>
      <c r="J343" s="1">
        <v>23655</v>
      </c>
      <c r="K343" s="2">
        <v>43207</v>
      </c>
      <c r="L343" s="26">
        <v>0.59236111111111112</v>
      </c>
      <c r="M343" s="16">
        <f t="shared" si="119"/>
        <v>-2500</v>
      </c>
      <c r="S343">
        <f>IF(B343="","",VLOOKUP(Cmt(B343),Sheet2!A:B,2,FALSE))</f>
        <v>5</v>
      </c>
      <c r="T343" s="39">
        <f t="shared" si="123"/>
        <v>9520000</v>
      </c>
      <c r="U343" s="13">
        <f t="shared" si="122"/>
        <v>10.21704441149474</v>
      </c>
      <c r="W343" s="11"/>
    </row>
    <row r="344" spans="1:23">
      <c r="B344" s="1" t="s">
        <v>386</v>
      </c>
      <c r="C344" s="1">
        <v>38</v>
      </c>
      <c r="D344" s="1">
        <v>2673</v>
      </c>
      <c r="E344" s="2">
        <v>43207</v>
      </c>
      <c r="F344" s="26">
        <v>0.44791666666666669</v>
      </c>
      <c r="G344" s="17">
        <v>1.6E-2</v>
      </c>
      <c r="H344" s="52">
        <v>1</v>
      </c>
      <c r="I344" s="17">
        <f t="shared" si="127"/>
        <v>1.6E-2</v>
      </c>
      <c r="M344" s="16" t="str">
        <f t="shared" ref="M344:M374" si="128">IF(J344="","",C344*(J344-D344)*S344)</f>
        <v/>
      </c>
      <c r="S344">
        <f>IF(B344="","",VLOOKUP(Cmt(B344),Sheet2!A:B,2,FALSE))</f>
        <v>10</v>
      </c>
      <c r="T344" s="39">
        <f t="shared" si="123"/>
        <v>9520000</v>
      </c>
      <c r="U344" s="13">
        <f t="shared" si="122"/>
        <v>37.989774286070585</v>
      </c>
      <c r="W344" s="11"/>
    </row>
    <row r="345" spans="1:23">
      <c r="A345" s="3"/>
      <c r="B345" s="3" t="s">
        <v>387</v>
      </c>
      <c r="C345" s="3">
        <v>-1</v>
      </c>
      <c r="D345" s="3">
        <v>2660.2</v>
      </c>
      <c r="E345" s="19">
        <v>43207</v>
      </c>
      <c r="F345" s="31">
        <v>0.44791666666666669</v>
      </c>
      <c r="G345" s="18">
        <v>1.7999999999999999E-2</v>
      </c>
      <c r="H345" s="51">
        <v>1</v>
      </c>
      <c r="I345" s="18">
        <f t="shared" si="127"/>
        <v>1.7999999999999999E-2</v>
      </c>
      <c r="J345" s="3"/>
      <c r="K345" s="3"/>
      <c r="L345" s="3"/>
      <c r="M345" s="14" t="str">
        <f t="shared" si="128"/>
        <v/>
      </c>
      <c r="N345" s="3"/>
      <c r="O345" s="3"/>
      <c r="P345" s="4"/>
      <c r="Q345" s="4"/>
      <c r="R345" s="4"/>
      <c r="S345">
        <f>IF(B345="","",VLOOKUP(Cmt(B345),Sheet2!A:B,2,FALSE))</f>
        <v>300</v>
      </c>
      <c r="T345" s="39">
        <f t="shared" si="123"/>
        <v>9520000</v>
      </c>
      <c r="U345" s="13">
        <f t="shared" si="122"/>
        <v>1.431471317946019</v>
      </c>
      <c r="W345" s="11"/>
    </row>
    <row r="346" spans="1:23">
      <c r="A346" s="2">
        <v>43208</v>
      </c>
      <c r="B346" s="1" t="s">
        <v>388</v>
      </c>
      <c r="C346" s="1">
        <v>16</v>
      </c>
      <c r="D346" s="1">
        <v>6372</v>
      </c>
      <c r="E346" s="2">
        <v>43208</v>
      </c>
      <c r="F346" s="26">
        <v>0.4201388888888889</v>
      </c>
      <c r="G346" s="17">
        <v>8.0000000000000002E-3</v>
      </c>
      <c r="H346" s="52">
        <v>1</v>
      </c>
      <c r="I346" s="17">
        <f t="shared" si="127"/>
        <v>8.0000000000000002E-3</v>
      </c>
      <c r="J346" s="1">
        <v>6262</v>
      </c>
      <c r="K346" s="2">
        <v>43208</v>
      </c>
      <c r="L346" s="26">
        <v>0.61736111111111114</v>
      </c>
      <c r="M346" s="16">
        <f t="shared" si="128"/>
        <v>-8800</v>
      </c>
      <c r="S346">
        <f>IF(B346="","",VLOOKUP(Cmt(B346),Sheet2!A:B,2,FALSE))</f>
        <v>5</v>
      </c>
      <c r="T346" s="39">
        <f t="shared" si="123"/>
        <v>9520000</v>
      </c>
      <c r="U346" s="13">
        <f t="shared" si="122"/>
        <v>15.936388365766897</v>
      </c>
      <c r="W346" s="11"/>
    </row>
    <row r="347" spans="1:23">
      <c r="B347" s="1" t="s">
        <v>389</v>
      </c>
      <c r="C347" s="1">
        <v>27</v>
      </c>
      <c r="D347" s="1">
        <v>2844</v>
      </c>
      <c r="E347" s="2">
        <v>43208</v>
      </c>
      <c r="F347" s="26">
        <v>0.4201388888888889</v>
      </c>
      <c r="G347" s="17">
        <v>1.2E-2</v>
      </c>
      <c r="H347" s="52">
        <v>1</v>
      </c>
      <c r="I347" s="17">
        <f t="shared" si="127"/>
        <v>1.2E-2</v>
      </c>
      <c r="M347" s="16" t="str">
        <f t="shared" si="128"/>
        <v/>
      </c>
      <c r="S347">
        <f>IF(B347="","",VLOOKUP(Cmt(B347),Sheet2!A:B,2,FALSE))</f>
        <v>10</v>
      </c>
      <c r="T347" s="39">
        <f t="shared" si="123"/>
        <v>9520000</v>
      </c>
      <c r="U347" s="13">
        <f t="shared" si="122"/>
        <v>26.779184247538677</v>
      </c>
      <c r="W347" s="11"/>
    </row>
    <row r="348" spans="1:23">
      <c r="B348" s="1" t="s">
        <v>390</v>
      </c>
      <c r="C348" s="1">
        <v>12</v>
      </c>
      <c r="D348" s="1">
        <v>103580</v>
      </c>
      <c r="E348" s="2">
        <v>43208</v>
      </c>
      <c r="F348" s="26">
        <v>0.4680555555555555</v>
      </c>
      <c r="G348" s="17">
        <v>0.02</v>
      </c>
      <c r="H348" s="52">
        <v>1</v>
      </c>
      <c r="I348" s="17">
        <f t="shared" si="127"/>
        <v>0.02</v>
      </c>
      <c r="M348" s="16" t="str">
        <f t="shared" si="128"/>
        <v/>
      </c>
      <c r="S348">
        <f>IF(B348="","",VLOOKUP(Cmt(B348),Sheet2!A:B,2,FALSE))</f>
        <v>1</v>
      </c>
      <c r="T348" s="39">
        <f t="shared" si="123"/>
        <v>9520000</v>
      </c>
      <c r="U348" s="13">
        <f t="shared" si="122"/>
        <v>12.254618008624574</v>
      </c>
      <c r="W348" s="11"/>
    </row>
    <row r="349" spans="1:23">
      <c r="A349" s="3"/>
      <c r="B349" s="3" t="s">
        <v>391</v>
      </c>
      <c r="C349" s="3">
        <v>6</v>
      </c>
      <c r="D349" s="3">
        <v>51130</v>
      </c>
      <c r="E349" s="19">
        <v>43208</v>
      </c>
      <c r="F349" s="31">
        <v>0.61736111111111114</v>
      </c>
      <c r="G349" s="18">
        <v>2.4E-2</v>
      </c>
      <c r="H349" s="51">
        <v>1</v>
      </c>
      <c r="I349" s="18">
        <f t="shared" si="127"/>
        <v>2.4E-2</v>
      </c>
      <c r="J349" s="3"/>
      <c r="K349" s="3"/>
      <c r="L349" s="3"/>
      <c r="M349" s="14" t="str">
        <f t="shared" si="128"/>
        <v/>
      </c>
      <c r="N349" s="3"/>
      <c r="O349" s="3"/>
      <c r="P349" s="4"/>
      <c r="Q349" s="4"/>
      <c r="R349" s="4"/>
      <c r="S349">
        <f>IF(B349="","",VLOOKUP(Cmt(B349),Sheet2!A:B,2,FALSE))</f>
        <v>5</v>
      </c>
      <c r="T349" s="39">
        <f t="shared" si="123"/>
        <v>9520000</v>
      </c>
      <c r="U349" s="13">
        <f t="shared" si="122"/>
        <v>5.9581459026012125</v>
      </c>
      <c r="W349" s="11"/>
    </row>
    <row r="350" spans="1:23">
      <c r="A350" s="2">
        <v>43209</v>
      </c>
      <c r="I350" s="17" t="str">
        <f t="shared" si="127"/>
        <v/>
      </c>
      <c r="M350" s="16" t="str">
        <f t="shared" si="128"/>
        <v/>
      </c>
      <c r="S350" t="str">
        <f>IF(B350="","",VLOOKUP(Cmt(B350),Sheet2!A:B,2,FALSE))</f>
        <v/>
      </c>
      <c r="T350" s="39" t="str">
        <f t="shared" si="123"/>
        <v/>
      </c>
      <c r="U350" s="13" t="str">
        <f t="shared" si="122"/>
        <v/>
      </c>
      <c r="W350" s="11"/>
    </row>
    <row r="351" spans="1:23">
      <c r="I351" s="17" t="str">
        <f t="shared" si="127"/>
        <v/>
      </c>
      <c r="M351" s="16" t="str">
        <f t="shared" si="128"/>
        <v/>
      </c>
      <c r="S351" t="str">
        <f>IF(B351="","",VLOOKUP(Cmt(B351),Sheet2!A:B,2,FALSE))</f>
        <v/>
      </c>
      <c r="T351" s="39" t="str">
        <f t="shared" si="123"/>
        <v/>
      </c>
      <c r="U351" s="13" t="str">
        <f t="shared" si="122"/>
        <v/>
      </c>
      <c r="W351" s="11"/>
    </row>
    <row r="352" spans="1:23">
      <c r="I352" s="17" t="str">
        <f t="shared" si="127"/>
        <v/>
      </c>
      <c r="M352" s="16" t="str">
        <f t="shared" si="128"/>
        <v/>
      </c>
      <c r="S352" t="str">
        <f>IF(B352="","",VLOOKUP(Cmt(B352),Sheet2!A:B,2,FALSE))</f>
        <v/>
      </c>
      <c r="T352" s="39" t="str">
        <f t="shared" si="123"/>
        <v/>
      </c>
      <c r="U352" s="13" t="str">
        <f t="shared" ref="U352:U374" si="129">IF(S352="","",T352*I352/(D352*S352*0.15))</f>
        <v/>
      </c>
      <c r="W352" s="11"/>
    </row>
    <row r="353" spans="9:23">
      <c r="I353" s="17" t="str">
        <f t="shared" si="127"/>
        <v/>
      </c>
      <c r="M353" s="16" t="str">
        <f t="shared" si="128"/>
        <v/>
      </c>
      <c r="S353" t="str">
        <f>IF(B353="","",VLOOKUP(Cmt(B353),Sheet2!A:B,2,FALSE))</f>
        <v/>
      </c>
      <c r="T353" s="39" t="str">
        <f t="shared" si="123"/>
        <v/>
      </c>
      <c r="U353" s="13" t="str">
        <f t="shared" si="129"/>
        <v/>
      </c>
      <c r="W353" s="11"/>
    </row>
    <row r="354" spans="9:23">
      <c r="I354" s="17" t="str">
        <f t="shared" si="127"/>
        <v/>
      </c>
      <c r="M354" s="16" t="str">
        <f t="shared" si="128"/>
        <v/>
      </c>
      <c r="S354" t="str">
        <f>IF(B354="","",VLOOKUP(Cmt(B354),Sheet2!A:B,2,FALSE))</f>
        <v/>
      </c>
      <c r="T354" s="39" t="str">
        <f t="shared" ref="T354:T374" si="130">IF(S354="","",T353)</f>
        <v/>
      </c>
      <c r="U354" s="13" t="str">
        <f t="shared" si="129"/>
        <v/>
      </c>
      <c r="W354" s="11"/>
    </row>
    <row r="355" spans="9:23">
      <c r="I355" s="17" t="str">
        <f t="shared" si="127"/>
        <v/>
      </c>
      <c r="M355" s="16" t="str">
        <f t="shared" si="128"/>
        <v/>
      </c>
      <c r="S355" t="str">
        <f>IF(B355="","",VLOOKUP(Cmt(B355),Sheet2!A:B,2,FALSE))</f>
        <v/>
      </c>
      <c r="T355" s="39" t="str">
        <f t="shared" si="130"/>
        <v/>
      </c>
      <c r="U355" s="13" t="str">
        <f t="shared" si="129"/>
        <v/>
      </c>
      <c r="W355" s="11"/>
    </row>
    <row r="356" spans="9:23">
      <c r="I356" s="17" t="str">
        <f t="shared" si="127"/>
        <v/>
      </c>
      <c r="M356" s="16" t="str">
        <f t="shared" si="128"/>
        <v/>
      </c>
      <c r="S356" t="str">
        <f>IF(B356="","",VLOOKUP(Cmt(B356),Sheet2!A:B,2,FALSE))</f>
        <v/>
      </c>
      <c r="T356" s="39" t="str">
        <f t="shared" si="130"/>
        <v/>
      </c>
      <c r="U356" s="13" t="str">
        <f t="shared" si="129"/>
        <v/>
      </c>
      <c r="W356" s="11"/>
    </row>
    <row r="357" spans="9:23">
      <c r="I357" s="17" t="str">
        <f t="shared" si="127"/>
        <v/>
      </c>
      <c r="M357" s="16" t="str">
        <f t="shared" si="128"/>
        <v/>
      </c>
      <c r="S357" t="str">
        <f>IF(B357="","",VLOOKUP(Cmt(B357),Sheet2!A:B,2,FALSE))</f>
        <v/>
      </c>
      <c r="T357" s="39" t="str">
        <f t="shared" si="130"/>
        <v/>
      </c>
      <c r="U357" s="13" t="str">
        <f t="shared" si="129"/>
        <v/>
      </c>
      <c r="W357" s="11"/>
    </row>
    <row r="358" spans="9:23">
      <c r="I358" s="17" t="str">
        <f t="shared" si="127"/>
        <v/>
      </c>
      <c r="M358" s="16" t="str">
        <f t="shared" si="128"/>
        <v/>
      </c>
      <c r="S358" t="str">
        <f>IF(B358="","",VLOOKUP(Cmt(B358),Sheet2!A:B,2,FALSE))</f>
        <v/>
      </c>
      <c r="T358" s="39" t="str">
        <f t="shared" si="130"/>
        <v/>
      </c>
      <c r="U358" s="13" t="str">
        <f t="shared" si="129"/>
        <v/>
      </c>
      <c r="W358" s="11"/>
    </row>
    <row r="359" spans="9:23">
      <c r="I359" s="17" t="str">
        <f t="shared" si="127"/>
        <v/>
      </c>
      <c r="M359" s="16" t="str">
        <f t="shared" si="128"/>
        <v/>
      </c>
      <c r="S359" t="str">
        <f>IF(B359="","",VLOOKUP(Cmt(B359),Sheet2!A:B,2,FALSE))</f>
        <v/>
      </c>
      <c r="T359" s="39" t="str">
        <f t="shared" si="130"/>
        <v/>
      </c>
      <c r="U359" s="13" t="str">
        <f t="shared" si="129"/>
        <v/>
      </c>
      <c r="W359" s="11"/>
    </row>
    <row r="360" spans="9:23">
      <c r="I360" s="17" t="str">
        <f t="shared" si="127"/>
        <v/>
      </c>
      <c r="M360" s="16" t="str">
        <f t="shared" si="128"/>
        <v/>
      </c>
      <c r="S360" t="str">
        <f>IF(B360="","",VLOOKUP(Cmt(B360),Sheet2!A:B,2,FALSE))</f>
        <v/>
      </c>
      <c r="T360" s="39" t="str">
        <f t="shared" si="130"/>
        <v/>
      </c>
      <c r="U360" s="13" t="str">
        <f t="shared" si="129"/>
        <v/>
      </c>
      <c r="W360" s="11"/>
    </row>
    <row r="361" spans="9:23">
      <c r="I361" s="17" t="str">
        <f t="shared" si="127"/>
        <v/>
      </c>
      <c r="M361" s="16" t="str">
        <f t="shared" si="128"/>
        <v/>
      </c>
      <c r="S361" t="str">
        <f>IF(B361="","",VLOOKUP(Cmt(B361),Sheet2!A:B,2,FALSE))</f>
        <v/>
      </c>
      <c r="T361" s="39" t="str">
        <f t="shared" si="130"/>
        <v/>
      </c>
      <c r="U361" s="13" t="str">
        <f t="shared" si="129"/>
        <v/>
      </c>
      <c r="W361" s="11"/>
    </row>
    <row r="362" spans="9:23">
      <c r="I362" s="17" t="str">
        <f t="shared" si="127"/>
        <v/>
      </c>
      <c r="M362" s="16" t="str">
        <f t="shared" si="128"/>
        <v/>
      </c>
      <c r="S362" t="str">
        <f>IF(B362="","",VLOOKUP(Cmt(B362),Sheet2!A:B,2,FALSE))</f>
        <v/>
      </c>
      <c r="T362" s="39" t="str">
        <f t="shared" si="130"/>
        <v/>
      </c>
      <c r="U362" s="13" t="str">
        <f t="shared" si="129"/>
        <v/>
      </c>
      <c r="W362" s="11"/>
    </row>
    <row r="363" spans="9:23">
      <c r="I363" s="17" t="str">
        <f t="shared" si="127"/>
        <v/>
      </c>
      <c r="M363" s="16" t="str">
        <f t="shared" si="128"/>
        <v/>
      </c>
      <c r="S363" t="str">
        <f>IF(B363="","",VLOOKUP(Cmt(B363),Sheet2!A:B,2,FALSE))</f>
        <v/>
      </c>
      <c r="T363" s="39" t="str">
        <f t="shared" si="130"/>
        <v/>
      </c>
      <c r="U363" s="13" t="str">
        <f t="shared" si="129"/>
        <v/>
      </c>
      <c r="W363" s="11"/>
    </row>
    <row r="364" spans="9:23">
      <c r="I364" s="17" t="str">
        <f t="shared" si="127"/>
        <v/>
      </c>
      <c r="M364" s="16" t="str">
        <f t="shared" si="128"/>
        <v/>
      </c>
      <c r="S364" t="str">
        <f>IF(B364="","",VLOOKUP(Cmt(B364),Sheet2!A:B,2,FALSE))</f>
        <v/>
      </c>
      <c r="T364" s="39" t="str">
        <f t="shared" si="130"/>
        <v/>
      </c>
      <c r="U364" s="13" t="str">
        <f t="shared" si="129"/>
        <v/>
      </c>
      <c r="W364" s="11"/>
    </row>
    <row r="365" spans="9:23">
      <c r="I365" s="17" t="str">
        <f t="shared" si="127"/>
        <v/>
      </c>
      <c r="M365" s="16" t="str">
        <f t="shared" si="128"/>
        <v/>
      </c>
      <c r="S365" t="str">
        <f>IF(B365="","",VLOOKUP(Cmt(B365),Sheet2!A:B,2,FALSE))</f>
        <v/>
      </c>
      <c r="T365" s="39" t="str">
        <f t="shared" si="130"/>
        <v/>
      </c>
      <c r="U365" s="13" t="str">
        <f t="shared" si="129"/>
        <v/>
      </c>
      <c r="W365" s="11"/>
    </row>
    <row r="366" spans="9:23">
      <c r="I366" s="17" t="str">
        <f t="shared" si="127"/>
        <v/>
      </c>
      <c r="M366" s="16" t="str">
        <f t="shared" si="128"/>
        <v/>
      </c>
      <c r="S366" t="str">
        <f>IF(B366="","",VLOOKUP(Cmt(B366),Sheet2!A:B,2,FALSE))</f>
        <v/>
      </c>
      <c r="T366" s="39" t="str">
        <f t="shared" si="130"/>
        <v/>
      </c>
      <c r="U366" s="13" t="str">
        <f t="shared" si="129"/>
        <v/>
      </c>
      <c r="W366" s="11"/>
    </row>
    <row r="367" spans="9:23">
      <c r="I367" s="17" t="str">
        <f t="shared" si="127"/>
        <v/>
      </c>
      <c r="M367" s="16" t="str">
        <f t="shared" si="128"/>
        <v/>
      </c>
      <c r="S367" t="str">
        <f>IF(B367="","",VLOOKUP(Cmt(B367),Sheet2!A:B,2,FALSE))</f>
        <v/>
      </c>
      <c r="T367" s="39" t="str">
        <f t="shared" si="130"/>
        <v/>
      </c>
      <c r="U367" s="13" t="str">
        <f t="shared" si="129"/>
        <v/>
      </c>
      <c r="W367" s="11"/>
    </row>
    <row r="368" spans="9:23">
      <c r="I368" s="17" t="str">
        <f t="shared" si="127"/>
        <v/>
      </c>
      <c r="M368" s="16" t="str">
        <f t="shared" si="128"/>
        <v/>
      </c>
      <c r="S368" t="str">
        <f>IF(B368="","",VLOOKUP(Cmt(B368),Sheet2!A:B,2,FALSE))</f>
        <v/>
      </c>
      <c r="T368" s="39" t="str">
        <f t="shared" si="130"/>
        <v/>
      </c>
      <c r="U368" s="13" t="str">
        <f t="shared" si="129"/>
        <v/>
      </c>
      <c r="W368" s="11"/>
    </row>
    <row r="369" spans="9:23">
      <c r="I369" s="17" t="str">
        <f t="shared" si="127"/>
        <v/>
      </c>
      <c r="M369" s="16" t="str">
        <f t="shared" si="128"/>
        <v/>
      </c>
      <c r="S369" t="str">
        <f>IF(B369="","",VLOOKUP(Cmt(B369),Sheet2!A:B,2,FALSE))</f>
        <v/>
      </c>
      <c r="T369" s="39" t="str">
        <f t="shared" si="130"/>
        <v/>
      </c>
      <c r="U369" s="13" t="str">
        <f t="shared" si="129"/>
        <v/>
      </c>
      <c r="W369" s="11"/>
    </row>
    <row r="370" spans="9:23">
      <c r="I370" s="17" t="str">
        <f t="shared" si="127"/>
        <v/>
      </c>
      <c r="M370" s="16" t="str">
        <f t="shared" si="128"/>
        <v/>
      </c>
      <c r="S370" t="str">
        <f>IF(B370="","",VLOOKUP(Cmt(B370),Sheet2!A:B,2,FALSE))</f>
        <v/>
      </c>
      <c r="T370" s="39" t="str">
        <f t="shared" si="130"/>
        <v/>
      </c>
      <c r="U370" s="13" t="str">
        <f t="shared" si="129"/>
        <v/>
      </c>
      <c r="W370" s="11"/>
    </row>
    <row r="371" spans="9:23">
      <c r="I371" s="17" t="str">
        <f t="shared" si="127"/>
        <v/>
      </c>
      <c r="M371" s="16" t="str">
        <f t="shared" si="128"/>
        <v/>
      </c>
      <c r="S371" t="str">
        <f>IF(B371="","",VLOOKUP(Cmt(B371),Sheet2!A:B,2,FALSE))</f>
        <v/>
      </c>
      <c r="T371" s="39" t="str">
        <f t="shared" si="130"/>
        <v/>
      </c>
      <c r="U371" s="13" t="str">
        <f t="shared" si="129"/>
        <v/>
      </c>
      <c r="W371" s="11"/>
    </row>
    <row r="372" spans="9:23">
      <c r="I372" s="17" t="str">
        <f t="shared" si="127"/>
        <v/>
      </c>
      <c r="M372" s="16" t="str">
        <f t="shared" si="128"/>
        <v/>
      </c>
      <c r="S372" t="str">
        <f>IF(B372="","",VLOOKUP(Cmt(B372),Sheet2!A:B,2,FALSE))</f>
        <v/>
      </c>
      <c r="T372" s="39" t="str">
        <f t="shared" si="130"/>
        <v/>
      </c>
      <c r="U372" s="13" t="str">
        <f t="shared" si="129"/>
        <v/>
      </c>
      <c r="W372" s="11"/>
    </row>
    <row r="373" spans="9:23">
      <c r="I373" s="17" t="str">
        <f t="shared" si="127"/>
        <v/>
      </c>
      <c r="M373" s="16" t="str">
        <f t="shared" si="128"/>
        <v/>
      </c>
      <c r="S373" t="str">
        <f>IF(B373="","",VLOOKUP(Cmt(B373),Sheet2!A:B,2,FALSE))</f>
        <v/>
      </c>
      <c r="T373" s="39" t="str">
        <f t="shared" si="130"/>
        <v/>
      </c>
      <c r="U373" s="13" t="str">
        <f t="shared" si="129"/>
        <v/>
      </c>
      <c r="W373" s="11"/>
    </row>
    <row r="374" spans="9:23">
      <c r="I374" s="17" t="str">
        <f t="shared" si="127"/>
        <v/>
      </c>
      <c r="M374" s="16" t="str">
        <f t="shared" si="128"/>
        <v/>
      </c>
      <c r="S374" t="str">
        <f>IF(B374="","",VLOOKUP(Cmt(B374),Sheet2!A:B,2,FALSE))</f>
        <v/>
      </c>
      <c r="T374" s="39" t="str">
        <f t="shared" si="130"/>
        <v/>
      </c>
      <c r="U374" s="13" t="str">
        <f t="shared" si="129"/>
        <v/>
      </c>
      <c r="W374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91"/>
  <sheetViews>
    <sheetView workbookViewId="0">
      <pane ySplit="1" topLeftCell="A2" activePane="bottomLeft" state="frozen"/>
      <selection pane="bottomLeft" sqref="A1:J33"/>
    </sheetView>
  </sheetViews>
  <sheetFormatPr defaultRowHeight="13.5"/>
  <cols>
    <col min="2" max="3" width="9.125" bestFit="1" customWidth="1"/>
    <col min="4" max="4" width="10.625" bestFit="1" customWidth="1"/>
    <col min="5" max="5" width="9.125" bestFit="1" customWidth="1"/>
    <col min="6" max="6" width="10.5" style="67" customWidth="1"/>
    <col min="7" max="7" width="10.625" bestFit="1" customWidth="1"/>
    <col min="8" max="8" width="13.125" bestFit="1" customWidth="1"/>
    <col min="9" max="9" width="11" customWidth="1"/>
    <col min="10" max="10" width="9.25" customWidth="1"/>
    <col min="12" max="12" width="9.125" bestFit="1" customWidth="1"/>
  </cols>
  <sheetData>
    <row r="1" spans="1:12">
      <c r="A1" s="66" t="s">
        <v>1</v>
      </c>
      <c r="B1" s="66" t="s">
        <v>2</v>
      </c>
      <c r="C1" s="66" t="s">
        <v>3</v>
      </c>
      <c r="D1" s="66" t="s">
        <v>86</v>
      </c>
      <c r="E1" s="87" t="s">
        <v>339</v>
      </c>
      <c r="F1" s="88" t="s">
        <v>340</v>
      </c>
      <c r="G1" s="66" t="s">
        <v>341</v>
      </c>
      <c r="H1" s="61" t="s">
        <v>342</v>
      </c>
      <c r="I1" s="61" t="s">
        <v>347</v>
      </c>
      <c r="J1" s="66" t="s">
        <v>348</v>
      </c>
      <c r="K1" s="79" t="s">
        <v>271</v>
      </c>
      <c r="L1" s="79" t="s">
        <v>274</v>
      </c>
    </row>
    <row r="2" spans="1:12">
      <c r="A2" s="13" t="s">
        <v>52</v>
      </c>
      <c r="B2" s="13">
        <v>49</v>
      </c>
      <c r="C2" s="13">
        <v>4018</v>
      </c>
      <c r="D2" s="21">
        <v>43161</v>
      </c>
      <c r="E2" s="33">
        <v>0.88611111111111107</v>
      </c>
      <c r="F2" s="20">
        <v>3.1E-2</v>
      </c>
      <c r="G2" s="13">
        <v>3980</v>
      </c>
      <c r="H2" s="21">
        <v>43164</v>
      </c>
      <c r="I2" s="33">
        <v>0.38194444444444442</v>
      </c>
      <c r="J2" s="16">
        <v>-18620</v>
      </c>
      <c r="K2" t="s">
        <v>345</v>
      </c>
    </row>
    <row r="3" spans="1:12">
      <c r="A3" s="13" t="s">
        <v>60</v>
      </c>
      <c r="B3" s="13">
        <v>36</v>
      </c>
      <c r="C3" s="13">
        <v>3146</v>
      </c>
      <c r="D3" s="21">
        <v>43166</v>
      </c>
      <c r="E3" s="33">
        <v>0.56597222222222221</v>
      </c>
      <c r="F3" s="20">
        <v>1.7999999999999999E-2</v>
      </c>
      <c r="G3" s="13">
        <v>3100</v>
      </c>
      <c r="H3" s="21">
        <v>43167</v>
      </c>
      <c r="I3" s="33">
        <v>0.38194444444444442</v>
      </c>
      <c r="J3" s="16">
        <v>-16560</v>
      </c>
      <c r="K3" t="s">
        <v>349</v>
      </c>
    </row>
    <row r="4" spans="1:12">
      <c r="A4" s="13" t="s">
        <v>55</v>
      </c>
      <c r="B4" s="13">
        <v>-15</v>
      </c>
      <c r="C4" s="13">
        <v>100240</v>
      </c>
      <c r="D4" s="21">
        <v>43168</v>
      </c>
      <c r="E4" s="33">
        <v>0.62013888888888891</v>
      </c>
      <c r="F4" s="20">
        <v>2.4E-2</v>
      </c>
      <c r="G4" s="13">
        <v>101240</v>
      </c>
      <c r="H4" s="21">
        <v>43168</v>
      </c>
      <c r="I4" s="33">
        <v>0.93472222222222223</v>
      </c>
      <c r="J4" s="16">
        <v>-15000</v>
      </c>
      <c r="K4" t="s">
        <v>343</v>
      </c>
    </row>
    <row r="5" spans="1:12">
      <c r="A5" s="13" t="s">
        <v>58</v>
      </c>
      <c r="B5" s="13">
        <v>-40</v>
      </c>
      <c r="C5" s="13">
        <v>2706</v>
      </c>
      <c r="D5" s="21">
        <v>43168</v>
      </c>
      <c r="E5" s="33">
        <v>0.57638888888888895</v>
      </c>
      <c r="F5" s="20">
        <v>1.7000000000000001E-2</v>
      </c>
      <c r="G5" s="13">
        <v>2740</v>
      </c>
      <c r="H5" s="21">
        <v>43171</v>
      </c>
      <c r="I5" s="33">
        <v>0.375</v>
      </c>
      <c r="J5" s="16">
        <v>-13600</v>
      </c>
      <c r="K5" t="s">
        <v>344</v>
      </c>
    </row>
    <row r="6" spans="1:12">
      <c r="A6" s="13" t="s">
        <v>61</v>
      </c>
      <c r="B6" s="13">
        <v>36</v>
      </c>
      <c r="C6" s="13">
        <v>4106</v>
      </c>
      <c r="D6" s="21">
        <v>43161</v>
      </c>
      <c r="E6" s="33">
        <v>0.88611111111111107</v>
      </c>
      <c r="F6" s="20">
        <v>2.3E-2</v>
      </c>
      <c r="G6" s="13">
        <v>4069</v>
      </c>
      <c r="H6" s="21">
        <v>43164</v>
      </c>
      <c r="I6" s="33">
        <v>0.38194444444444442</v>
      </c>
      <c r="J6" s="16">
        <v>-13320</v>
      </c>
      <c r="K6" t="s">
        <v>345</v>
      </c>
    </row>
    <row r="7" spans="1:12">
      <c r="A7" s="13" t="s">
        <v>160</v>
      </c>
      <c r="B7" s="13">
        <v>-20</v>
      </c>
      <c r="C7" s="13">
        <v>14075</v>
      </c>
      <c r="D7" s="21">
        <v>43168</v>
      </c>
      <c r="E7" s="33">
        <v>0.62013888888888891</v>
      </c>
      <c r="F7" s="20">
        <v>2.1999999999999999E-2</v>
      </c>
      <c r="G7" s="13">
        <v>14185</v>
      </c>
      <c r="H7" s="21">
        <v>43171</v>
      </c>
      <c r="I7" s="33">
        <v>0.38125000000000003</v>
      </c>
      <c r="J7" s="16">
        <v>-11000</v>
      </c>
      <c r="K7" t="s">
        <v>343</v>
      </c>
    </row>
    <row r="8" spans="1:12">
      <c r="A8" s="13" t="s">
        <v>158</v>
      </c>
      <c r="B8" s="13">
        <v>-12</v>
      </c>
      <c r="C8" s="13">
        <v>2059</v>
      </c>
      <c r="D8" s="21">
        <v>43168</v>
      </c>
      <c r="E8" s="33">
        <v>0.46319444444444446</v>
      </c>
      <c r="F8" s="20">
        <v>3.9E-2</v>
      </c>
      <c r="G8" s="13">
        <v>2068</v>
      </c>
      <c r="H8" s="21">
        <v>43168</v>
      </c>
      <c r="I8" s="33">
        <v>0.96875</v>
      </c>
      <c r="J8" s="16">
        <v>-10800</v>
      </c>
      <c r="K8" t="s">
        <v>345</v>
      </c>
    </row>
    <row r="9" spans="1:12">
      <c r="A9" s="13" t="s">
        <v>56</v>
      </c>
      <c r="B9" s="13">
        <v>1</v>
      </c>
      <c r="C9" s="13">
        <v>6040</v>
      </c>
      <c r="D9" s="21">
        <v>43164</v>
      </c>
      <c r="E9" s="33">
        <v>0.42430555555555555</v>
      </c>
      <c r="F9" s="20">
        <v>1.4E-2</v>
      </c>
      <c r="G9" s="13">
        <v>5986.2</v>
      </c>
      <c r="H9" s="21">
        <v>43164</v>
      </c>
      <c r="I9" s="33">
        <v>0.56736111111111109</v>
      </c>
      <c r="J9" s="16">
        <v>-10760.000000000036</v>
      </c>
      <c r="K9" t="s">
        <v>346</v>
      </c>
    </row>
    <row r="10" spans="1:12">
      <c r="A10" s="13" t="s">
        <v>55</v>
      </c>
      <c r="B10" s="13">
        <v>-15</v>
      </c>
      <c r="C10" s="13">
        <v>101930</v>
      </c>
      <c r="D10" s="21">
        <v>43164</v>
      </c>
      <c r="E10" s="33">
        <v>0.88263888888888886</v>
      </c>
      <c r="F10" s="20">
        <v>2.4E-2</v>
      </c>
      <c r="G10" s="13">
        <v>102620</v>
      </c>
      <c r="H10" s="21">
        <v>43165</v>
      </c>
      <c r="I10" s="33">
        <v>0.58958333333333335</v>
      </c>
      <c r="J10" s="16">
        <v>-10350</v>
      </c>
      <c r="K10" t="s">
        <v>343</v>
      </c>
    </row>
    <row r="11" spans="1:12">
      <c r="A11" s="13" t="s">
        <v>59</v>
      </c>
      <c r="B11" s="13">
        <v>-40</v>
      </c>
      <c r="C11" s="13">
        <v>2654</v>
      </c>
      <c r="D11" s="21">
        <v>43166</v>
      </c>
      <c r="E11" s="33">
        <v>0.40972222222222227</v>
      </c>
      <c r="F11" s="20">
        <v>1.7000000000000001E-2</v>
      </c>
      <c r="G11" s="13">
        <v>2679</v>
      </c>
      <c r="H11" s="21">
        <v>43166</v>
      </c>
      <c r="I11" s="33">
        <v>0.61805555555555558</v>
      </c>
      <c r="J11" s="16">
        <v>-10000</v>
      </c>
      <c r="K11" t="s">
        <v>344</v>
      </c>
    </row>
    <row r="12" spans="1:12">
      <c r="A12" s="13" t="s">
        <v>56</v>
      </c>
      <c r="B12" s="13">
        <v>1</v>
      </c>
      <c r="C12" s="13">
        <v>6101.6</v>
      </c>
      <c r="D12" s="21">
        <v>43166</v>
      </c>
      <c r="E12" s="33">
        <v>0.37847222222222227</v>
      </c>
      <c r="F12" s="20">
        <v>1.4E-2</v>
      </c>
      <c r="G12" s="13">
        <v>6057.4</v>
      </c>
      <c r="H12" s="21">
        <v>43167</v>
      </c>
      <c r="I12" s="33">
        <v>0.4201388888888889</v>
      </c>
      <c r="J12" s="16">
        <v>-8840.0000000001455</v>
      </c>
      <c r="K12" t="s">
        <v>346</v>
      </c>
    </row>
    <row r="13" spans="1:12">
      <c r="A13" s="13" t="s">
        <v>58</v>
      </c>
      <c r="B13" s="13">
        <v>-40</v>
      </c>
      <c r="C13" s="13">
        <v>2710</v>
      </c>
      <c r="D13" s="21">
        <v>43166</v>
      </c>
      <c r="E13" s="33">
        <v>0.40972222222222227</v>
      </c>
      <c r="F13" s="20">
        <v>1.7000000000000001E-2</v>
      </c>
      <c r="G13" s="13">
        <v>2728</v>
      </c>
      <c r="H13" s="21">
        <v>43166</v>
      </c>
      <c r="I13" s="33">
        <v>0.93333333333333324</v>
      </c>
      <c r="J13" s="16">
        <v>-7200</v>
      </c>
      <c r="K13" t="s">
        <v>344</v>
      </c>
    </row>
    <row r="14" spans="1:12">
      <c r="A14" s="13" t="s">
        <v>90</v>
      </c>
      <c r="B14" s="13">
        <v>-1</v>
      </c>
      <c r="C14" s="13">
        <v>2858.6</v>
      </c>
      <c r="D14" s="21">
        <v>43164</v>
      </c>
      <c r="E14" s="33">
        <v>0.56736111111111109</v>
      </c>
      <c r="F14" s="20">
        <v>1.2999999999999999E-2</v>
      </c>
      <c r="G14" s="13">
        <v>2879</v>
      </c>
      <c r="H14" s="21">
        <v>43165</v>
      </c>
      <c r="I14" s="33">
        <v>0.56597222222222221</v>
      </c>
      <c r="J14" s="16">
        <v>-6120.0000000000273</v>
      </c>
      <c r="K14" t="s">
        <v>346</v>
      </c>
    </row>
    <row r="15" spans="1:12">
      <c r="A15" s="13" t="s">
        <v>90</v>
      </c>
      <c r="B15" s="13">
        <v>-1</v>
      </c>
      <c r="C15" s="13">
        <v>2870.2</v>
      </c>
      <c r="D15" s="21">
        <v>43166</v>
      </c>
      <c r="E15" s="33">
        <v>0.61805555555555558</v>
      </c>
      <c r="F15" s="20">
        <v>1.2999999999999999E-2</v>
      </c>
      <c r="G15" s="13">
        <v>2885.2</v>
      </c>
      <c r="H15" s="21">
        <v>43167</v>
      </c>
      <c r="I15" s="33">
        <v>0.4604166666666667</v>
      </c>
      <c r="J15" s="16">
        <v>-4500</v>
      </c>
      <c r="K15" t="s">
        <v>346</v>
      </c>
    </row>
    <row r="16" spans="1:12">
      <c r="A16" s="1" t="s">
        <v>90</v>
      </c>
      <c r="B16" s="1">
        <v>-1</v>
      </c>
      <c r="C16" s="1">
        <v>2857</v>
      </c>
      <c r="D16" s="2">
        <v>43161</v>
      </c>
      <c r="E16" s="26">
        <v>0.42569444444444443</v>
      </c>
      <c r="F16" s="17">
        <v>1.2999999999999999E-2</v>
      </c>
      <c r="G16" s="1">
        <v>2866.4</v>
      </c>
      <c r="H16" s="2">
        <v>43161</v>
      </c>
      <c r="I16" s="26">
        <v>0.42222222222222222</v>
      </c>
      <c r="J16" s="16">
        <v>-2820.0000000000273</v>
      </c>
      <c r="K16" t="s">
        <v>351</v>
      </c>
    </row>
    <row r="17" spans="1:11">
      <c r="A17" s="1" t="s">
        <v>53</v>
      </c>
      <c r="B17" s="1">
        <v>9</v>
      </c>
      <c r="C17" s="1">
        <v>5838</v>
      </c>
      <c r="D17" s="2">
        <v>43157</v>
      </c>
      <c r="E17" s="26">
        <v>0.37986111111111115</v>
      </c>
      <c r="F17" s="17">
        <v>1.2E-2</v>
      </c>
      <c r="G17" s="1">
        <v>5788</v>
      </c>
      <c r="H17" s="2">
        <v>43164</v>
      </c>
      <c r="I17" s="26">
        <v>0.58819444444444446</v>
      </c>
      <c r="J17" s="16">
        <v>-2250</v>
      </c>
      <c r="K17" t="s">
        <v>344</v>
      </c>
    </row>
    <row r="18" spans="1:11">
      <c r="A18" s="13" t="s">
        <v>307</v>
      </c>
      <c r="B18" s="13">
        <v>-5</v>
      </c>
      <c r="C18" s="13">
        <v>52090</v>
      </c>
      <c r="D18" s="21">
        <v>43164</v>
      </c>
      <c r="E18" s="33">
        <v>0.42430555555555555</v>
      </c>
      <c r="F18" s="20">
        <v>1.9E-2</v>
      </c>
      <c r="G18" s="13">
        <v>52180</v>
      </c>
      <c r="H18" s="21">
        <v>43165</v>
      </c>
      <c r="I18" s="33">
        <v>0.37986111111111115</v>
      </c>
      <c r="J18" s="16">
        <v>-2250</v>
      </c>
      <c r="K18" t="s">
        <v>343</v>
      </c>
    </row>
    <row r="19" spans="1:11">
      <c r="A19" s="13" t="s">
        <v>55</v>
      </c>
      <c r="B19" s="13">
        <v>-15</v>
      </c>
      <c r="C19" s="13">
        <v>102450</v>
      </c>
      <c r="D19" s="21">
        <v>43166</v>
      </c>
      <c r="E19" s="33">
        <v>0.56597222222222221</v>
      </c>
      <c r="F19" s="20">
        <v>2.4E-2</v>
      </c>
      <c r="G19" s="13">
        <v>102550</v>
      </c>
      <c r="H19" s="21">
        <v>43167</v>
      </c>
      <c r="I19" s="33">
        <v>0.38194444444444442</v>
      </c>
      <c r="J19" s="16">
        <v>-1500</v>
      </c>
      <c r="K19" t="s">
        <v>343</v>
      </c>
    </row>
    <row r="20" spans="1:11">
      <c r="A20" s="13" t="s">
        <v>55</v>
      </c>
      <c r="B20" s="13">
        <v>-15</v>
      </c>
      <c r="C20" s="13">
        <v>102650</v>
      </c>
      <c r="D20" s="21">
        <v>43166</v>
      </c>
      <c r="E20" s="33">
        <v>0.4236111111111111</v>
      </c>
      <c r="F20" s="20">
        <v>2.4E-2</v>
      </c>
      <c r="G20" s="13">
        <v>102690</v>
      </c>
      <c r="H20" s="21">
        <v>43166</v>
      </c>
      <c r="I20" s="33">
        <v>0.46527777777777773</v>
      </c>
      <c r="J20" s="16">
        <v>-600</v>
      </c>
      <c r="K20" t="s">
        <v>343</v>
      </c>
    </row>
    <row r="21" spans="1:11">
      <c r="A21" s="13" t="s">
        <v>338</v>
      </c>
      <c r="B21" s="13">
        <v>-1</v>
      </c>
      <c r="C21" s="13">
        <v>92.54</v>
      </c>
      <c r="D21" s="21">
        <v>43164</v>
      </c>
      <c r="E21" s="33">
        <v>0.42430555555555555</v>
      </c>
      <c r="F21" s="20">
        <v>1.4999999999999999E-2</v>
      </c>
      <c r="G21" s="13">
        <v>92.55</v>
      </c>
      <c r="H21" s="21">
        <v>43164</v>
      </c>
      <c r="I21" s="33">
        <v>0.56736111111111109</v>
      </c>
      <c r="J21" s="16">
        <v>-99.999999999909051</v>
      </c>
      <c r="K21" t="s">
        <v>350</v>
      </c>
    </row>
    <row r="22" spans="1:11">
      <c r="A22" s="13" t="s">
        <v>57</v>
      </c>
      <c r="B22" s="13">
        <v>-2</v>
      </c>
      <c r="C22" s="13">
        <v>6460</v>
      </c>
      <c r="D22" s="21">
        <v>43164</v>
      </c>
      <c r="E22" s="33">
        <v>0.56805555555555554</v>
      </c>
      <c r="F22" s="20">
        <v>1E-3</v>
      </c>
      <c r="G22" s="13">
        <v>6308</v>
      </c>
      <c r="H22" s="21">
        <v>43167</v>
      </c>
      <c r="I22" s="33">
        <v>0.59027777777777779</v>
      </c>
      <c r="J22" s="16">
        <v>1520</v>
      </c>
      <c r="K22" t="s">
        <v>345</v>
      </c>
    </row>
    <row r="23" spans="1:11">
      <c r="A23" s="13" t="s">
        <v>54</v>
      </c>
      <c r="B23" s="13">
        <v>20</v>
      </c>
      <c r="C23" s="13">
        <v>2181</v>
      </c>
      <c r="D23" s="21">
        <v>43161</v>
      </c>
      <c r="E23" s="33">
        <v>0.46458333333333335</v>
      </c>
      <c r="F23" s="20">
        <v>2.1999999999999999E-2</v>
      </c>
      <c r="G23" s="13">
        <v>2197</v>
      </c>
      <c r="H23" s="21">
        <v>43165</v>
      </c>
      <c r="I23" s="33">
        <v>0.58958333333333335</v>
      </c>
      <c r="J23" s="16">
        <v>3200</v>
      </c>
      <c r="K23" t="s">
        <v>349</v>
      </c>
    </row>
    <row r="24" spans="1:11">
      <c r="A24" s="13" t="s">
        <v>84</v>
      </c>
      <c r="B24" s="13">
        <v>-11</v>
      </c>
      <c r="C24" s="13">
        <v>5144</v>
      </c>
      <c r="D24" s="21">
        <v>43167</v>
      </c>
      <c r="E24" s="33">
        <v>0.41944444444444445</v>
      </c>
      <c r="F24" s="20">
        <v>8.9999999999999993E-3</v>
      </c>
      <c r="G24" s="13">
        <v>5102</v>
      </c>
      <c r="H24" s="21">
        <v>43171</v>
      </c>
      <c r="I24" s="33">
        <v>0.38125000000000003</v>
      </c>
      <c r="J24" s="16">
        <v>4620</v>
      </c>
      <c r="K24" t="s">
        <v>349</v>
      </c>
    </row>
    <row r="25" spans="1:11">
      <c r="A25" s="13" t="s">
        <v>307</v>
      </c>
      <c r="B25" s="13">
        <v>-5</v>
      </c>
      <c r="C25" s="13">
        <v>52310</v>
      </c>
      <c r="D25" s="21">
        <v>43166</v>
      </c>
      <c r="E25" s="33">
        <v>0.61805555555555558</v>
      </c>
      <c r="F25" s="20">
        <v>2.4E-2</v>
      </c>
      <c r="G25" s="13">
        <v>52040</v>
      </c>
      <c r="H25" s="21">
        <v>43171</v>
      </c>
      <c r="I25" s="33">
        <v>0.38125000000000003</v>
      </c>
      <c r="J25" s="16">
        <v>6750</v>
      </c>
      <c r="K25" t="s">
        <v>343</v>
      </c>
    </row>
    <row r="26" spans="1:11">
      <c r="A26" s="13" t="s">
        <v>55</v>
      </c>
      <c r="B26" s="13">
        <v>-15</v>
      </c>
      <c r="C26" s="13">
        <v>101010</v>
      </c>
      <c r="D26" s="21">
        <v>43167</v>
      </c>
      <c r="E26" s="33">
        <v>0.58680555555555558</v>
      </c>
      <c r="F26" s="20">
        <v>2.4E-2</v>
      </c>
      <c r="G26" s="13">
        <v>100560</v>
      </c>
      <c r="H26" s="21">
        <v>43168</v>
      </c>
      <c r="I26" s="33">
        <v>0.58958333333333335</v>
      </c>
      <c r="J26" s="16">
        <v>6750</v>
      </c>
      <c r="K26" t="s">
        <v>343</v>
      </c>
    </row>
    <row r="27" spans="1:11">
      <c r="A27" s="13" t="s">
        <v>161</v>
      </c>
      <c r="B27" s="13">
        <v>-20</v>
      </c>
      <c r="C27" s="13">
        <v>9420</v>
      </c>
      <c r="D27" s="21">
        <v>43167</v>
      </c>
      <c r="E27" s="33">
        <v>0.46180555555555558</v>
      </c>
      <c r="F27" s="20">
        <v>1.4999999999999999E-2</v>
      </c>
      <c r="G27" s="13">
        <v>9350</v>
      </c>
      <c r="H27" s="21">
        <v>43171</v>
      </c>
      <c r="I27" s="33">
        <v>0.38125000000000003</v>
      </c>
      <c r="J27" s="16">
        <v>7000</v>
      </c>
      <c r="K27" t="s">
        <v>344</v>
      </c>
    </row>
    <row r="28" spans="1:11">
      <c r="A28" s="13" t="s">
        <v>57</v>
      </c>
      <c r="B28" s="13">
        <v>-16</v>
      </c>
      <c r="C28" s="13">
        <v>6272</v>
      </c>
      <c r="D28" s="21">
        <v>43168</v>
      </c>
      <c r="E28" s="33">
        <v>0.38263888888888892</v>
      </c>
      <c r="F28" s="20">
        <v>8.0000000000000002E-3</v>
      </c>
      <c r="G28" s="1">
        <v>6160</v>
      </c>
      <c r="H28" s="2">
        <v>43171</v>
      </c>
      <c r="I28" s="26">
        <v>0.4694444444444445</v>
      </c>
      <c r="J28" s="16">
        <v>8960</v>
      </c>
      <c r="K28" t="s">
        <v>345</v>
      </c>
    </row>
    <row r="29" spans="1:11">
      <c r="A29" s="13" t="s">
        <v>159</v>
      </c>
      <c r="B29" s="13">
        <v>-1</v>
      </c>
      <c r="C29" s="13">
        <v>4013</v>
      </c>
      <c r="D29" s="21">
        <v>43164</v>
      </c>
      <c r="E29" s="33">
        <v>0.42430555555555555</v>
      </c>
      <c r="F29" s="20">
        <v>1.0999999999999999E-2</v>
      </c>
      <c r="G29" s="13">
        <v>3982</v>
      </c>
      <c r="H29" s="21">
        <v>43164</v>
      </c>
      <c r="I29" s="33">
        <v>0.56736111111111109</v>
      </c>
      <c r="J29" s="16">
        <v>9300</v>
      </c>
      <c r="K29" t="s">
        <v>346</v>
      </c>
    </row>
    <row r="30" spans="1:11">
      <c r="A30" s="13" t="s">
        <v>152</v>
      </c>
      <c r="B30" s="13">
        <v>-13</v>
      </c>
      <c r="C30" s="13">
        <v>25310</v>
      </c>
      <c r="D30" s="21">
        <v>43167</v>
      </c>
      <c r="E30" s="33">
        <v>0.39930555555555558</v>
      </c>
      <c r="F30" s="20">
        <v>2.7E-2</v>
      </c>
      <c r="G30" s="13">
        <v>25100</v>
      </c>
      <c r="H30" s="21">
        <v>43171</v>
      </c>
      <c r="I30" s="33">
        <v>0.38125000000000003</v>
      </c>
      <c r="J30" s="16">
        <v>13650</v>
      </c>
      <c r="K30" t="s">
        <v>343</v>
      </c>
    </row>
    <row r="31" spans="1:11">
      <c r="A31" s="13" t="s">
        <v>52</v>
      </c>
      <c r="B31" s="13">
        <v>-31</v>
      </c>
      <c r="C31" s="13">
        <v>3870</v>
      </c>
      <c r="D31" s="21">
        <v>43167</v>
      </c>
      <c r="E31" s="33">
        <v>0.39930555555555558</v>
      </c>
      <c r="F31" s="20">
        <v>1.9E-2</v>
      </c>
      <c r="G31" s="13">
        <v>3744</v>
      </c>
      <c r="H31" s="21">
        <v>43171</v>
      </c>
      <c r="I31" s="33">
        <v>0.38125000000000003</v>
      </c>
      <c r="J31" s="16">
        <v>39060</v>
      </c>
      <c r="K31" t="s">
        <v>345</v>
      </c>
    </row>
    <row r="32" spans="1:11">
      <c r="A32" s="13" t="s">
        <v>61</v>
      </c>
      <c r="B32" s="13">
        <v>-45</v>
      </c>
      <c r="C32" s="13">
        <v>3956</v>
      </c>
      <c r="D32" s="21">
        <v>43167</v>
      </c>
      <c r="E32" s="33">
        <v>0.39930555555555558</v>
      </c>
      <c r="F32" s="20">
        <v>2.8000000000000001E-2</v>
      </c>
      <c r="G32" s="13">
        <v>3843</v>
      </c>
      <c r="H32" s="21">
        <v>43171</v>
      </c>
      <c r="I32" s="33">
        <v>0.38125000000000003</v>
      </c>
      <c r="J32" s="16">
        <v>50850</v>
      </c>
      <c r="K32" t="s">
        <v>345</v>
      </c>
    </row>
    <row r="33" spans="1:12">
      <c r="A33" s="13" t="s">
        <v>56</v>
      </c>
      <c r="B33" s="13">
        <v>1</v>
      </c>
      <c r="C33" s="13">
        <v>6099</v>
      </c>
      <c r="D33" s="21">
        <v>43167</v>
      </c>
      <c r="E33" s="33">
        <v>0.62013888888888891</v>
      </c>
      <c r="F33" s="20">
        <v>1.4E-2</v>
      </c>
      <c r="G33" s="21"/>
      <c r="H33" s="33"/>
      <c r="I33" s="13"/>
      <c r="J33" s="16" t="s">
        <v>267</v>
      </c>
      <c r="K33" t="s">
        <v>346</v>
      </c>
    </row>
    <row r="34" spans="1:12">
      <c r="A34" s="77"/>
      <c r="B34" s="77"/>
      <c r="C34" s="77"/>
      <c r="D34" s="80"/>
      <c r="E34" s="76"/>
      <c r="F34" s="76"/>
      <c r="G34" s="80"/>
      <c r="H34" s="79"/>
      <c r="I34" s="79"/>
      <c r="J34" s="77"/>
      <c r="K34" s="81"/>
      <c r="L34" s="78"/>
    </row>
    <row r="35" spans="1:12">
      <c r="A35" s="82"/>
      <c r="B35" s="82"/>
      <c r="C35" s="82"/>
      <c r="D35" s="83"/>
      <c r="E35" s="84"/>
      <c r="F35" s="84"/>
      <c r="G35" s="83"/>
      <c r="H35" s="82"/>
      <c r="I35" s="82"/>
      <c r="J35" s="78"/>
      <c r="K35" s="78"/>
      <c r="L35" s="78"/>
    </row>
    <row r="36" spans="1:12">
      <c r="A36" s="82"/>
      <c r="B36" s="82"/>
      <c r="C36" s="82"/>
      <c r="D36" s="83"/>
      <c r="E36" s="84"/>
      <c r="F36" s="84"/>
      <c r="G36" s="83"/>
      <c r="H36" s="82"/>
      <c r="I36" s="82"/>
      <c r="J36" s="78"/>
      <c r="K36" s="78"/>
      <c r="L36" s="78"/>
    </row>
    <row r="37" spans="1:12">
      <c r="A37" s="77"/>
      <c r="B37" s="77"/>
      <c r="C37" s="77"/>
      <c r="D37" s="80"/>
      <c r="E37" s="76"/>
      <c r="F37" s="76"/>
      <c r="G37" s="80"/>
      <c r="H37" s="79"/>
      <c r="I37" s="79"/>
      <c r="J37" s="77"/>
      <c r="K37" s="81"/>
      <c r="L37" s="78"/>
    </row>
    <row r="38" spans="1:12">
      <c r="A38" s="82"/>
      <c r="B38" s="82"/>
      <c r="C38" s="82"/>
      <c r="D38" s="83"/>
      <c r="E38" s="84"/>
      <c r="F38" s="84"/>
      <c r="G38" s="83"/>
      <c r="H38" s="82"/>
      <c r="I38" s="82"/>
      <c r="J38" s="78"/>
      <c r="K38" s="78"/>
      <c r="L38" s="78"/>
    </row>
    <row r="39" spans="1:12">
      <c r="A39" s="82"/>
      <c r="B39" s="82"/>
      <c r="C39" s="82"/>
      <c r="D39" s="83"/>
      <c r="E39" s="84"/>
      <c r="F39" s="84"/>
      <c r="G39" s="83"/>
      <c r="H39" s="82"/>
      <c r="I39" s="82"/>
      <c r="J39" s="78"/>
      <c r="K39" s="78"/>
      <c r="L39" s="78"/>
    </row>
    <row r="40" spans="1:12">
      <c r="A40" s="77"/>
      <c r="B40" s="77"/>
      <c r="C40" s="77"/>
      <c r="D40" s="80"/>
      <c r="E40" s="76"/>
      <c r="F40" s="76"/>
      <c r="G40" s="80"/>
      <c r="H40" s="79"/>
      <c r="I40" s="79"/>
      <c r="J40" s="77"/>
      <c r="K40" s="81"/>
      <c r="L40" s="78"/>
    </row>
    <row r="41" spans="1:12">
      <c r="A41" s="77"/>
      <c r="B41" s="77"/>
      <c r="C41" s="77"/>
      <c r="D41" s="80"/>
      <c r="E41" s="76"/>
      <c r="F41" s="76"/>
      <c r="G41" s="80"/>
      <c r="H41" s="79"/>
      <c r="I41" s="79"/>
      <c r="J41" s="77"/>
      <c r="K41" s="78"/>
      <c r="L41" s="78"/>
    </row>
    <row r="42" spans="1:12">
      <c r="A42" s="77"/>
      <c r="B42" s="77"/>
      <c r="C42" s="77"/>
      <c r="D42" s="80"/>
      <c r="E42" s="76"/>
      <c r="F42" s="76"/>
      <c r="G42" s="80"/>
      <c r="H42" s="79"/>
      <c r="I42" s="79"/>
      <c r="J42" s="77"/>
      <c r="K42" s="78"/>
      <c r="L42" s="78"/>
    </row>
    <row r="43" spans="1:12">
      <c r="A43" s="82"/>
      <c r="B43" s="82"/>
      <c r="C43" s="82"/>
      <c r="D43" s="83"/>
      <c r="E43" s="84"/>
      <c r="F43" s="84"/>
      <c r="G43" s="83"/>
      <c r="H43" s="82"/>
      <c r="I43" s="82"/>
      <c r="J43" s="78"/>
      <c r="K43" s="78"/>
      <c r="L43" s="78"/>
    </row>
    <row r="44" spans="1:12">
      <c r="A44" s="82"/>
      <c r="B44" s="82"/>
      <c r="C44" s="82"/>
      <c r="D44" s="83"/>
      <c r="E44" s="84"/>
      <c r="F44" s="84"/>
      <c r="G44" s="83"/>
      <c r="H44" s="82"/>
      <c r="I44" s="82"/>
      <c r="J44" s="78"/>
      <c r="K44" s="78"/>
      <c r="L44" s="78"/>
    </row>
    <row r="45" spans="1:12">
      <c r="A45" s="77"/>
      <c r="B45" s="77"/>
      <c r="C45" s="77"/>
      <c r="D45" s="80"/>
      <c r="E45" s="76"/>
      <c r="F45" s="76"/>
      <c r="G45" s="80"/>
      <c r="H45" s="79"/>
      <c r="I45" s="79"/>
      <c r="J45" s="77"/>
      <c r="K45" s="78"/>
      <c r="L45" s="78"/>
    </row>
    <row r="46" spans="1:12">
      <c r="A46" s="77"/>
      <c r="B46" s="77"/>
      <c r="C46" s="77"/>
      <c r="D46" s="80"/>
      <c r="E46" s="76"/>
      <c r="F46" s="76"/>
      <c r="G46" s="80"/>
      <c r="H46" s="79"/>
      <c r="I46" s="79"/>
      <c r="J46" s="77"/>
      <c r="K46" s="78"/>
      <c r="L46" s="78"/>
    </row>
    <row r="47" spans="1:12">
      <c r="A47" s="82"/>
      <c r="B47" s="82"/>
      <c r="C47" s="82"/>
      <c r="D47" s="83"/>
      <c r="E47" s="84"/>
      <c r="F47" s="84"/>
      <c r="G47" s="83"/>
      <c r="H47" s="82"/>
      <c r="I47" s="82"/>
      <c r="J47" s="78"/>
      <c r="K47" s="78"/>
      <c r="L47" s="78"/>
    </row>
    <row r="48" spans="1:12">
      <c r="A48" s="82"/>
      <c r="B48" s="82"/>
      <c r="C48" s="82"/>
      <c r="D48" s="83"/>
      <c r="E48" s="84"/>
      <c r="F48" s="84"/>
      <c r="G48" s="83"/>
      <c r="H48" s="82"/>
      <c r="I48" s="82"/>
      <c r="J48" s="78"/>
      <c r="K48" s="78"/>
      <c r="L48" s="78"/>
    </row>
    <row r="49" spans="1:12">
      <c r="A49" s="82"/>
      <c r="B49" s="82"/>
      <c r="C49" s="82"/>
      <c r="D49" s="83"/>
      <c r="E49" s="84"/>
      <c r="F49" s="84"/>
      <c r="G49" s="83"/>
      <c r="H49" s="82"/>
      <c r="I49" s="82"/>
      <c r="J49" s="78"/>
      <c r="K49" s="78"/>
      <c r="L49" s="78"/>
    </row>
    <row r="50" spans="1:12">
      <c r="A50" s="77"/>
      <c r="B50" s="77"/>
      <c r="C50" s="77"/>
      <c r="D50" s="80"/>
      <c r="E50" s="76"/>
      <c r="F50" s="76"/>
      <c r="G50" s="80"/>
      <c r="H50" s="79"/>
      <c r="I50" s="79"/>
      <c r="J50" s="77"/>
      <c r="K50" s="81"/>
      <c r="L50" s="78"/>
    </row>
    <row r="51" spans="1:12">
      <c r="A51" s="82"/>
      <c r="B51" s="82"/>
      <c r="C51" s="82"/>
      <c r="D51" s="83"/>
      <c r="E51" s="84"/>
      <c r="F51" s="84"/>
      <c r="G51" s="83"/>
      <c r="H51" s="82"/>
      <c r="I51" s="82"/>
      <c r="J51" s="78"/>
      <c r="K51" s="78"/>
      <c r="L51" s="78"/>
    </row>
    <row r="52" spans="1:12">
      <c r="A52" s="82"/>
      <c r="B52" s="82"/>
      <c r="C52" s="82"/>
      <c r="D52" s="83"/>
      <c r="E52" s="84"/>
      <c r="F52" s="84"/>
      <c r="G52" s="83"/>
      <c r="H52" s="82"/>
      <c r="I52" s="82"/>
      <c r="J52" s="78"/>
      <c r="K52" s="78"/>
      <c r="L52" s="78"/>
    </row>
    <row r="53" spans="1:12">
      <c r="A53" s="77"/>
      <c r="B53" s="77"/>
      <c r="C53" s="77"/>
      <c r="D53" s="80"/>
      <c r="E53" s="76"/>
      <c r="F53" s="76"/>
      <c r="G53" s="80"/>
      <c r="H53" s="79"/>
      <c r="I53" s="79"/>
      <c r="J53" s="77"/>
      <c r="K53" s="81"/>
      <c r="L53" s="78"/>
    </row>
    <row r="54" spans="1:12">
      <c r="A54" s="82"/>
      <c r="B54" s="82"/>
      <c r="C54" s="82"/>
      <c r="D54" s="83"/>
      <c r="E54" s="84"/>
      <c r="F54" s="84"/>
      <c r="G54" s="83"/>
      <c r="H54" s="82"/>
      <c r="I54" s="82"/>
      <c r="J54" s="78"/>
      <c r="K54" s="78"/>
      <c r="L54" s="78"/>
    </row>
    <row r="55" spans="1:12">
      <c r="A55" s="82"/>
      <c r="B55" s="82"/>
      <c r="C55" s="82"/>
      <c r="D55" s="83"/>
      <c r="E55" s="84"/>
      <c r="F55" s="84"/>
      <c r="G55" s="83"/>
      <c r="H55" s="82"/>
      <c r="I55" s="82"/>
      <c r="J55" s="78"/>
      <c r="K55" s="78"/>
      <c r="L55" s="78"/>
    </row>
    <row r="56" spans="1:12">
      <c r="A56" s="77"/>
      <c r="B56" s="77"/>
      <c r="C56" s="77"/>
      <c r="D56" s="80"/>
      <c r="E56" s="76"/>
      <c r="F56" s="76"/>
      <c r="G56" s="80"/>
      <c r="H56" s="79"/>
      <c r="I56" s="79"/>
      <c r="J56" s="77"/>
      <c r="K56" s="78"/>
      <c r="L56" s="78"/>
    </row>
    <row r="57" spans="1:12">
      <c r="A57" s="77"/>
      <c r="B57" s="77"/>
      <c r="C57" s="77"/>
      <c r="D57" s="80"/>
      <c r="E57" s="76"/>
      <c r="F57" s="76"/>
      <c r="G57" s="80"/>
      <c r="H57" s="79"/>
      <c r="I57" s="79"/>
      <c r="J57" s="77"/>
      <c r="K57" s="78"/>
      <c r="L57" s="78"/>
    </row>
    <row r="58" spans="1:12">
      <c r="A58" s="77"/>
      <c r="B58" s="77"/>
      <c r="C58" s="77"/>
      <c r="D58" s="80"/>
      <c r="E58" s="76"/>
      <c r="F58" s="76"/>
      <c r="G58" s="80"/>
      <c r="H58" s="79"/>
      <c r="I58" s="79"/>
      <c r="J58" s="77"/>
      <c r="K58" s="78"/>
      <c r="L58" s="78"/>
    </row>
    <row r="59" spans="1:12">
      <c r="A59" s="82"/>
      <c r="B59" s="82"/>
      <c r="C59" s="82"/>
      <c r="D59" s="83"/>
      <c r="E59" s="84"/>
      <c r="F59" s="84"/>
      <c r="G59" s="83"/>
      <c r="H59" s="82"/>
      <c r="I59" s="82"/>
      <c r="J59" s="78"/>
      <c r="K59" s="78"/>
      <c r="L59" s="78"/>
    </row>
    <row r="60" spans="1:12">
      <c r="A60" s="82"/>
      <c r="B60" s="82"/>
      <c r="C60" s="82"/>
      <c r="D60" s="83"/>
      <c r="E60" s="84"/>
      <c r="F60" s="84"/>
      <c r="G60" s="83"/>
      <c r="H60" s="82"/>
      <c r="I60" s="82"/>
      <c r="J60" s="78"/>
      <c r="K60" s="78"/>
      <c r="L60" s="78"/>
    </row>
    <row r="61" spans="1:12">
      <c r="A61" s="77"/>
      <c r="B61" s="77"/>
      <c r="C61" s="77"/>
      <c r="D61" s="80"/>
      <c r="E61" s="76"/>
      <c r="F61" s="76"/>
      <c r="G61" s="80"/>
      <c r="H61" s="79"/>
      <c r="I61" s="79"/>
      <c r="J61" s="77"/>
      <c r="K61" s="78"/>
      <c r="L61" s="78"/>
    </row>
    <row r="62" spans="1:12">
      <c r="A62" s="82"/>
      <c r="B62" s="82"/>
      <c r="C62" s="82"/>
      <c r="D62" s="83"/>
      <c r="E62" s="84"/>
      <c r="F62" s="84"/>
      <c r="G62" s="83"/>
      <c r="H62" s="82"/>
      <c r="I62" s="82"/>
      <c r="J62" s="78"/>
      <c r="K62" s="78"/>
      <c r="L62" s="78"/>
    </row>
    <row r="63" spans="1:12">
      <c r="A63" s="82"/>
      <c r="B63" s="82"/>
      <c r="C63" s="82"/>
      <c r="D63" s="83"/>
      <c r="E63" s="84"/>
      <c r="F63" s="84"/>
      <c r="G63" s="83"/>
      <c r="H63" s="82"/>
      <c r="I63" s="82"/>
      <c r="J63" s="78"/>
      <c r="K63" s="78"/>
      <c r="L63" s="78"/>
    </row>
    <row r="64" spans="1:12">
      <c r="A64" s="82"/>
      <c r="B64" s="82"/>
      <c r="C64" s="82"/>
      <c r="D64" s="83"/>
      <c r="E64" s="84"/>
      <c r="F64" s="84"/>
      <c r="G64" s="83"/>
      <c r="H64" s="82"/>
      <c r="I64" s="82"/>
      <c r="J64" s="78"/>
      <c r="K64" s="78"/>
      <c r="L64" s="78"/>
    </row>
    <row r="65" spans="1:12">
      <c r="A65" s="82"/>
      <c r="B65" s="82"/>
      <c r="C65" s="82"/>
      <c r="D65" s="83"/>
      <c r="E65" s="84"/>
      <c r="F65" s="84"/>
      <c r="G65" s="83"/>
      <c r="H65" s="82"/>
      <c r="I65" s="82"/>
      <c r="J65" s="78"/>
      <c r="K65" s="78"/>
      <c r="L65" s="78"/>
    </row>
    <row r="66" spans="1:12">
      <c r="A66" s="77"/>
      <c r="B66" s="77"/>
      <c r="C66" s="77"/>
      <c r="D66" s="80"/>
      <c r="E66" s="76"/>
      <c r="F66" s="76"/>
      <c r="G66" s="80"/>
      <c r="H66" s="79"/>
      <c r="I66" s="79"/>
      <c r="J66" s="77"/>
      <c r="K66" s="78"/>
      <c r="L66" s="78"/>
    </row>
    <row r="67" spans="1:12">
      <c r="A67" s="77"/>
      <c r="B67" s="77"/>
      <c r="C67" s="77"/>
      <c r="D67" s="80"/>
      <c r="E67" s="76"/>
      <c r="F67" s="76"/>
      <c r="G67" s="80"/>
      <c r="H67" s="79"/>
      <c r="I67" s="79"/>
      <c r="J67" s="77"/>
      <c r="K67" s="78"/>
      <c r="L67" s="78"/>
    </row>
    <row r="68" spans="1:12">
      <c r="A68" s="77"/>
      <c r="B68" s="77"/>
      <c r="C68" s="77"/>
      <c r="D68" s="80"/>
      <c r="E68" s="76"/>
      <c r="F68" s="76"/>
      <c r="G68" s="80"/>
      <c r="H68" s="79"/>
      <c r="I68" s="79"/>
      <c r="J68" s="77"/>
      <c r="K68" s="78"/>
      <c r="L68" s="78"/>
    </row>
    <row r="69" spans="1:12">
      <c r="A69" s="77"/>
      <c r="B69" s="77"/>
      <c r="C69" s="77"/>
      <c r="D69" s="80"/>
      <c r="E69" s="76"/>
      <c r="F69" s="76"/>
      <c r="G69" s="80"/>
      <c r="H69" s="79"/>
      <c r="I69" s="79"/>
      <c r="J69" s="77"/>
      <c r="K69" s="81"/>
      <c r="L69" s="78"/>
    </row>
    <row r="70" spans="1:12">
      <c r="A70" s="77"/>
      <c r="B70" s="77"/>
      <c r="C70" s="77"/>
      <c r="D70" s="80"/>
      <c r="E70" s="76"/>
      <c r="F70" s="76"/>
      <c r="G70" s="80"/>
      <c r="H70" s="79"/>
      <c r="I70" s="79"/>
      <c r="J70" s="77"/>
      <c r="K70" s="81"/>
      <c r="L70" s="78"/>
    </row>
    <row r="71" spans="1:12">
      <c r="A71" s="82"/>
      <c r="B71" s="82"/>
      <c r="C71" s="82"/>
      <c r="D71" s="83"/>
      <c r="E71" s="84"/>
      <c r="F71" s="84"/>
      <c r="G71" s="83"/>
      <c r="H71" s="82"/>
      <c r="I71" s="82"/>
      <c r="J71" s="78"/>
      <c r="K71" s="78"/>
      <c r="L71" s="78"/>
    </row>
    <row r="72" spans="1:12">
      <c r="A72" s="77"/>
      <c r="B72" s="77"/>
      <c r="C72" s="77"/>
      <c r="D72" s="80"/>
      <c r="E72" s="76"/>
      <c r="F72" s="76"/>
      <c r="G72" s="80"/>
      <c r="H72" s="79"/>
      <c r="I72" s="79"/>
      <c r="J72" s="77"/>
      <c r="K72" s="78"/>
      <c r="L72" s="78"/>
    </row>
    <row r="73" spans="1:12">
      <c r="A73" s="77"/>
      <c r="B73" s="77"/>
      <c r="C73" s="77"/>
      <c r="D73" s="80"/>
      <c r="E73" s="76"/>
      <c r="F73" s="76"/>
      <c r="G73" s="80"/>
      <c r="H73" s="79"/>
      <c r="I73" s="79"/>
      <c r="J73" s="77"/>
      <c r="K73" s="78"/>
      <c r="L73" s="78"/>
    </row>
    <row r="74" spans="1:12">
      <c r="A74" s="82"/>
      <c r="B74" s="82"/>
      <c r="C74" s="82"/>
      <c r="D74" s="83"/>
      <c r="E74" s="84"/>
      <c r="F74" s="84"/>
      <c r="G74" s="83"/>
      <c r="H74" s="82"/>
      <c r="I74" s="82"/>
      <c r="J74" s="78"/>
      <c r="K74" s="78"/>
      <c r="L74" s="78"/>
    </row>
    <row r="75" spans="1:12">
      <c r="A75" s="82"/>
      <c r="B75" s="82"/>
      <c r="C75" s="82"/>
      <c r="D75" s="83"/>
      <c r="E75" s="84"/>
      <c r="F75" s="84"/>
      <c r="G75" s="83"/>
      <c r="H75" s="82"/>
      <c r="I75" s="82"/>
      <c r="J75" s="78"/>
      <c r="K75" s="78"/>
      <c r="L75" s="78"/>
    </row>
    <row r="76" spans="1:12">
      <c r="A76" s="82"/>
      <c r="B76" s="82"/>
      <c r="C76" s="82"/>
      <c r="D76" s="83"/>
      <c r="E76" s="84"/>
      <c r="F76" s="84"/>
      <c r="G76" s="83"/>
      <c r="H76" s="82"/>
      <c r="I76" s="82"/>
      <c r="J76" s="78"/>
      <c r="K76" s="78"/>
      <c r="L76" s="78"/>
    </row>
    <row r="77" spans="1:12">
      <c r="A77" s="77"/>
      <c r="B77" s="77"/>
      <c r="C77" s="77"/>
      <c r="D77" s="80"/>
      <c r="E77" s="76"/>
      <c r="F77" s="76"/>
      <c r="G77" s="80"/>
      <c r="H77" s="79"/>
      <c r="I77" s="79"/>
      <c r="J77" s="77"/>
      <c r="K77" s="78"/>
      <c r="L77" s="78"/>
    </row>
    <row r="78" spans="1:12">
      <c r="A78" s="82"/>
      <c r="B78" s="82"/>
      <c r="C78" s="82"/>
      <c r="D78" s="83"/>
      <c r="E78" s="84"/>
      <c r="F78" s="84"/>
      <c r="G78" s="83"/>
      <c r="H78" s="82"/>
      <c r="I78" s="82"/>
      <c r="J78" s="78"/>
      <c r="K78" s="78"/>
      <c r="L78" s="78"/>
    </row>
    <row r="79" spans="1:12">
      <c r="A79" s="77"/>
      <c r="B79" s="77"/>
      <c r="C79" s="77"/>
      <c r="D79" s="80"/>
      <c r="E79" s="76"/>
      <c r="F79" s="76"/>
      <c r="G79" s="80"/>
      <c r="H79" s="79"/>
      <c r="I79" s="79"/>
      <c r="J79" s="77"/>
      <c r="K79" s="81"/>
      <c r="L79" s="78"/>
    </row>
    <row r="80" spans="1:12">
      <c r="A80" s="77"/>
      <c r="B80" s="77"/>
      <c r="C80" s="77"/>
      <c r="D80" s="80"/>
      <c r="E80" s="76"/>
      <c r="F80" s="76"/>
      <c r="G80" s="80"/>
      <c r="H80" s="79"/>
      <c r="I80" s="79"/>
      <c r="J80" s="77"/>
      <c r="K80" s="78"/>
      <c r="L80" s="78"/>
    </row>
    <row r="81" spans="1:12">
      <c r="A81" s="77"/>
      <c r="B81" s="77"/>
      <c r="C81" s="77"/>
      <c r="D81" s="80"/>
      <c r="E81" s="76"/>
      <c r="F81" s="76"/>
      <c r="G81" s="80"/>
      <c r="H81" s="79"/>
      <c r="I81" s="79"/>
      <c r="J81" s="77"/>
      <c r="K81" s="78"/>
      <c r="L81" s="78"/>
    </row>
    <row r="82" spans="1:12">
      <c r="A82" s="77"/>
      <c r="B82" s="77"/>
      <c r="C82" s="77"/>
      <c r="D82" s="80"/>
      <c r="E82" s="76"/>
      <c r="F82" s="76"/>
      <c r="G82" s="80"/>
      <c r="H82" s="79"/>
      <c r="I82" s="79"/>
      <c r="J82" s="77"/>
      <c r="K82" s="81"/>
      <c r="L82" s="78"/>
    </row>
    <row r="83" spans="1:12">
      <c r="A83" s="82"/>
      <c r="B83" s="82"/>
      <c r="C83" s="82"/>
      <c r="D83" s="83"/>
      <c r="E83" s="84"/>
      <c r="F83" s="84"/>
      <c r="G83" s="83"/>
      <c r="H83" s="82"/>
      <c r="I83" s="82"/>
      <c r="J83" s="78"/>
      <c r="K83" s="78"/>
      <c r="L83" s="78"/>
    </row>
    <row r="84" spans="1:12">
      <c r="A84" s="82"/>
      <c r="B84" s="82"/>
      <c r="C84" s="82"/>
      <c r="D84" s="83"/>
      <c r="E84" s="84"/>
      <c r="F84" s="84"/>
      <c r="G84" s="83"/>
      <c r="H84" s="82"/>
      <c r="I84" s="82"/>
      <c r="J84" s="78"/>
      <c r="K84" s="78"/>
      <c r="L84" s="78"/>
    </row>
    <row r="85" spans="1:12">
      <c r="A85" s="77"/>
      <c r="B85" s="77"/>
      <c r="C85" s="77"/>
      <c r="D85" s="80"/>
      <c r="E85" s="76"/>
      <c r="F85" s="76"/>
      <c r="G85" s="80"/>
      <c r="H85" s="79"/>
      <c r="I85" s="79"/>
      <c r="J85" s="77"/>
      <c r="K85" s="78"/>
      <c r="L85" s="78"/>
    </row>
    <row r="86" spans="1:12">
      <c r="A86" s="77"/>
      <c r="B86" s="77"/>
      <c r="C86" s="77"/>
      <c r="D86" s="80"/>
      <c r="E86" s="76"/>
      <c r="F86" s="76"/>
      <c r="G86" s="80"/>
      <c r="H86" s="79"/>
      <c r="I86" s="79"/>
      <c r="J86" s="77"/>
      <c r="K86" s="78"/>
      <c r="L86" s="78"/>
    </row>
    <row r="87" spans="1:12">
      <c r="A87" s="82"/>
      <c r="B87" s="82"/>
      <c r="C87" s="82"/>
      <c r="D87" s="83"/>
      <c r="E87" s="84"/>
      <c r="F87" s="84"/>
      <c r="G87" s="83"/>
      <c r="H87" s="82"/>
      <c r="I87" s="82"/>
      <c r="J87" s="78"/>
      <c r="K87" s="78"/>
      <c r="L87" s="78"/>
    </row>
    <row r="88" spans="1:12">
      <c r="A88" s="77"/>
      <c r="B88" s="77"/>
      <c r="C88" s="77"/>
      <c r="D88" s="80"/>
      <c r="E88" s="76"/>
      <c r="F88" s="76"/>
      <c r="G88" s="80"/>
      <c r="H88" s="79"/>
      <c r="I88" s="79"/>
      <c r="J88" s="77"/>
      <c r="K88" s="78"/>
      <c r="L88" s="78"/>
    </row>
    <row r="89" spans="1:12">
      <c r="A89" s="77"/>
      <c r="B89" s="77"/>
      <c r="C89" s="77"/>
      <c r="D89" s="80"/>
      <c r="E89" s="76"/>
      <c r="F89" s="76"/>
      <c r="G89" s="80"/>
      <c r="H89" s="79"/>
      <c r="I89" s="79"/>
      <c r="J89" s="77"/>
      <c r="K89" s="78"/>
      <c r="L89" s="78"/>
    </row>
    <row r="90" spans="1:12">
      <c r="A90" s="82"/>
      <c r="B90" s="82"/>
      <c r="C90" s="82"/>
      <c r="D90" s="83"/>
      <c r="E90" s="84"/>
      <c r="F90" s="84"/>
      <c r="G90" s="83"/>
      <c r="H90" s="82"/>
      <c r="I90" s="82"/>
      <c r="J90" s="78"/>
      <c r="K90" s="78"/>
      <c r="L90" s="78"/>
    </row>
    <row r="91" spans="1:12">
      <c r="A91" s="77"/>
      <c r="B91" s="77"/>
      <c r="C91" s="77"/>
      <c r="D91" s="80"/>
      <c r="E91" s="76"/>
      <c r="F91" s="76"/>
      <c r="G91" s="77"/>
      <c r="H91" s="79"/>
      <c r="I91" s="79"/>
      <c r="J91" s="77"/>
      <c r="K91" s="78"/>
      <c r="L91" s="78"/>
    </row>
  </sheetData>
  <sortState ref="A2:K33">
    <sortCondition ref="J2:J33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25" workbookViewId="0">
      <selection activeCell="A40" sqref="A40"/>
    </sheetView>
  </sheetViews>
  <sheetFormatPr defaultRowHeight="13.5"/>
  <cols>
    <col min="1" max="1" width="9" style="57" bestFit="1" customWidth="1"/>
    <col min="2" max="2" width="10.5" style="56" bestFit="1" customWidth="1"/>
  </cols>
  <sheetData>
    <row r="1" spans="1:2">
      <c r="A1" s="57" t="s">
        <v>211</v>
      </c>
      <c r="B1" s="56" t="s">
        <v>263</v>
      </c>
    </row>
    <row r="2" spans="1:2">
      <c r="A2" s="57" t="s">
        <v>212</v>
      </c>
      <c r="B2" s="56">
        <v>5</v>
      </c>
    </row>
    <row r="3" spans="1:2">
      <c r="A3" s="57" t="s">
        <v>213</v>
      </c>
      <c r="B3" s="56">
        <v>5</v>
      </c>
    </row>
    <row r="4" spans="1:2">
      <c r="A4" s="57" t="s">
        <v>214</v>
      </c>
      <c r="B4" s="56">
        <v>5</v>
      </c>
    </row>
    <row r="5" spans="1:2">
      <c r="A5" s="57" t="s">
        <v>215</v>
      </c>
      <c r="B5" s="56">
        <v>5</v>
      </c>
    </row>
    <row r="6" spans="1:2">
      <c r="A6" s="57" t="s">
        <v>216</v>
      </c>
      <c r="B6" s="56">
        <v>1</v>
      </c>
    </row>
    <row r="7" spans="1:2">
      <c r="A7" s="57" t="s">
        <v>217</v>
      </c>
      <c r="B7" s="56">
        <v>1</v>
      </c>
    </row>
    <row r="8" spans="1:2">
      <c r="A8" s="57" t="s">
        <v>218</v>
      </c>
      <c r="B8" s="56">
        <v>1000</v>
      </c>
    </row>
    <row r="9" spans="1:2">
      <c r="A9" s="57" t="s">
        <v>219</v>
      </c>
      <c r="B9" s="56">
        <v>15</v>
      </c>
    </row>
    <row r="10" spans="1:2">
      <c r="A10" s="57" t="s">
        <v>220</v>
      </c>
      <c r="B10" s="56">
        <v>10</v>
      </c>
    </row>
    <row r="11" spans="1:2">
      <c r="A11" s="57" t="s">
        <v>221</v>
      </c>
      <c r="B11" s="56">
        <v>10</v>
      </c>
    </row>
    <row r="12" spans="1:2">
      <c r="A12" s="57" t="s">
        <v>222</v>
      </c>
      <c r="B12" s="56">
        <v>10</v>
      </c>
    </row>
    <row r="13" spans="1:2">
      <c r="A13" s="57" t="s">
        <v>223</v>
      </c>
      <c r="B13" s="56">
        <v>50</v>
      </c>
    </row>
    <row r="14" spans="1:2">
      <c r="A14" s="57" t="s">
        <v>224</v>
      </c>
      <c r="B14" s="56">
        <v>10</v>
      </c>
    </row>
    <row r="15" spans="1:2">
      <c r="A15" s="57" t="s">
        <v>225</v>
      </c>
      <c r="B15" s="56">
        <v>10</v>
      </c>
    </row>
    <row r="16" spans="1:2">
      <c r="A16" s="57" t="s">
        <v>226</v>
      </c>
      <c r="B16" s="56">
        <v>20</v>
      </c>
    </row>
    <row r="17" spans="1:2">
      <c r="A17" s="57" t="s">
        <v>227</v>
      </c>
      <c r="B17" s="56">
        <v>50</v>
      </c>
    </row>
    <row r="18" spans="1:2">
      <c r="A18" s="57" t="s">
        <v>228</v>
      </c>
      <c r="B18" s="56">
        <v>5</v>
      </c>
    </row>
    <row r="19" spans="1:2">
      <c r="A19" s="57" t="s">
        <v>229</v>
      </c>
      <c r="B19" s="56">
        <v>10</v>
      </c>
    </row>
    <row r="20" spans="1:2">
      <c r="A20" s="57" t="s">
        <v>230</v>
      </c>
      <c r="B20" s="56">
        <v>10</v>
      </c>
    </row>
    <row r="21" spans="1:2">
      <c r="A21" s="57" t="s">
        <v>231</v>
      </c>
      <c r="B21" s="56">
        <v>20</v>
      </c>
    </row>
    <row r="22" spans="1:2">
      <c r="A22" s="57" t="s">
        <v>232</v>
      </c>
      <c r="B22" s="56">
        <v>10</v>
      </c>
    </row>
    <row r="23" spans="1:2">
      <c r="A23" s="57" t="s">
        <v>233</v>
      </c>
      <c r="B23" s="56">
        <v>10</v>
      </c>
    </row>
    <row r="24" spans="1:2">
      <c r="A24" s="57" t="s">
        <v>234</v>
      </c>
      <c r="B24" s="56">
        <v>20</v>
      </c>
    </row>
    <row r="25" spans="1:2">
      <c r="A25" s="57" t="s">
        <v>235</v>
      </c>
      <c r="B25" s="56">
        <v>20</v>
      </c>
    </row>
    <row r="26" spans="1:2">
      <c r="A26" s="57" t="s">
        <v>236</v>
      </c>
      <c r="B26" s="56">
        <v>5</v>
      </c>
    </row>
    <row r="27" spans="1:2">
      <c r="A27" s="57" t="s">
        <v>237</v>
      </c>
      <c r="B27" s="56">
        <v>5</v>
      </c>
    </row>
    <row r="28" spans="1:2">
      <c r="A28" s="57" t="s">
        <v>238</v>
      </c>
      <c r="B28" s="56">
        <v>10</v>
      </c>
    </row>
    <row r="29" spans="1:2">
      <c r="A29" s="57" t="s">
        <v>239</v>
      </c>
      <c r="B29" s="56">
        <v>20</v>
      </c>
    </row>
    <row r="30" spans="1:2">
      <c r="A30" s="57" t="s">
        <v>240</v>
      </c>
      <c r="B30" s="56">
        <v>100</v>
      </c>
    </row>
    <row r="31" spans="1:2">
      <c r="A31" s="57" t="s">
        <v>241</v>
      </c>
      <c r="B31" s="56">
        <v>5</v>
      </c>
    </row>
    <row r="32" spans="1:2">
      <c r="A32" s="57" t="s">
        <v>242</v>
      </c>
      <c r="B32" s="56">
        <v>5</v>
      </c>
    </row>
    <row r="33" spans="1:2">
      <c r="A33" s="57" t="s">
        <v>243</v>
      </c>
      <c r="B33" s="56">
        <v>10</v>
      </c>
    </row>
    <row r="34" spans="1:2">
      <c r="A34" s="57" t="s">
        <v>244</v>
      </c>
      <c r="B34" s="56">
        <v>10</v>
      </c>
    </row>
    <row r="35" spans="1:2">
      <c r="A35" s="57" t="s">
        <v>245</v>
      </c>
      <c r="B35" s="56">
        <v>10</v>
      </c>
    </row>
    <row r="36" spans="1:2">
      <c r="A36" s="57" t="s">
        <v>246</v>
      </c>
      <c r="B36" s="56">
        <v>10</v>
      </c>
    </row>
    <row r="37" spans="1:2">
      <c r="A37" s="57" t="s">
        <v>207</v>
      </c>
      <c r="B37" s="56">
        <v>10</v>
      </c>
    </row>
    <row r="38" spans="1:2">
      <c r="A38" s="57" t="s">
        <v>247</v>
      </c>
      <c r="B38" s="56">
        <v>10</v>
      </c>
    </row>
    <row r="39" spans="1:2">
      <c r="A39" s="57" t="s">
        <v>248</v>
      </c>
      <c r="B39" s="56">
        <v>10</v>
      </c>
    </row>
    <row r="40" spans="1:2">
      <c r="A40" s="57" t="s">
        <v>249</v>
      </c>
      <c r="B40" s="56">
        <v>500</v>
      </c>
    </row>
    <row r="41" spans="1:2">
      <c r="A41" s="57" t="s">
        <v>250</v>
      </c>
      <c r="B41" s="56">
        <v>500</v>
      </c>
    </row>
    <row r="42" spans="1:2">
      <c r="A42" s="57" t="s">
        <v>251</v>
      </c>
      <c r="B42" s="56">
        <v>5</v>
      </c>
    </row>
    <row r="43" spans="1:2">
      <c r="A43" s="57" t="s">
        <v>252</v>
      </c>
      <c r="B43" s="56">
        <v>5</v>
      </c>
    </row>
    <row r="44" spans="1:2">
      <c r="A44" s="57" t="s">
        <v>253</v>
      </c>
      <c r="B44" s="56">
        <v>5</v>
      </c>
    </row>
    <row r="45" spans="1:2">
      <c r="A45" s="57" t="s">
        <v>254</v>
      </c>
      <c r="B45" s="56">
        <v>5</v>
      </c>
    </row>
    <row r="46" spans="1:2">
      <c r="A46" s="57" t="s">
        <v>255</v>
      </c>
      <c r="B46" s="56">
        <v>100</v>
      </c>
    </row>
    <row r="47" spans="1:2">
      <c r="A47" s="57" t="s">
        <v>256</v>
      </c>
      <c r="B47" s="56">
        <v>60</v>
      </c>
    </row>
    <row r="48" spans="1:2">
      <c r="A48" s="57" t="s">
        <v>257</v>
      </c>
      <c r="B48" s="56">
        <v>100</v>
      </c>
    </row>
    <row r="49" spans="1:2">
      <c r="A49" s="57" t="s">
        <v>258</v>
      </c>
      <c r="B49" s="56">
        <v>300</v>
      </c>
    </row>
    <row r="50" spans="1:2">
      <c r="A50" s="57" t="s">
        <v>259</v>
      </c>
      <c r="B50" s="56">
        <v>200</v>
      </c>
    </row>
    <row r="51" spans="1:2">
      <c r="A51" s="57" t="s">
        <v>260</v>
      </c>
      <c r="B51" s="56">
        <v>300</v>
      </c>
    </row>
    <row r="52" spans="1:2">
      <c r="A52" s="57" t="s">
        <v>261</v>
      </c>
      <c r="B52" s="56">
        <v>10000</v>
      </c>
    </row>
    <row r="53" spans="1:2">
      <c r="A53" s="57" t="s">
        <v>262</v>
      </c>
      <c r="B53" s="56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2018-04-18T07:06:20Z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