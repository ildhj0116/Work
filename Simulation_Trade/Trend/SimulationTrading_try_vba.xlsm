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3" i="2" l="1"/>
  <c r="C82" i="2" l="1"/>
  <c r="C81" i="2" l="1"/>
  <c r="C80" i="2" l="1"/>
  <c r="C79" i="2" l="1"/>
  <c r="C78" i="2" l="1"/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08" i="1"/>
  <c r="S310" i="1"/>
  <c r="S309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371" i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51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I215" i="1"/>
  <c r="S305" i="1"/>
  <c r="S360" i="1"/>
  <c r="S359" i="1"/>
  <c r="S347" i="1"/>
  <c r="S331" i="1"/>
  <c r="S324" i="1"/>
  <c r="S316" i="1"/>
  <c r="S349" i="1"/>
  <c r="S315" i="1"/>
  <c r="S355" i="1"/>
  <c r="S326" i="1"/>
  <c r="S311" i="1"/>
  <c r="S351" i="1"/>
  <c r="S322" i="1"/>
  <c r="S323" i="1"/>
  <c r="S335" i="1"/>
  <c r="S332" i="1"/>
  <c r="S344" i="1"/>
  <c r="S325" i="1"/>
  <c r="S327" i="1"/>
  <c r="S357" i="1"/>
  <c r="S320" i="1"/>
  <c r="S314" i="1"/>
  <c r="S339" i="1"/>
  <c r="S354" i="1"/>
  <c r="S350" i="1"/>
  <c r="S352" i="1"/>
  <c r="S346" i="1"/>
  <c r="S348" i="1"/>
  <c r="S337" i="1"/>
  <c r="S321" i="1"/>
  <c r="S340" i="1"/>
  <c r="S319" i="1"/>
  <c r="S333" i="1"/>
  <c r="S356" i="1"/>
  <c r="S318" i="1"/>
  <c r="S353" i="1"/>
  <c r="S312" i="1"/>
  <c r="S338" i="1"/>
  <c r="S358" i="1"/>
  <c r="S342" i="1"/>
  <c r="S307" i="1"/>
  <c r="S329" i="1"/>
  <c r="S345" i="1"/>
  <c r="S341" i="1"/>
  <c r="S336" i="1"/>
  <c r="S328" i="1"/>
  <c r="S334" i="1"/>
  <c r="S330" i="1"/>
  <c r="S343" i="1"/>
  <c r="S313" i="1"/>
  <c r="S317" i="1"/>
  <c r="M353" i="1" l="1"/>
  <c r="M356" i="1"/>
  <c r="M350" i="1"/>
  <c r="M354" i="1"/>
  <c r="M355" i="1"/>
  <c r="M347" i="1"/>
  <c r="M338" i="1"/>
  <c r="M345" i="1"/>
  <c r="M348" i="1"/>
  <c r="M349" i="1"/>
  <c r="M344" i="1"/>
  <c r="M337" i="1"/>
  <c r="M334" i="1"/>
  <c r="M335" i="1"/>
  <c r="M352" i="1"/>
  <c r="M343" i="1"/>
  <c r="M340" i="1"/>
  <c r="M333" i="1"/>
  <c r="M346" i="1"/>
  <c r="M342" i="1"/>
  <c r="M339" i="1"/>
  <c r="M341" i="1"/>
  <c r="M331" i="1"/>
  <c r="M330" i="1"/>
  <c r="M332" i="1"/>
  <c r="M327" i="1"/>
  <c r="M326" i="1"/>
  <c r="M336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60" i="1"/>
  <c r="T312" i="1"/>
  <c r="T313" i="1" s="1"/>
  <c r="T314" i="1" s="1"/>
  <c r="T315" i="1" s="1"/>
  <c r="U365" i="1"/>
  <c r="T368" i="1"/>
  <c r="T301" i="1"/>
  <c r="U361" i="1"/>
  <c r="T364" i="1"/>
  <c r="T332" i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U373" i="1"/>
  <c r="U369" i="1"/>
  <c r="T372" i="1"/>
  <c r="U371" i="1"/>
  <c r="T371" i="1"/>
  <c r="U367" i="1"/>
  <c r="T367" i="1"/>
  <c r="U363" i="1"/>
  <c r="T363" i="1"/>
  <c r="U374" i="1"/>
  <c r="U370" i="1"/>
  <c r="U366" i="1"/>
  <c r="U362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210" i="1"/>
  <c r="S33" i="1"/>
  <c r="S302" i="1"/>
  <c r="S230" i="1"/>
  <c r="S243" i="1"/>
  <c r="S206" i="1"/>
  <c r="S304" i="1"/>
  <c r="S174" i="1"/>
  <c r="S23" i="1"/>
  <c r="S116" i="1"/>
  <c r="S231" i="1"/>
  <c r="S55" i="1"/>
  <c r="S259" i="1"/>
  <c r="S173" i="1"/>
  <c r="S52" i="1"/>
  <c r="S41" i="1"/>
  <c r="S267" i="1"/>
  <c r="S185" i="1"/>
  <c r="S251" i="1"/>
  <c r="S77" i="1"/>
  <c r="S188" i="1"/>
  <c r="S162" i="1"/>
  <c r="S27" i="1"/>
  <c r="S224" i="1"/>
  <c r="S139" i="1"/>
  <c r="S125" i="1"/>
  <c r="S45" i="1"/>
  <c r="S103" i="1"/>
  <c r="S9" i="1"/>
  <c r="S278" i="1"/>
  <c r="S119" i="1"/>
  <c r="S37" i="1"/>
  <c r="S209" i="1"/>
  <c r="S191" i="1"/>
  <c r="S8" i="1"/>
  <c r="S15" i="1"/>
  <c r="S177" i="1"/>
  <c r="S115" i="1"/>
  <c r="S254" i="1"/>
  <c r="S234" i="1"/>
  <c r="S195" i="1"/>
  <c r="S277" i="1"/>
  <c r="S10" i="1"/>
  <c r="S51" i="1"/>
  <c r="S161" i="1"/>
  <c r="S166" i="1"/>
  <c r="S134" i="1"/>
  <c r="S276" i="1"/>
  <c r="S268" i="1"/>
  <c r="S282" i="1"/>
  <c r="S157" i="1"/>
  <c r="S263" i="1"/>
  <c r="S100" i="1"/>
  <c r="S198" i="1"/>
  <c r="S20" i="1"/>
  <c r="S189" i="1"/>
  <c r="S121" i="1"/>
  <c r="S203" i="1"/>
  <c r="S99" i="1"/>
  <c r="S214" i="1"/>
  <c r="S148" i="1"/>
  <c r="S182" i="1"/>
  <c r="S26" i="1"/>
  <c r="S88" i="1"/>
  <c r="S262" i="1"/>
  <c r="S236" i="1"/>
  <c r="S124" i="1"/>
  <c r="S146" i="1"/>
  <c r="S196" i="1"/>
  <c r="S36" i="1"/>
  <c r="S98" i="1"/>
  <c r="S193" i="1"/>
  <c r="S240" i="1"/>
  <c r="S158" i="1"/>
  <c r="S58" i="1"/>
  <c r="S200" i="1"/>
  <c r="S126" i="1"/>
  <c r="S295" i="1"/>
  <c r="S179" i="1"/>
  <c r="S248" i="1"/>
  <c r="S24" i="1"/>
  <c r="S250" i="1"/>
  <c r="S61" i="1"/>
  <c r="S178" i="1"/>
  <c r="S205" i="1"/>
  <c r="S213" i="1"/>
  <c r="S137" i="1"/>
  <c r="S194" i="1"/>
  <c r="S241" i="1"/>
  <c r="S293" i="1"/>
  <c r="S273" i="1"/>
  <c r="S74" i="1"/>
  <c r="S132" i="1"/>
  <c r="S165" i="1"/>
  <c r="S111" i="1"/>
  <c r="S11" i="1"/>
  <c r="S106" i="1"/>
  <c r="S13" i="1"/>
  <c r="S63" i="1"/>
  <c r="S269" i="1"/>
  <c r="S217" i="1"/>
  <c r="S131" i="1"/>
  <c r="S210" i="1"/>
  <c r="S226" i="1"/>
  <c r="S222" i="1"/>
  <c r="S54" i="1"/>
  <c r="S287" i="1"/>
  <c r="S290" i="1"/>
  <c r="S35" i="1"/>
  <c r="S181" i="1"/>
  <c r="S42" i="1"/>
  <c r="S145" i="1"/>
  <c r="S270" i="1"/>
  <c r="S180" i="1"/>
  <c r="S14" i="1"/>
  <c r="S284" i="1"/>
  <c r="S211" i="1"/>
  <c r="S298" i="1"/>
  <c r="S140" i="1"/>
  <c r="S43" i="1"/>
  <c r="S297" i="1"/>
  <c r="S19" i="1"/>
  <c r="S183" i="1"/>
  <c r="S247" i="1"/>
  <c r="S60" i="1"/>
  <c r="S264" i="1"/>
  <c r="S67" i="1"/>
  <c r="S238" i="1"/>
  <c r="S159" i="1"/>
  <c r="S260" i="1"/>
  <c r="S261" i="1"/>
  <c r="S221" i="1"/>
  <c r="S16" i="1"/>
  <c r="S150" i="1"/>
  <c r="S89" i="1"/>
  <c r="S227" i="1"/>
  <c r="S296" i="1"/>
  <c r="S253" i="1"/>
  <c r="S257" i="1"/>
  <c r="S108" i="1"/>
  <c r="S216" i="1"/>
  <c r="S122" i="1"/>
  <c r="S93" i="1"/>
  <c r="S136" i="1"/>
  <c r="S233" i="1"/>
  <c r="S75" i="1"/>
  <c r="S225" i="1"/>
  <c r="S135" i="1"/>
  <c r="S303" i="1"/>
  <c r="S40" i="1"/>
  <c r="S232" i="1"/>
  <c r="S144" i="1"/>
  <c r="S201" i="1"/>
  <c r="S272" i="1"/>
  <c r="S65" i="1"/>
  <c r="S266" i="1"/>
  <c r="S187" i="1"/>
  <c r="S171" i="1"/>
  <c r="S76" i="1"/>
  <c r="S151" i="1"/>
  <c r="S149" i="1"/>
  <c r="S172" i="1"/>
  <c r="S204" i="1"/>
  <c r="S107" i="1"/>
  <c r="S223" i="1"/>
  <c r="S239" i="1"/>
  <c r="S59" i="1"/>
  <c r="S17" i="1"/>
  <c r="S39" i="1"/>
  <c r="S208" i="1"/>
  <c r="S112" i="1"/>
  <c r="S138" i="1"/>
  <c r="S73" i="1"/>
  <c r="S114" i="1"/>
  <c r="S95" i="1"/>
  <c r="S154" i="1"/>
  <c r="S141" i="1"/>
  <c r="S237" i="1"/>
  <c r="S72" i="1"/>
  <c r="S78" i="1"/>
  <c r="S50" i="1"/>
  <c r="S160" i="1"/>
  <c r="S252" i="1"/>
  <c r="S57" i="1"/>
  <c r="S12" i="1"/>
  <c r="S286" i="1"/>
  <c r="S245" i="1"/>
  <c r="S163" i="1"/>
  <c r="S81" i="1"/>
  <c r="S169" i="1"/>
  <c r="S212" i="1"/>
  <c r="S87" i="1"/>
  <c r="S2" i="1"/>
  <c r="S97" i="1"/>
  <c r="S123" i="1"/>
  <c r="S249" i="1"/>
  <c r="S152" i="1"/>
  <c r="S90" i="1"/>
  <c r="S38" i="1"/>
  <c r="S170" i="1"/>
  <c r="S120" i="1"/>
  <c r="S105" i="1"/>
  <c r="S102" i="1"/>
  <c r="S246" i="1"/>
  <c r="S130" i="1"/>
  <c r="S274" i="1"/>
  <c r="S255" i="1"/>
  <c r="S275" i="1"/>
  <c r="S127" i="1"/>
  <c r="S69" i="1"/>
  <c r="S6" i="1"/>
  <c r="S300" i="1"/>
  <c r="S84" i="1"/>
  <c r="S128" i="1"/>
  <c r="S235" i="1"/>
  <c r="S46" i="1"/>
  <c r="S176" i="1"/>
  <c r="S83" i="1"/>
  <c r="S48" i="1"/>
  <c r="S197" i="1"/>
  <c r="S129" i="1"/>
  <c r="S186" i="1"/>
  <c r="S94" i="1"/>
  <c r="S244" i="1"/>
  <c r="S190" i="1"/>
  <c r="S110" i="1"/>
  <c r="S5" i="1"/>
  <c r="S79" i="1"/>
  <c r="S156" i="1"/>
  <c r="S86" i="1"/>
  <c r="S168" i="1"/>
  <c r="S292" i="1"/>
  <c r="S289" i="1"/>
  <c r="S207" i="1"/>
  <c r="S258" i="1"/>
  <c r="S219" i="1"/>
  <c r="S21" i="1"/>
  <c r="S294" i="1"/>
  <c r="S184" i="1"/>
  <c r="S175" i="1"/>
  <c r="S22" i="1"/>
  <c r="S68" i="1"/>
  <c r="S7" i="1"/>
  <c r="S299" i="1"/>
  <c r="S82" i="1"/>
  <c r="S80" i="1"/>
  <c r="S18" i="1"/>
  <c r="S288" i="1"/>
  <c r="S271" i="1"/>
  <c r="S64" i="1"/>
  <c r="S147" i="1"/>
  <c r="S256" i="1"/>
  <c r="S118" i="1"/>
  <c r="S66" i="1"/>
  <c r="S133" i="1"/>
  <c r="S96" i="1"/>
  <c r="S142" i="1"/>
  <c r="S199" i="1"/>
  <c r="S215" i="1"/>
  <c r="S70" i="1"/>
  <c r="S202" i="1"/>
  <c r="S92" i="1"/>
  <c r="S280" i="1"/>
  <c r="S220" i="1"/>
  <c r="S306" i="1"/>
  <c r="S283" i="1"/>
  <c r="S153" i="1"/>
  <c r="S192" i="1"/>
  <c r="S53" i="1"/>
  <c r="S228" i="1"/>
  <c r="S218" i="1"/>
  <c r="S56" i="1"/>
  <c r="S3" i="1"/>
  <c r="S143" i="1"/>
  <c r="S113" i="1"/>
  <c r="S291" i="1"/>
  <c r="S47" i="1"/>
  <c r="S104" i="1"/>
  <c r="S71" i="1"/>
  <c r="S167" i="1"/>
  <c r="S101" i="1"/>
  <c r="S285" i="1"/>
  <c r="S117" i="1"/>
  <c r="S109" i="1"/>
  <c r="S62" i="1"/>
  <c r="S229" i="1"/>
  <c r="S44" i="1"/>
  <c r="S91" i="1"/>
  <c r="S85" i="1"/>
  <c r="S155" i="1"/>
  <c r="S265" i="1"/>
  <c r="S242" i="1"/>
  <c r="S4" i="1"/>
  <c r="S279" i="1"/>
  <c r="S49" i="1"/>
  <c r="U360" i="1" l="1"/>
  <c r="U357" i="1"/>
  <c r="U359" i="1"/>
  <c r="U358" i="1"/>
  <c r="U356" i="1"/>
  <c r="U354" i="1"/>
  <c r="U355" i="1"/>
  <c r="U353" i="1"/>
  <c r="U351" i="1"/>
  <c r="U352" i="1"/>
  <c r="U350" i="1"/>
  <c r="U349" i="1"/>
  <c r="U347" i="1"/>
  <c r="U348" i="1"/>
  <c r="U346" i="1"/>
  <c r="U345" i="1"/>
  <c r="U344" i="1"/>
  <c r="U343" i="1"/>
  <c r="U342" i="1"/>
  <c r="U341" i="1"/>
  <c r="U340" i="1"/>
  <c r="U339" i="1"/>
  <c r="U338" i="1"/>
  <c r="U334" i="1"/>
  <c r="U337" i="1"/>
  <c r="U335" i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<sst xmlns="http://schemas.openxmlformats.org/spreadsheetml/2006/main" count="518" uniqueCount="403">
  <si>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</si>
  <si>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</si>
  <si>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</si>
  <si>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</si>
  <si>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</si>
  <si>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</si>
  <si>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</si>
  <si>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</si>
  <si>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</si>
  <si>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</si>
  <si>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</si>
  <si>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</si>
  <si>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</si>
  <si>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</si>
  <si>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</si>
  <si>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</si>
  <si>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</si>
  <si>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</si>
  <si>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</si>
  <si>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</si>
  <si>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</si>
  <si>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</si>
  <si>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</si>
  <si>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</si>
  <si>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</si>
  <si>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</si>
  <si>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</si>
  <si>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</si>
  <si>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</si>
  <si>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</si>
  <si>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</si>
  <si>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</si>
  <si>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</si>
  <si>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</si>
  <si>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</si>
  <si>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</si>
  <si>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</si>
  <si>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</si>
  <si>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</si>
  <si>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</si>
  <si>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</si>
  <si>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</si>
  <si>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</si>
  <si>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</si>
  <si>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</si>
  <si>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</si>
  <si>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</si>
  <si>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</si>
  <si>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</si>
  <si>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</si>
  <si>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</si>
  <si>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</si>
  <si>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</si>
  <si>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</si>
  <si>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</si>
  <si>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</si>
  <si>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</si>
  <si>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</si>
  <si>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</si>
  <si>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</si>
  <si>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</si>
  <si>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</si>
  <si>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</si>
  <si>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</si>
  <si>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</si>
  <si>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</si>
  <si>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</si>
  <si>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</si>
  <si>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</si>
  <si>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</si>
  <si>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</si>
  <si>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</si>
  <si>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</si>
  <si>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</si>
  <si>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</si>
  <si>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</si>
  <si>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</si>
  <si>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</si>
  <si>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</si>
  <si>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</si>
  <si>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</si>
  <si>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</si>
  <si>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</si>
  <si>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</si>
  <si>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</si>
  <si>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</si>
  <si>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</si>
  <si>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</si>
  <si>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</si>
  <si>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</si>
  <si>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</si>
  <si>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</si>
  <si>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</si>
  <si>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</si>
  <si>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</si>
  <si>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</si>
  <si>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</si>
  <si>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</si>
  <si>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</si>
  <si>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</si>
  <si>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</si>
  <si>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</si>
  <si>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</si>
  <si>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</si>
  <si>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</si>
  <si>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</si>
  <si>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</si>
  <si>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</si>
  <si>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</si>
  <si>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</si>
  <si>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</si>
  <si>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</si>
  <si>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</si>
  <si>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</si>
  <si>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</si>
  <si>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</si>
  <si>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</si>
  <si>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</si>
  <si>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</si>
  <si>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</si>
  <si>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</si>
  <si>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</si>
  <si>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</si>
  <si>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</si>
  <si>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</si>
  <si>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</si>
  <si>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</si>
  <si>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</si>
  <si>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</si>
  <si>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</si>
  <si>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</si>
  <si>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</si>
  <si>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</si>
  <si>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</si>
  <si>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</si>
  <si>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</si>
  <si>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</si>
  <si>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</si>
  <si>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</si>
  <si>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</si>
  <si>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</si>
  <si>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</si>
  <si>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</si>
  <si>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</si>
  <si>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</si>
  <si>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</si>
  <si>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</si>
  <si>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</si>
  <si>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</si>
  <si>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</si>
  <si>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</si>
  <si>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</si>
  <si>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</si>
  <si>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</si>
  <si>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</si>
  <si>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</si>
  <si>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</si>
  <si>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</si>
  <si>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</si>
  <si>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</si>
  <si>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</si>
  <si>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</si>
  <si>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</si>
  <si>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</si>
  <si>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</si>
  <si>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</si>
  <si>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</si>
  <si>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</si>
  <si>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</si>
  <si>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</si>
  <si>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</si>
  <si>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</si>
  <si>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</si>
  <si>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</si>
  <si>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</si>
  <si>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</si>
  <si>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</si>
  <si>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</si>
  <si>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</si>
  <si>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</si>
  <si>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</si>
  <si>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</si>
  <si>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</si>
  <si>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</si>
  <si>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</si>
  <si>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</si>
  <si>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</si>
  <si>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</si>
  <si>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</si>
  <si>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</si>
  <si>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</si>
  <si>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</si>
  <si>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</si>
  <si>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</si>
  <si>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</si>
  <si>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</si>
  <si>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</si>
  <si>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</si>
  <si>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</si>
  <si>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</si>
  <si>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</si>
  <si>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</si>
  <si>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</si>
  <si>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</si>
  <si>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</si>
  <si>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</si>
  <si>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</si>
  <si>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</si>
  <si>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</si>
  <si>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</si>
  <si>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</si>
  <si>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</si>
  <si>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</si>
  <si>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</si>
  <si>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</si>
  <si>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</si>
  <si>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</si>
  <si>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</si>
  <si>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</si>
  <si>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</si>
  <si>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</si>
  <si>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</si>
  <si>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</si>
  <si>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</si>
  <si>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</si>
  <si>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</si>
  <si>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</si>
  <si>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</si>
  <si>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</si>
  <si>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</si>
  <si>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</si>
  <si>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</si>
  <si>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</si>
  <si>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</si>
  <si>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</si>
  <si>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</si>
  <si>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</si>
  <si>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</si>
  <si>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</si>
  <si>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</si>
  <si>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</si>
  <si>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</si>
  <si>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</si>
  <si>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</si>
  <si>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</si>
  <si>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</si>
  <si>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</si>
  <si>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</si>
  <si>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</si>
  <si>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</si>
  <si>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</si>
  <si>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</si>
  <si>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</si>
  <si>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</si>
  <si>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</si>
  <si>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</si>
  <si>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</si>
  <si>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</si>
  <si>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</si>
  <si>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</si>
  <si>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</si>
  <si>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</si>
  <si>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</si>
  <si>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</si>
  <si>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</si>
  <si>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</si>
  <si>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</si>
  <si>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</si>
  <si>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</si>
  <si>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</si>
  <si>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</si>
  <si>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</si>
  <si>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</si>
  <si>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</si>
  <si>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</si>
  <si>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</si>
  <si>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</si>
  <si>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</si>
  <si>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</si>
  <si>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</si>
  <si>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</si>
  <si>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</si>
  <si>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</si>
  <si>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</si>
  <si>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</si>
  <si>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</si>
  <si>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</si>
  <si>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</si>
  <si>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</si>
  <si>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</si>
  <si>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</si>
  <si>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</si>
  <si>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</si>
  <si>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</si>
  <si>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</si>
  <si>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</si>
  <si>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</si>
  <si>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</si>
  <si>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</si>
  <si>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</si>
  <si>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</si>
  <si>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</si>
  <si>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</si>
  <si>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</si>
  <si>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</si>
  <si>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</si>
  <si>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</si>
  <si>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</si>
  <si>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</si>
  <si>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</si>
  <si>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</si>
  <si>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</si>
  <si>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</si>
  <si>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</si>
  <si>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</si>
  <si>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</si>
  <si>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</si>
  <si>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</si>
  <si>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</si>
  <si>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</si>
  <si>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</si>
  <si>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</si>
  <si>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</si>
  <si>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</si>
  <si>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</si>
  <si>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</si>
  <si>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</si>
  <si>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</si>
  <si>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</si>
  <si>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</si>
  <si>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</si>
  <si>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</si>
  <si>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</si>
  <si>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</si>
  <si>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</si>
  <si>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</si>
  <si>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</si>
  <si>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</si>
  <si>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</si>
  <si>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</si>
  <si>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</si>
  <si>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</si>
  <si>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</si>
  <si>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</si>
  <si>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</si>
  <si>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</si>
  <si>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</si>
  <si>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</si>
  <si>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</si>
  <si>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</si>
  <si>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</si>
  <si>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</si>
  <si>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</si>
  <si>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</si>
  <si>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</si>
  <si>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</si>
  <si>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</si>
  <si>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</si>
  <si>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</si>
  <si>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</si>
  <si>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</si>
  <si>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</si>
  <si>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</si>
  <si>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</si>
  <si>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</si>
  <si>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</si>
  <si>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</si>
  <si>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</si>
  <si>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</si>
  <si>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</si>
  <si>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</si>
  <si>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</si>
  <si>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</si>
  <si>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</si>
  <si>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</si>
  <si>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</si>
  <si>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</si>
  <si>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</si>
  <si>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</si>
  <si>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</si>
  <si>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</si>
  <si>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</si>
  <si>
    <t>JD1809</t>
    <phoneticPr fontId="1" type="noConversion"/>
  </si>
  <si>
    <t>CS1809</t>
    <phoneticPr fontId="1" type="noConversion"/>
  </si>
  <si>
    <t>JM1809</t>
    <phoneticPr fontId="1" type="noConversion"/>
  </si>
  <si>
    <t>ZN1806</t>
    <phoneticPr fontId="1" type="noConversion"/>
  </si>
  <si>
    <t>MA809</t>
    <phoneticPr fontId="1" type="noConversion"/>
  </si>
  <si>
    <t>IH1806</t>
    <phoneticPr fontId="1" type="noConversion"/>
  </si>
  <si>
    <t>SF805</t>
    <phoneticPr fontId="1" type="noConversion"/>
  </si>
  <si>
    <t>BU1806</t>
    <phoneticPr fontId="1" type="noConversion"/>
  </si>
  <si>
    <t>NI1807</t>
    <phoneticPr fontId="1" type="noConversion"/>
  </si>
  <si>
    <t>CU1806</t>
    <phoneticPr fontId="1" type="noConversion"/>
  </si>
  <si>
    <t>TA809</t>
    <phoneticPr fontId="1" type="noConversion"/>
  </si>
  <si>
    <t>SF809</t>
    <phoneticPr fontId="1" type="noConversion"/>
  </si>
  <si>
    <t>HC1810</t>
    <phoneticPr fontId="1" type="noConversion"/>
  </si>
  <si>
    <t>CS1809</t>
    <phoneticPr fontId="1" type="noConversion"/>
  </si>
  <si>
    <t>NI1807</t>
    <phoneticPr fontId="1" type="noConversion"/>
  </si>
  <si>
    <t>RB1810</t>
    <phoneticPr fontId="1" type="noConversion"/>
  </si>
  <si>
    <t>CS1809</t>
    <phoneticPr fontId="1" type="noConversion"/>
  </si>
  <si>
    <t>IC1805</t>
    <phoneticPr fontId="1" type="noConversion"/>
  </si>
  <si>
    <t>IH1805</t>
    <phoneticPr fontId="1" type="noConversion"/>
  </si>
  <si>
    <t>IF1805</t>
    <phoneticPr fontId="1" type="noConversion"/>
  </si>
  <si>
    <t>CU1806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</si>
</sst>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50992"/>
        <c:axId val="502352112"/>
      </c:lineChart>
      <c:dateAx>
        <c:axId val="502350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2352112"/>
        <c:crosses val="autoZero"/>
        <c:auto val="1"/>
        <c:lblOffset val="100"/>
        <c:baseTimeUnit val="days"/>
      </c:dateAx>
      <c:valAx>
        <c:axId val="50235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235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权益!$A$19:$A$83</c:f>
              <c:numCache>
                <c:formatCode>m/d/yyyy</c:formatCode>
                <c:ptCount val="65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  <c:pt idx="59">
                  <c:v>43206</c:v>
                </c:pt>
                <c:pt idx="60">
                  <c:v>43207</c:v>
                </c:pt>
                <c:pt idx="61">
                  <c:v>43208</c:v>
                </c:pt>
                <c:pt idx="62">
                  <c:v>43209</c:v>
                </c:pt>
                <c:pt idx="63">
                  <c:v>43210</c:v>
                </c:pt>
                <c:pt idx="64">
                  <c:v>43213</c:v>
                </c:pt>
              </c:numCache>
            </c:numRef>
          </c:cat>
          <c:val>
            <c:numRef>
              <c:f>权益!$C$19:$C$83</c:f>
              <c:numCache>
                <c:formatCode>0.0000</c:formatCode>
                <c:ptCount val="65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  <c:pt idx="59">
                  <c:v>0.95335539999999996</c:v>
                </c:pt>
                <c:pt idx="60">
                  <c:v>0.95580549999999997</c:v>
                </c:pt>
                <c:pt idx="61">
                  <c:v>0.95700499999999999</c:v>
                </c:pt>
                <c:pt idx="62">
                  <c:v>0.95955219999999997</c:v>
                </c:pt>
                <c:pt idx="63" formatCode="General">
                  <c:v>0.95417620000000003</c:v>
                </c:pt>
                <c:pt idx="64">
                  <c:v>0.95500669999999999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56032"/>
        <c:axId val="502356592"/>
      </c:lineChart>
      <c:dateAx>
        <c:axId val="502356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2356592"/>
        <c:crosses val="autoZero"/>
        <c:auto val="1"/>
        <c:lblOffset val="100"/>
        <c:baseTimeUnit val="days"/>
      </c:dateAx>
      <c:valAx>
        <c:axId val="50235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235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133349</xdr:rowOff>
    </xdr:from>
    <xdr:to>
      <xdr:col>16</xdr:col>
      <xdr:colOff>333375</xdr:colOff>
      <xdr:row>49</xdr:row>
      <xdr:rowOff>28574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8"/>
  <sheetViews>
    <sheetView tabSelected="1" workbookViewId="0">
      <pane ySplit="1" topLeftCell="A11" activePane="bottomLeft" state="frozen"/>
      <selection pane="bottomLeft" activeCell="G69" sqref="G69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COUNTA(C2:C9969)</f>
        <v>70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0.2767857142857143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0.85321115459037122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83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19">
        <v>43203</v>
      </c>
      <c r="B77" s="41">
        <v>9523654</v>
      </c>
      <c r="C77" s="86">
        <f t="shared" si="1"/>
        <v>0.95236540000000003</v>
      </c>
    </row>
    <row r="78" spans="1:4">
      <c r="A78" s="2">
        <v>43206</v>
      </c>
      <c r="B78" s="25">
        <v>9533554</v>
      </c>
      <c r="C78" s="85">
        <f t="shared" si="1"/>
        <v>0.95335539999999996</v>
      </c>
    </row>
    <row r="79" spans="1:4">
      <c r="A79" s="2">
        <v>43207</v>
      </c>
      <c r="B79" s="25">
        <v>9558055</v>
      </c>
      <c r="C79" s="85">
        <f t="shared" si="1"/>
        <v>0.95580549999999997</v>
      </c>
    </row>
    <row r="80" spans="1:4">
      <c r="A80" s="2">
        <v>43208</v>
      </c>
      <c r="B80" s="25">
        <v>9570050</v>
      </c>
      <c r="C80" s="85">
        <f t="shared" si="1"/>
        <v>0.95700499999999999</v>
      </c>
    </row>
    <row r="81" spans="1:3">
      <c r="A81" s="2">
        <v>43209</v>
      </c>
      <c r="B81" s="25">
        <v>9595522</v>
      </c>
      <c r="C81" s="85">
        <f t="shared" si="1"/>
        <v>0.95955219999999997</v>
      </c>
    </row>
    <row r="82" spans="1:3">
      <c r="A82" s="19">
        <v>43210</v>
      </c>
      <c r="B82" s="41">
        <v>9541762</v>
      </c>
      <c r="C82" s="4">
        <f t="shared" si="1"/>
        <v>0.95417620000000003</v>
      </c>
    </row>
    <row r="83" spans="1:3">
      <c r="A83" s="2">
        <v>43213</v>
      </c>
      <c r="B83" s="25">
        <v>9550067</v>
      </c>
      <c r="C83" s="85">
        <f t="shared" si="1"/>
        <v>0.95500669999999999</v>
      </c>
    </row>
    <row r="84" spans="1:3">
      <c r="A84" s="2">
        <v>43214</v>
      </c>
    </row>
    <row r="85" spans="1:3">
      <c r="A85" s="2">
        <v>43215</v>
      </c>
    </row>
    <row r="86" spans="1:3">
      <c r="A86" s="2">
        <v>43216</v>
      </c>
    </row>
    <row r="87" spans="1:3">
      <c r="A87" s="19">
        <v>43217</v>
      </c>
      <c r="B87" s="41"/>
      <c r="C87" s="4"/>
    </row>
    <row r="88" spans="1:3">
      <c r="A88" s="2">
        <v>43222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workbookViewId="0">
      <pane ySplit="1" topLeftCell="A329" activePane="bottomLeft" state="frozen"/>
      <selection pane="bottomLeft" activeCell="G360" sqref="G360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336</v>
      </c>
      <c r="V1" s="64">
        <f>COUNTIF(M2:M9991,"&gt;0")</f>
        <v>93</v>
      </c>
      <c r="W1" s="64">
        <f>COUNTIF(M2:M9991,"&lt;0")</f>
        <v>237</v>
      </c>
      <c r="X1" s="64">
        <f>SUMIF(M2:M9991,"&gt;0")</f>
        <v>1268753.45</v>
      </c>
      <c r="Y1" s="64">
        <f>ABS(SUMIF(M2:M9991,"&lt;0"))</f>
        <v>1487033.360000001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J330" s="1">
        <v>2826</v>
      </c>
      <c r="K330" s="2">
        <v>43206</v>
      </c>
      <c r="L330" s="26">
        <v>0.61388888888888882</v>
      </c>
      <c r="M330" s="16">
        <f t="shared" si="119"/>
        <v>8640</v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>
        <v>2814</v>
      </c>
      <c r="K331" s="19">
        <v>43206</v>
      </c>
      <c r="L331" s="31">
        <v>0.43958333333333338</v>
      </c>
      <c r="M331" s="14">
        <f t="shared" si="119"/>
        <v>-8360.6999999999389</v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375</v>
      </c>
      <c r="C332" s="1">
        <v>-12</v>
      </c>
      <c r="D332" s="1">
        <v>23310</v>
      </c>
      <c r="E332" s="2">
        <v>43206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J332" s="1">
        <v>23705</v>
      </c>
      <c r="K332" s="2">
        <v>43206</v>
      </c>
      <c r="L332" s="26">
        <v>0.61458333333333337</v>
      </c>
      <c r="M332" s="16">
        <f t="shared" si="119"/>
        <v>-23700</v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376</v>
      </c>
      <c r="C333" s="1">
        <v>-24</v>
      </c>
      <c r="D333" s="1">
        <v>5046</v>
      </c>
      <c r="E333" s="2">
        <v>43206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J333" s="1">
        <v>4998</v>
      </c>
      <c r="K333" s="2">
        <v>43207</v>
      </c>
      <c r="L333" s="26">
        <v>0.88541666666666663</v>
      </c>
      <c r="M333" s="16">
        <f t="shared" si="119"/>
        <v>11520</v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377</v>
      </c>
      <c r="C334" s="1">
        <v>1</v>
      </c>
      <c r="D334" s="1">
        <v>94.114999999999995</v>
      </c>
      <c r="E334" s="2">
        <v>43206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J334" s="1">
        <v>95.13</v>
      </c>
      <c r="K334" s="2">
        <v>43209</v>
      </c>
      <c r="L334" s="26">
        <v>0.61875000000000002</v>
      </c>
      <c r="M334" s="16">
        <f t="shared" si="119"/>
        <v>10150.000000000005</v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378</v>
      </c>
      <c r="C335" s="1">
        <v>1</v>
      </c>
      <c r="D335" s="1">
        <v>97.204999999999998</v>
      </c>
      <c r="E335" s="2">
        <v>43206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J335" s="1">
        <v>97.98</v>
      </c>
      <c r="K335" s="2">
        <v>43209</v>
      </c>
      <c r="L335" s="26">
        <v>0.61875000000000002</v>
      </c>
      <c r="M335" s="16">
        <f t="shared" si="119"/>
        <v>7750.0000000000564</v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379</v>
      </c>
      <c r="C336" s="1">
        <v>-45</v>
      </c>
      <c r="D336" s="1">
        <v>2127</v>
      </c>
      <c r="E336" s="2">
        <v>43206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1:23">
      <c r="B337" s="1" t="s">
        <v>381</v>
      </c>
      <c r="C337" s="1">
        <v>-1</v>
      </c>
      <c r="D337" s="1">
        <v>6001.2</v>
      </c>
      <c r="E337" s="2">
        <v>43206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J337" s="1">
        <v>5962</v>
      </c>
      <c r="K337" s="2">
        <v>43209</v>
      </c>
      <c r="L337" s="26">
        <v>0.43472222222222223</v>
      </c>
      <c r="M337" s="16">
        <f t="shared" si="119"/>
        <v>7839.9999999999636</v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1:23">
      <c r="B338" s="1" t="s">
        <v>380</v>
      </c>
      <c r="C338" s="1">
        <v>-1</v>
      </c>
      <c r="D338" s="1">
        <v>3764.6</v>
      </c>
      <c r="E338" s="2">
        <v>43206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J338" s="1">
        <v>3768.4</v>
      </c>
      <c r="K338" s="2">
        <v>43209</v>
      </c>
      <c r="L338" s="26">
        <v>0.43472222222222223</v>
      </c>
      <c r="M338" s="16">
        <f t="shared" si="119"/>
        <v>-1140.0000000000546</v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1:23">
      <c r="B339" s="1" t="s">
        <v>382</v>
      </c>
      <c r="C339" s="1">
        <v>23</v>
      </c>
      <c r="D339" s="1">
        <v>4065</v>
      </c>
      <c r="E339" s="2">
        <v>43206</v>
      </c>
      <c r="F339" s="26">
        <v>0.56597222222222221</v>
      </c>
      <c r="G339" s="17">
        <v>1.4999999999999999E-2</v>
      </c>
      <c r="H339" s="52">
        <v>1</v>
      </c>
      <c r="I339" s="17">
        <f t="shared" si="118"/>
        <v>1.4999999999999999E-2</v>
      </c>
      <c r="J339" s="1">
        <v>4068</v>
      </c>
      <c r="K339" s="2">
        <v>43207</v>
      </c>
      <c r="L339" s="26">
        <v>0.38194444444444442</v>
      </c>
      <c r="M339" s="16">
        <f t="shared" si="119"/>
        <v>345</v>
      </c>
      <c r="S339">
        <f>IF(B339="","",VLOOKUP(Cmt(B339),Sheet2!A:B,2,FALSE))</f>
        <v>5</v>
      </c>
      <c r="T339" s="39">
        <f t="shared" si="123"/>
        <v>9520000</v>
      </c>
      <c r="U339" s="13">
        <f t="shared" si="122"/>
        <v>46.838868388683885</v>
      </c>
      <c r="W339" s="11"/>
    </row>
    <row r="340" spans="1:23">
      <c r="B340" s="1" t="s">
        <v>383</v>
      </c>
      <c r="C340" s="1">
        <v>-39</v>
      </c>
      <c r="D340" s="1">
        <v>2126</v>
      </c>
      <c r="E340" s="2">
        <v>43206</v>
      </c>
      <c r="F340" s="26">
        <v>0.56597222222222221</v>
      </c>
      <c r="G340" s="17">
        <v>1.2999999999999999E-2</v>
      </c>
      <c r="H340" s="52">
        <v>1</v>
      </c>
      <c r="I340" s="17">
        <f t="shared" si="118"/>
        <v>1.2999999999999999E-2</v>
      </c>
      <c r="J340" s="1">
        <v>2132</v>
      </c>
      <c r="K340" s="2">
        <v>43208</v>
      </c>
      <c r="L340" s="26">
        <v>0.4680555555555555</v>
      </c>
      <c r="M340" s="16">
        <f t="shared" si="119"/>
        <v>-2340</v>
      </c>
      <c r="S340">
        <f>IF(B340="","",VLOOKUP(Cmt(B340),Sheet2!A:B,2,FALSE))</f>
        <v>10</v>
      </c>
      <c r="T340" s="39">
        <f t="shared" si="123"/>
        <v>9520000</v>
      </c>
      <c r="U340" s="13">
        <f t="shared" si="122"/>
        <v>38.808403888366257</v>
      </c>
      <c r="W340" s="11"/>
    </row>
    <row r="341" spans="1:23">
      <c r="B341" s="1" t="s">
        <v>384</v>
      </c>
      <c r="C341" s="1">
        <v>-16</v>
      </c>
      <c r="D341" s="1">
        <v>1116.5</v>
      </c>
      <c r="E341" s="2">
        <v>43206</v>
      </c>
      <c r="F341" s="26">
        <v>0.56597222222222221</v>
      </c>
      <c r="G341" s="17">
        <v>1.9E-2</v>
      </c>
      <c r="H341" s="52">
        <v>1</v>
      </c>
      <c r="I341" s="17">
        <f t="shared" si="118"/>
        <v>1.9E-2</v>
      </c>
      <c r="J341" s="1">
        <v>1126.5</v>
      </c>
      <c r="K341" s="2">
        <v>43207</v>
      </c>
      <c r="L341" s="26">
        <v>0.4458333333333333</v>
      </c>
      <c r="M341" s="16">
        <f t="shared" si="119"/>
        <v>-9600</v>
      </c>
      <c r="S341">
        <f>IF(B341="","",VLOOKUP(Cmt(B341),Sheet2!A:B,2,FALSE))</f>
        <v>60</v>
      </c>
      <c r="T341" s="39">
        <f t="shared" si="123"/>
        <v>9520000</v>
      </c>
      <c r="U341" s="13">
        <f t="shared" si="122"/>
        <v>18.000696621386275</v>
      </c>
      <c r="W341" s="11"/>
    </row>
    <row r="342" spans="1:23">
      <c r="A342" s="3"/>
      <c r="B342" s="3" t="s">
        <v>370</v>
      </c>
      <c r="C342" s="3">
        <v>12</v>
      </c>
      <c r="D342" s="3">
        <v>104375</v>
      </c>
      <c r="E342" s="19">
        <v>43206</v>
      </c>
      <c r="F342" s="31">
        <v>0.61388888888888882</v>
      </c>
      <c r="G342" s="18">
        <v>0.02</v>
      </c>
      <c r="H342" s="51">
        <v>1</v>
      </c>
      <c r="I342" s="18">
        <f t="shared" si="118"/>
        <v>0.02</v>
      </c>
      <c r="J342" s="3">
        <v>103910</v>
      </c>
      <c r="K342" s="19">
        <v>43207</v>
      </c>
      <c r="L342" s="31">
        <v>0.46249999999999997</v>
      </c>
      <c r="M342" s="14">
        <f t="shared" si="119"/>
        <v>-5580</v>
      </c>
      <c r="N342" s="3"/>
      <c r="O342" s="3"/>
      <c r="P342" s="4"/>
      <c r="Q342" s="4"/>
      <c r="R342" s="4"/>
      <c r="S342">
        <f>IF(B342="","",VLOOKUP(Cmt(B342),Sheet2!A:B,2,FALSE))</f>
        <v>1</v>
      </c>
      <c r="T342" s="39">
        <f t="shared" si="123"/>
        <v>9520000</v>
      </c>
      <c r="U342" s="13">
        <f t="shared" si="122"/>
        <v>12.16127744510978</v>
      </c>
      <c r="W342" s="11"/>
    </row>
    <row r="343" spans="1:23">
      <c r="A343" s="2">
        <v>43207</v>
      </c>
      <c r="B343" s="1" t="s">
        <v>385</v>
      </c>
      <c r="C343" s="1">
        <v>-10</v>
      </c>
      <c r="D343" s="1">
        <v>23605</v>
      </c>
      <c r="E343" s="2">
        <v>43207</v>
      </c>
      <c r="F343" s="26">
        <v>0.38194444444444442</v>
      </c>
      <c r="G343" s="17">
        <v>1.9E-2</v>
      </c>
      <c r="H343" s="52">
        <v>1</v>
      </c>
      <c r="I343" s="17">
        <f t="shared" ref="I343:I374" si="127">IF(G343="","",G343*H343)</f>
        <v>1.9E-2</v>
      </c>
      <c r="J343" s="1">
        <v>23655</v>
      </c>
      <c r="K343" s="2">
        <v>43207</v>
      </c>
      <c r="L343" s="26">
        <v>0.59236111111111112</v>
      </c>
      <c r="M343" s="16">
        <f t="shared" si="119"/>
        <v>-2500</v>
      </c>
      <c r="S343">
        <f>IF(B343="","",VLOOKUP(Cmt(B343),Sheet2!A:B,2,FALSE))</f>
        <v>5</v>
      </c>
      <c r="T343" s="39">
        <f t="shared" si="123"/>
        <v>9520000</v>
      </c>
      <c r="U343" s="13">
        <f t="shared" si="122"/>
        <v>10.21704441149474</v>
      </c>
      <c r="W343" s="11"/>
    </row>
    <row r="344" spans="1:23">
      <c r="B344" s="1" t="s">
        <v>386</v>
      </c>
      <c r="C344" s="1">
        <v>38</v>
      </c>
      <c r="D344" s="1">
        <v>2673</v>
      </c>
      <c r="E344" s="2">
        <v>43207</v>
      </c>
      <c r="F344" s="26">
        <v>0.44791666666666669</v>
      </c>
      <c r="G344" s="17">
        <v>1.6E-2</v>
      </c>
      <c r="H344" s="52">
        <v>1</v>
      </c>
      <c r="I344" s="17">
        <f t="shared" si="127"/>
        <v>1.6E-2</v>
      </c>
      <c r="J344" s="1">
        <v>2711</v>
      </c>
      <c r="K344" s="2">
        <v>43209</v>
      </c>
      <c r="L344" s="26">
        <v>0.39027777777777778</v>
      </c>
      <c r="M344" s="16">
        <f t="shared" ref="M344:M374" si="128">IF(J344="","",C344*(J344-D344)*S344)</f>
        <v>14440</v>
      </c>
      <c r="S344">
        <f>IF(B344="","",VLOOKUP(Cmt(B344),Sheet2!A:B,2,FALSE))</f>
        <v>10</v>
      </c>
      <c r="T344" s="39">
        <f t="shared" si="123"/>
        <v>9520000</v>
      </c>
      <c r="U344" s="13">
        <f t="shared" si="122"/>
        <v>37.989774286070585</v>
      </c>
      <c r="W344" s="11"/>
    </row>
    <row r="345" spans="1:23">
      <c r="A345" s="3"/>
      <c r="B345" s="3" t="s">
        <v>387</v>
      </c>
      <c r="C345" s="3">
        <v>-1</v>
      </c>
      <c r="D345" s="3">
        <v>2660.2</v>
      </c>
      <c r="E345" s="19">
        <v>43207</v>
      </c>
      <c r="F345" s="31">
        <v>0.44791666666666669</v>
      </c>
      <c r="G345" s="18">
        <v>1.7999999999999999E-2</v>
      </c>
      <c r="H345" s="51">
        <v>1</v>
      </c>
      <c r="I345" s="18">
        <f t="shared" si="127"/>
        <v>1.7999999999999999E-2</v>
      </c>
      <c r="J345" s="3">
        <v>2667.6</v>
      </c>
      <c r="K345" s="19">
        <v>43209</v>
      </c>
      <c r="L345" s="31">
        <v>0.43472222222222223</v>
      </c>
      <c r="M345" s="14">
        <f t="shared" si="128"/>
        <v>-2220.0000000000273</v>
      </c>
      <c r="N345" s="3"/>
      <c r="O345" s="3"/>
      <c r="P345" s="4"/>
      <c r="Q345" s="4"/>
      <c r="R345" s="4"/>
      <c r="S345">
        <f>IF(B345="","",VLOOKUP(Cmt(B345),Sheet2!A:B,2,FALSE))</f>
        <v>300</v>
      </c>
      <c r="T345" s="39">
        <f t="shared" si="123"/>
        <v>9520000</v>
      </c>
      <c r="U345" s="13">
        <f t="shared" si="122"/>
        <v>1.431471317946019</v>
      </c>
      <c r="W345" s="11"/>
    </row>
    <row r="346" spans="1:23">
      <c r="A346" s="2">
        <v>43208</v>
      </c>
      <c r="B346" s="1" t="s">
        <v>388</v>
      </c>
      <c r="C346" s="1">
        <v>16</v>
      </c>
      <c r="D346" s="1">
        <v>6372</v>
      </c>
      <c r="E346" s="2">
        <v>43208</v>
      </c>
      <c r="F346" s="26">
        <v>0.4201388888888889</v>
      </c>
      <c r="G346" s="17">
        <v>8.0000000000000002E-3</v>
      </c>
      <c r="H346" s="52">
        <v>1</v>
      </c>
      <c r="I346" s="17">
        <f t="shared" si="127"/>
        <v>8.0000000000000002E-3</v>
      </c>
      <c r="J346" s="1">
        <v>6262</v>
      </c>
      <c r="K346" s="2">
        <v>43208</v>
      </c>
      <c r="L346" s="26">
        <v>0.61736111111111114</v>
      </c>
      <c r="M346" s="16">
        <f t="shared" si="128"/>
        <v>-8800</v>
      </c>
      <c r="S346">
        <f>IF(B346="","",VLOOKUP(Cmt(B346),Sheet2!A:B,2,FALSE))</f>
        <v>5</v>
      </c>
      <c r="T346" s="39">
        <f t="shared" si="123"/>
        <v>9520000</v>
      </c>
      <c r="U346" s="13">
        <f t="shared" si="122"/>
        <v>15.936388365766897</v>
      </c>
      <c r="W346" s="11"/>
    </row>
    <row r="347" spans="1:23">
      <c r="B347" s="1" t="s">
        <v>389</v>
      </c>
      <c r="C347" s="1">
        <v>27</v>
      </c>
      <c r="D347" s="1">
        <v>2844</v>
      </c>
      <c r="E347" s="2">
        <v>43208</v>
      </c>
      <c r="F347" s="26">
        <v>0.4201388888888889</v>
      </c>
      <c r="G347" s="17">
        <v>1.2E-2</v>
      </c>
      <c r="H347" s="52">
        <v>1</v>
      </c>
      <c r="I347" s="17">
        <f t="shared" si="127"/>
        <v>1.2E-2</v>
      </c>
      <c r="J347" s="1">
        <v>2852</v>
      </c>
      <c r="K347" s="2">
        <v>43210</v>
      </c>
      <c r="L347" s="26">
        <v>0.46666666666666662</v>
      </c>
      <c r="M347" s="16">
        <f t="shared" si="128"/>
        <v>2160</v>
      </c>
      <c r="S347">
        <f>IF(B347="","",VLOOKUP(Cmt(B347),Sheet2!A:B,2,FALSE))</f>
        <v>10</v>
      </c>
      <c r="T347" s="39">
        <f t="shared" si="123"/>
        <v>9520000</v>
      </c>
      <c r="U347" s="13">
        <f t="shared" si="122"/>
        <v>26.779184247538677</v>
      </c>
      <c r="W347" s="11"/>
    </row>
    <row r="348" spans="1:23">
      <c r="B348" s="1" t="s">
        <v>390</v>
      </c>
      <c r="C348" s="1">
        <v>12</v>
      </c>
      <c r="D348" s="1">
        <v>103580</v>
      </c>
      <c r="E348" s="2">
        <v>43208</v>
      </c>
      <c r="F348" s="26">
        <v>0.4680555555555555</v>
      </c>
      <c r="G348" s="17">
        <v>0.02</v>
      </c>
      <c r="H348" s="52">
        <v>1</v>
      </c>
      <c r="I348" s="17">
        <f t="shared" si="127"/>
        <v>0.02</v>
      </c>
      <c r="J348" s="1">
        <v>107870</v>
      </c>
      <c r="K348" s="2">
        <v>43209</v>
      </c>
      <c r="L348" s="26">
        <v>0.58194444444444449</v>
      </c>
      <c r="M348" s="16">
        <f t="shared" si="128"/>
        <v>51480</v>
      </c>
      <c r="S348">
        <f>IF(B348="","",VLOOKUP(Cmt(B348),Sheet2!A:B,2,FALSE))</f>
        <v>1</v>
      </c>
      <c r="T348" s="39">
        <f t="shared" si="123"/>
        <v>9520000</v>
      </c>
      <c r="U348" s="13">
        <f t="shared" si="122"/>
        <v>12.254618008624574</v>
      </c>
      <c r="W348" s="11"/>
    </row>
    <row r="349" spans="1:23">
      <c r="A349" s="3"/>
      <c r="B349" s="3" t="s">
        <v>391</v>
      </c>
      <c r="C349" s="3">
        <v>6</v>
      </c>
      <c r="D349" s="3">
        <v>51130</v>
      </c>
      <c r="E349" s="19">
        <v>43208</v>
      </c>
      <c r="F349" s="31">
        <v>0.61736111111111114</v>
      </c>
      <c r="G349" s="18">
        <v>2.4E-2</v>
      </c>
      <c r="H349" s="51">
        <v>1</v>
      </c>
      <c r="I349" s="18">
        <f t="shared" si="127"/>
        <v>2.4E-2</v>
      </c>
      <c r="J349" s="3">
        <v>51890</v>
      </c>
      <c r="K349" s="19">
        <v>43209</v>
      </c>
      <c r="L349" s="31">
        <v>0.61944444444444446</v>
      </c>
      <c r="M349" s="14">
        <f t="shared" si="128"/>
        <v>22800</v>
      </c>
      <c r="N349" s="3"/>
      <c r="O349" s="3"/>
      <c r="P349" s="4"/>
      <c r="Q349" s="4"/>
      <c r="R349" s="4"/>
      <c r="S349">
        <f>IF(B349="","",VLOOKUP(Cmt(B349),Sheet2!A:B,2,FALSE))</f>
        <v>5</v>
      </c>
      <c r="T349" s="39">
        <f t="shared" si="123"/>
        <v>9520000</v>
      </c>
      <c r="U349" s="13">
        <f t="shared" si="122"/>
        <v>5.9581459026012125</v>
      </c>
      <c r="W349" s="11"/>
    </row>
    <row r="350" spans="1:23">
      <c r="A350" s="2">
        <v>43209</v>
      </c>
      <c r="B350" s="1" t="s">
        <v>394</v>
      </c>
      <c r="C350" s="1">
        <v>56</v>
      </c>
      <c r="D350" s="1">
        <v>3598.21</v>
      </c>
      <c r="E350" s="2">
        <v>43208</v>
      </c>
      <c r="F350" s="26">
        <v>0.93194444444444446</v>
      </c>
      <c r="G350" s="17">
        <v>3.1E-2</v>
      </c>
      <c r="H350" s="52">
        <v>1</v>
      </c>
      <c r="I350" s="17">
        <f t="shared" si="127"/>
        <v>3.1E-2</v>
      </c>
      <c r="J350" s="1">
        <v>3608</v>
      </c>
      <c r="K350" s="2">
        <v>43210</v>
      </c>
      <c r="L350" s="26">
        <v>0.37916666666666665</v>
      </c>
      <c r="M350" s="16">
        <f t="shared" si="128"/>
        <v>5482.3999999999796</v>
      </c>
      <c r="S350">
        <f>IF(B350="","",VLOOKUP(Cmt(B350),Sheet2!A:B,2,FALSE))</f>
        <v>10</v>
      </c>
      <c r="T350" s="39">
        <f t="shared" si="123"/>
        <v>9520000</v>
      </c>
      <c r="U350" s="13">
        <f t="shared" si="122"/>
        <v>54.67903948537375</v>
      </c>
      <c r="W350" s="11"/>
    </row>
    <row r="351" spans="1:23">
      <c r="B351" s="1" t="s">
        <v>392</v>
      </c>
      <c r="C351" s="1">
        <v>27</v>
      </c>
      <c r="D351" s="1">
        <v>5614</v>
      </c>
      <c r="E351" s="2">
        <v>43209</v>
      </c>
      <c r="F351" s="26">
        <v>0.38958333333333334</v>
      </c>
      <c r="G351" s="17">
        <v>1.2E-2</v>
      </c>
      <c r="H351" s="52">
        <v>1</v>
      </c>
      <c r="I351" s="17">
        <f t="shared" si="127"/>
        <v>1.2E-2</v>
      </c>
      <c r="M351" s="16" t="str">
        <f t="shared" si="128"/>
        <v/>
      </c>
      <c r="S351">
        <f>IF(B351="","",VLOOKUP(Cmt(B351),Sheet2!A:B,2,FALSE))</f>
        <v>5</v>
      </c>
      <c r="T351" s="39">
        <f t="shared" si="123"/>
        <v>9520000</v>
      </c>
      <c r="U351" s="13">
        <f t="shared" si="122"/>
        <v>27.132169576059852</v>
      </c>
      <c r="W351" s="11"/>
    </row>
    <row r="352" spans="1:23">
      <c r="B352" s="1" t="s">
        <v>393</v>
      </c>
      <c r="C352" s="1">
        <v>16</v>
      </c>
      <c r="D352" s="1">
        <v>6142</v>
      </c>
      <c r="E352" s="2">
        <v>43209</v>
      </c>
      <c r="F352" s="26">
        <v>0.38958333333333334</v>
      </c>
      <c r="G352" s="17">
        <v>8.0000000000000002E-3</v>
      </c>
      <c r="H352" s="52">
        <v>1</v>
      </c>
      <c r="I352" s="17">
        <f t="shared" si="127"/>
        <v>8.0000000000000002E-3</v>
      </c>
      <c r="J352" s="1">
        <v>6152</v>
      </c>
      <c r="K352" s="2">
        <v>43209</v>
      </c>
      <c r="L352" s="26">
        <v>0.61875000000000002</v>
      </c>
      <c r="M352" s="16">
        <f t="shared" si="128"/>
        <v>800</v>
      </c>
      <c r="S352">
        <f>IF(B352="","",VLOOKUP(Cmt(B352),Sheet2!A:B,2,FALSE))</f>
        <v>5</v>
      </c>
      <c r="T352" s="39">
        <f t="shared" si="123"/>
        <v>9520000</v>
      </c>
      <c r="U352" s="13">
        <f t="shared" ref="U352:U374" si="129">IF(S352="","",T352*I352/(D352*S352*0.15))</f>
        <v>16.533159665689787</v>
      </c>
      <c r="W352" s="11"/>
    </row>
    <row r="353" spans="1:23">
      <c r="B353" s="1" t="s">
        <v>395</v>
      </c>
      <c r="C353" s="1">
        <v>-39</v>
      </c>
      <c r="D353" s="1">
        <v>2116</v>
      </c>
      <c r="E353" s="2">
        <v>43209</v>
      </c>
      <c r="F353" s="26">
        <v>0.4381944444444445</v>
      </c>
      <c r="G353" s="17">
        <v>1.2999999999999999E-2</v>
      </c>
      <c r="H353" s="52">
        <v>1</v>
      </c>
      <c r="I353" s="17">
        <f t="shared" si="127"/>
        <v>1.2999999999999999E-2</v>
      </c>
      <c r="J353" s="1">
        <v>2143</v>
      </c>
      <c r="K353" s="2">
        <v>43210</v>
      </c>
      <c r="L353" s="26">
        <v>0.4680555555555555</v>
      </c>
      <c r="M353" s="16">
        <f t="shared" si="128"/>
        <v>-10530</v>
      </c>
      <c r="S353">
        <f>IF(B353="","",VLOOKUP(Cmt(B353),Sheet2!A:B,2,FALSE))</f>
        <v>10</v>
      </c>
      <c r="T353" s="39">
        <f t="shared" si="123"/>
        <v>9520000</v>
      </c>
      <c r="U353" s="13">
        <f t="shared" si="129"/>
        <v>38.991808443604285</v>
      </c>
      <c r="W353" s="11"/>
    </row>
    <row r="354" spans="1:23">
      <c r="B354" s="1" t="s">
        <v>396</v>
      </c>
      <c r="C354" s="1">
        <v>14</v>
      </c>
      <c r="D354" s="1">
        <v>108230</v>
      </c>
      <c r="E354" s="2">
        <v>43209</v>
      </c>
      <c r="F354" s="26">
        <v>0.62152777777777779</v>
      </c>
      <c r="G354" s="17">
        <v>2.5000000000000001E-2</v>
      </c>
      <c r="H354" s="52">
        <v>1</v>
      </c>
      <c r="I354" s="17">
        <f t="shared" si="127"/>
        <v>2.5000000000000001E-2</v>
      </c>
      <c r="J354" s="1">
        <v>105690</v>
      </c>
      <c r="K354" s="2">
        <v>43210</v>
      </c>
      <c r="L354" s="26">
        <v>0.37916666666666665</v>
      </c>
      <c r="M354" s="16">
        <f t="shared" si="128"/>
        <v>-35560</v>
      </c>
      <c r="S354">
        <f>IF(B354="","",VLOOKUP(Cmt(B354),Sheet2!A:B,2,FALSE))</f>
        <v>1</v>
      </c>
      <c r="T354" s="39">
        <f t="shared" ref="T354:T374" si="130">IF(S354="","",T353)</f>
        <v>9520000</v>
      </c>
      <c r="U354" s="13">
        <f t="shared" si="129"/>
        <v>14.660137361791246</v>
      </c>
      <c r="W354" s="11"/>
    </row>
    <row r="355" spans="1:23">
      <c r="A355" s="3"/>
      <c r="B355" s="3" t="s">
        <v>397</v>
      </c>
      <c r="C355" s="3">
        <v>56</v>
      </c>
      <c r="D355" s="3">
        <v>3519</v>
      </c>
      <c r="E355" s="19">
        <v>43209</v>
      </c>
      <c r="F355" s="31">
        <v>0.62152777777777779</v>
      </c>
      <c r="G355" s="18">
        <v>3.1E-2</v>
      </c>
      <c r="H355" s="51">
        <v>1</v>
      </c>
      <c r="I355" s="18">
        <f t="shared" si="127"/>
        <v>3.1E-2</v>
      </c>
      <c r="J355" s="3">
        <v>3487</v>
      </c>
      <c r="K355" s="19">
        <v>43210</v>
      </c>
      <c r="L355" s="31">
        <v>0.46736111111111112</v>
      </c>
      <c r="M355" s="14">
        <f t="shared" si="128"/>
        <v>-17920</v>
      </c>
      <c r="N355" s="3"/>
      <c r="O355" s="3"/>
      <c r="P355" s="4"/>
      <c r="Q355" s="4"/>
      <c r="R355" s="4"/>
      <c r="S355">
        <f>IF(B355="","",VLOOKUP(Cmt(B355),Sheet2!A:B,2,FALSE))</f>
        <v>10</v>
      </c>
      <c r="T355" s="39">
        <f t="shared" si="130"/>
        <v>9520000</v>
      </c>
      <c r="U355" s="13">
        <f t="shared" si="129"/>
        <v>55.909822866344605</v>
      </c>
      <c r="W355" s="11"/>
    </row>
    <row r="356" spans="1:23">
      <c r="A356" s="2">
        <v>43210</v>
      </c>
      <c r="B356" s="1" t="s">
        <v>398</v>
      </c>
      <c r="C356" s="1">
        <v>44</v>
      </c>
      <c r="D356" s="1">
        <v>2142</v>
      </c>
      <c r="E356" s="2">
        <v>43210</v>
      </c>
      <c r="F356" s="26">
        <v>0.4680555555555555</v>
      </c>
      <c r="G356" s="17">
        <v>1.4999999999999999E-2</v>
      </c>
      <c r="H356" s="52">
        <v>1</v>
      </c>
      <c r="I356" s="17">
        <f t="shared" si="127"/>
        <v>1.4999999999999999E-2</v>
      </c>
      <c r="J356" s="1">
        <v>2134</v>
      </c>
      <c r="K356" s="2">
        <v>43210</v>
      </c>
      <c r="L356" s="26">
        <v>0.62152777777777779</v>
      </c>
      <c r="M356" s="16">
        <f t="shared" si="128"/>
        <v>-3520</v>
      </c>
      <c r="S356">
        <f>IF(B356="","",VLOOKUP(Cmt(B356),Sheet2!A:B,2,FALSE))</f>
        <v>10</v>
      </c>
      <c r="T356" s="39">
        <f t="shared" si="130"/>
        <v>9520000</v>
      </c>
      <c r="U356" s="13">
        <f t="shared" si="129"/>
        <v>44.444444444444443</v>
      </c>
      <c r="W356" s="11"/>
    </row>
    <row r="357" spans="1:23">
      <c r="B357" s="1" t="s">
        <v>399</v>
      </c>
      <c r="C357" s="1">
        <v>-1</v>
      </c>
      <c r="D357" s="1">
        <v>5883.8</v>
      </c>
      <c r="E357" s="2">
        <v>43210</v>
      </c>
      <c r="F357" s="26">
        <v>0.4680555555555555</v>
      </c>
      <c r="G357" s="17">
        <v>1.4999999999999999E-2</v>
      </c>
      <c r="H357" s="52">
        <v>1</v>
      </c>
      <c r="I357" s="17">
        <f t="shared" si="127"/>
        <v>1.4999999999999999E-2</v>
      </c>
      <c r="M357" s="16" t="str">
        <f t="shared" si="128"/>
        <v/>
      </c>
      <c r="S357">
        <f>IF(B357="","",VLOOKUP(Cmt(B357),Sheet2!A:B,2,FALSE))</f>
        <v>200</v>
      </c>
      <c r="T357" s="39">
        <f t="shared" si="130"/>
        <v>9520000</v>
      </c>
      <c r="U357" s="13">
        <f t="shared" si="129"/>
        <v>0.80900098575750368</v>
      </c>
      <c r="W357" s="11"/>
    </row>
    <row r="358" spans="1:23">
      <c r="B358" s="1" t="s">
        <v>400</v>
      </c>
      <c r="C358" s="1">
        <v>-1</v>
      </c>
      <c r="D358" s="1">
        <v>2653.8</v>
      </c>
      <c r="E358" s="2">
        <v>43210</v>
      </c>
      <c r="F358" s="26">
        <v>0.4680555555555555</v>
      </c>
      <c r="G358" s="17">
        <v>1.4999999999999999E-2</v>
      </c>
      <c r="H358" s="52">
        <v>1</v>
      </c>
      <c r="I358" s="17">
        <f t="shared" si="127"/>
        <v>1.4999999999999999E-2</v>
      </c>
      <c r="M358" s="16" t="str">
        <f t="shared" si="128"/>
        <v/>
      </c>
      <c r="S358">
        <f>IF(B358="","",VLOOKUP(Cmt(B358),Sheet2!A:B,2,FALSE))</f>
        <v>300</v>
      </c>
      <c r="T358" s="39">
        <f t="shared" si="130"/>
        <v>9520000</v>
      </c>
      <c r="U358" s="13">
        <f t="shared" si="129"/>
        <v>1.1957695882633708</v>
      </c>
      <c r="W358" s="11"/>
    </row>
    <row r="359" spans="1:23" ht="14.25" thickBot="1">
      <c r="A359" s="34"/>
      <c r="B359" s="34" t="s">
        <v>401</v>
      </c>
      <c r="C359" s="34">
        <v>-1</v>
      </c>
      <c r="D359" s="34">
        <v>3764</v>
      </c>
      <c r="E359" s="38">
        <v>43210</v>
      </c>
      <c r="F359" s="35">
        <v>0.4680555555555555</v>
      </c>
      <c r="G359" s="36">
        <v>1.4999999999999999E-2</v>
      </c>
      <c r="H359" s="53">
        <v>1</v>
      </c>
      <c r="I359" s="36">
        <f t="shared" si="127"/>
        <v>1.4999999999999999E-2</v>
      </c>
      <c r="J359" s="34"/>
      <c r="K359" s="34"/>
      <c r="L359" s="34"/>
      <c r="M359" s="40" t="str">
        <f t="shared" si="128"/>
        <v/>
      </c>
      <c r="N359" s="34"/>
      <c r="O359" s="34"/>
      <c r="P359" s="37"/>
      <c r="Q359" s="37"/>
      <c r="R359" s="37"/>
      <c r="S359">
        <f>IF(B359="","",VLOOKUP(Cmt(B359),Sheet2!A:B,2,FALSE))</f>
        <v>300</v>
      </c>
      <c r="T359" s="39">
        <f t="shared" si="130"/>
        <v>9520000</v>
      </c>
      <c r="U359" s="13">
        <f t="shared" si="129"/>
        <v>0.84307474318101305</v>
      </c>
      <c r="W359" s="11"/>
    </row>
    <row r="360" spans="1:23">
      <c r="A360" s="2">
        <v>43213</v>
      </c>
      <c r="B360" s="1" t="s">
        <v>402</v>
      </c>
      <c r="C360" s="1">
        <v>5</v>
      </c>
      <c r="D360" s="1">
        <v>51630</v>
      </c>
      <c r="E360" s="2">
        <v>43213</v>
      </c>
      <c r="F360" s="26">
        <v>0.37986111111111115</v>
      </c>
      <c r="G360" s="17">
        <v>1.9E-2</v>
      </c>
      <c r="H360" s="52">
        <v>1</v>
      </c>
      <c r="I360" s="17">
        <f t="shared" si="127"/>
        <v>1.9E-2</v>
      </c>
      <c r="M360" s="16" t="str">
        <f t="shared" si="128"/>
        <v/>
      </c>
      <c r="S360">
        <f>IF(B360="","",VLOOKUP(Cmt(B360),Sheet2!A:B,2,FALSE))</f>
        <v>5</v>
      </c>
      <c r="T360" s="39">
        <f t="shared" si="130"/>
        <v>9520000</v>
      </c>
      <c r="U360" s="13">
        <f t="shared" si="129"/>
        <v>4.6711860029698498</v>
      </c>
      <c r="W360" s="11"/>
    </row>
    <row r="361" spans="1:23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1:23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1:23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1:23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1:23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1:23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1:23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1:23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2018-04-23T08:21:25Z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