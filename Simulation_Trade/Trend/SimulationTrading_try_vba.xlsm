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filterPrivacy="1" codeName="ThisWorkbook"/>
  <xr:revisionPtr revIDLastSave="0" documentId="12_ncr:500000_{DB1C567E-F7D7-4E2A-BF9E-2BF0A7F8AB81}" xr6:coauthVersionLast="31" xr6:coauthVersionMax="31" xr10:uidLastSave="{00000000-0000-0000-0000-000000000000}"/>
  <bookViews>
    <workbookView xWindow="0" yWindow="0" windowWidth="22260" windowHeight="12645" activeTab="1" xr2:uid="{00000000-000D-0000-FFFF-FFFF00000000}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9"/>
  <definedNames>
    <definedName name="nv">权益!#REF!:OFFSET(权益!#REF!,权益!$E$1,0)</definedName>
    <definedName name="tt">权益!#REF!:OFFSET(权益!#REF!,权益!$E$1,0)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1" i="2" l="1"/>
  <c r="C62" i="2"/>
  <c r="C63" i="2"/>
  <c r="C64" i="2"/>
  <c r="C65" i="2"/>
  <c r="C66" i="2"/>
  <c r="C67" i="2"/>
  <c r="C68" i="2"/>
  <c r="C69" i="2"/>
  <c r="C70" i="2"/>
  <c r="C71" i="2"/>
  <c r="C72" i="2"/>
  <c r="C73" i="2"/>
  <c r="C75" i="2"/>
  <c r="C74" i="2"/>
  <c r="I295" i="1" l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12" i="1"/>
  <c r="S313" i="1"/>
  <c r="U313" i="1" s="1"/>
  <c r="S314" i="1"/>
  <c r="T314" i="1" s="1"/>
  <c r="S315" i="1"/>
  <c r="T315" i="1" s="1"/>
  <c r="S316" i="1"/>
  <c r="S317" i="1"/>
  <c r="U317" i="1" s="1"/>
  <c r="S318" i="1"/>
  <c r="T318" i="1" s="1"/>
  <c r="S319" i="1"/>
  <c r="T319" i="1" s="1"/>
  <c r="S320" i="1"/>
  <c r="S321" i="1"/>
  <c r="U321" i="1" s="1"/>
  <c r="S322" i="1"/>
  <c r="T322" i="1" s="1"/>
  <c r="S323" i="1"/>
  <c r="T323" i="1" s="1"/>
  <c r="S324" i="1"/>
  <c r="S325" i="1"/>
  <c r="U325" i="1" s="1"/>
  <c r="S326" i="1"/>
  <c r="T326" i="1" s="1"/>
  <c r="S327" i="1"/>
  <c r="T327" i="1" s="1"/>
  <c r="S328" i="1"/>
  <c r="S329" i="1"/>
  <c r="U329" i="1" s="1"/>
  <c r="S330" i="1"/>
  <c r="T330" i="1" s="1"/>
  <c r="S331" i="1"/>
  <c r="T331" i="1" s="1"/>
  <c r="S332" i="1"/>
  <c r="S333" i="1"/>
  <c r="U333" i="1" s="1"/>
  <c r="S334" i="1"/>
  <c r="T334" i="1" s="1"/>
  <c r="S335" i="1"/>
  <c r="T335" i="1" s="1"/>
  <c r="S336" i="1"/>
  <c r="S337" i="1"/>
  <c r="U337" i="1" s="1"/>
  <c r="S338" i="1"/>
  <c r="T338" i="1" s="1"/>
  <c r="S339" i="1"/>
  <c r="T339" i="1" s="1"/>
  <c r="S340" i="1"/>
  <c r="S341" i="1"/>
  <c r="U341" i="1" s="1"/>
  <c r="S342" i="1"/>
  <c r="T342" i="1" s="1"/>
  <c r="S343" i="1"/>
  <c r="T343" i="1" s="1"/>
  <c r="S344" i="1"/>
  <c r="S345" i="1"/>
  <c r="U345" i="1" s="1"/>
  <c r="S346" i="1"/>
  <c r="T346" i="1" s="1"/>
  <c r="S347" i="1"/>
  <c r="T347" i="1" s="1"/>
  <c r="S348" i="1"/>
  <c r="S349" i="1"/>
  <c r="U349" i="1" s="1"/>
  <c r="S350" i="1"/>
  <c r="T350" i="1" s="1"/>
  <c r="S351" i="1"/>
  <c r="T351" i="1" s="1"/>
  <c r="S352" i="1"/>
  <c r="S353" i="1"/>
  <c r="U353" i="1" s="1"/>
  <c r="S354" i="1"/>
  <c r="T354" i="1" s="1"/>
  <c r="S355" i="1"/>
  <c r="T355" i="1" s="1"/>
  <c r="S356" i="1"/>
  <c r="S357" i="1"/>
  <c r="U357" i="1" s="1"/>
  <c r="S358" i="1"/>
  <c r="T358" i="1" s="1"/>
  <c r="S359" i="1"/>
  <c r="T359" i="1" s="1"/>
  <c r="S360" i="1"/>
  <c r="S361" i="1"/>
  <c r="U361" i="1" s="1"/>
  <c r="S362" i="1"/>
  <c r="T362" i="1" s="1"/>
  <c r="S363" i="1"/>
  <c r="T363" i="1" s="1"/>
  <c r="S364" i="1"/>
  <c r="S365" i="1"/>
  <c r="U365" i="1" s="1"/>
  <c r="S366" i="1"/>
  <c r="T366" i="1" s="1"/>
  <c r="S367" i="1"/>
  <c r="T367" i="1" s="1"/>
  <c r="S368" i="1"/>
  <c r="S369" i="1"/>
  <c r="U369" i="1" s="1"/>
  <c r="S370" i="1"/>
  <c r="T370" i="1" s="1"/>
  <c r="S371" i="1"/>
  <c r="T371" i="1" s="1"/>
  <c r="S25" i="1"/>
  <c r="S28" i="1"/>
  <c r="S29" i="1"/>
  <c r="S30" i="1"/>
  <c r="S31" i="1"/>
  <c r="S32" i="1"/>
  <c r="S34" i="1"/>
  <c r="M301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I215" i="1"/>
  <c r="S305" i="1"/>
  <c r="S307" i="1"/>
  <c r="S311" i="1"/>
  <c r="S310" i="1"/>
  <c r="S309" i="1"/>
  <c r="S308" i="1"/>
  <c r="T311" i="1" l="1"/>
  <c r="T310" i="1"/>
  <c r="T307" i="1"/>
  <c r="T357" i="1"/>
  <c r="T309" i="1"/>
  <c r="T341" i="1"/>
  <c r="T325" i="1"/>
  <c r="U354" i="1"/>
  <c r="U322" i="1"/>
  <c r="U362" i="1"/>
  <c r="U346" i="1"/>
  <c r="U330" i="1"/>
  <c r="U314" i="1"/>
  <c r="T365" i="1"/>
  <c r="T349" i="1"/>
  <c r="T333" i="1"/>
  <c r="T317" i="1"/>
  <c r="T301" i="1"/>
  <c r="U358" i="1"/>
  <c r="U342" i="1"/>
  <c r="U326" i="1"/>
  <c r="T361" i="1"/>
  <c r="T345" i="1"/>
  <c r="T329" i="1"/>
  <c r="T313" i="1"/>
  <c r="U370" i="1"/>
  <c r="U338" i="1"/>
  <c r="U366" i="1"/>
  <c r="U350" i="1"/>
  <c r="U334" i="1"/>
  <c r="U318" i="1"/>
  <c r="T369" i="1"/>
  <c r="T353" i="1"/>
  <c r="T337" i="1"/>
  <c r="T321" i="1"/>
  <c r="U368" i="1"/>
  <c r="T368" i="1"/>
  <c r="U364" i="1"/>
  <c r="T364" i="1"/>
  <c r="U360" i="1"/>
  <c r="T360" i="1"/>
  <c r="U356" i="1"/>
  <c r="T356" i="1"/>
  <c r="U352" i="1"/>
  <c r="T352" i="1"/>
  <c r="U348" i="1"/>
  <c r="T348" i="1"/>
  <c r="U344" i="1"/>
  <c r="T344" i="1"/>
  <c r="U340" i="1"/>
  <c r="T340" i="1"/>
  <c r="U336" i="1"/>
  <c r="T336" i="1"/>
  <c r="U332" i="1"/>
  <c r="T332" i="1"/>
  <c r="U328" i="1"/>
  <c r="T328" i="1"/>
  <c r="U324" i="1"/>
  <c r="T324" i="1"/>
  <c r="U320" i="1"/>
  <c r="T320" i="1"/>
  <c r="U316" i="1"/>
  <c r="T316" i="1"/>
  <c r="U312" i="1"/>
  <c r="T312" i="1"/>
  <c r="U371" i="1"/>
  <c r="U367" i="1"/>
  <c r="U363" i="1"/>
  <c r="U359" i="1"/>
  <c r="U355" i="1"/>
  <c r="U351" i="1"/>
  <c r="U347" i="1"/>
  <c r="U343" i="1"/>
  <c r="U339" i="1"/>
  <c r="U335" i="1"/>
  <c r="U331" i="1"/>
  <c r="U327" i="1"/>
  <c r="U323" i="1"/>
  <c r="U319" i="1"/>
  <c r="U315" i="1"/>
  <c r="U307" i="1"/>
  <c r="I211" i="1"/>
  <c r="I212" i="1"/>
  <c r="I213" i="1"/>
  <c r="I214" i="1"/>
  <c r="I217" i="1"/>
  <c r="I216" i="1"/>
  <c r="I218" i="1"/>
  <c r="I219" i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U308" i="1" s="1"/>
  <c r="I309" i="1"/>
  <c r="I310" i="1"/>
  <c r="U310" i="1" s="1"/>
  <c r="I311" i="1"/>
  <c r="U311" i="1" s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210" i="1"/>
  <c r="S170" i="1"/>
  <c r="S10" i="1"/>
  <c r="S155" i="1"/>
  <c r="S23" i="1"/>
  <c r="S224" i="1"/>
  <c r="S94" i="1"/>
  <c r="S273" i="1"/>
  <c r="S43" i="1"/>
  <c r="S174" i="1"/>
  <c r="S15" i="1"/>
  <c r="S60" i="1"/>
  <c r="S263" i="1"/>
  <c r="S197" i="1"/>
  <c r="S294" i="1"/>
  <c r="S86" i="1"/>
  <c r="S2" i="1"/>
  <c r="S95" i="1"/>
  <c r="S220" i="1"/>
  <c r="S234" i="1"/>
  <c r="S191" i="1"/>
  <c r="S270" i="1"/>
  <c r="S280" i="1"/>
  <c r="S157" i="1"/>
  <c r="S215" i="1"/>
  <c r="S65" i="1"/>
  <c r="S132" i="1"/>
  <c r="S257" i="1"/>
  <c r="S121" i="1"/>
  <c r="S303" i="1"/>
  <c r="S41" i="1"/>
  <c r="S93" i="1"/>
  <c r="S198" i="1"/>
  <c r="S88" i="1"/>
  <c r="S276" i="1"/>
  <c r="S125" i="1"/>
  <c r="S247" i="1"/>
  <c r="S166" i="1"/>
  <c r="S295" i="1"/>
  <c r="S267" i="1"/>
  <c r="S221" i="1"/>
  <c r="S283" i="1"/>
  <c r="S154" i="1"/>
  <c r="S136" i="1"/>
  <c r="S196" i="1"/>
  <c r="S208" i="1"/>
  <c r="S180" i="1"/>
  <c r="S285" i="1"/>
  <c r="S207" i="1"/>
  <c r="S91" i="1"/>
  <c r="S159" i="1"/>
  <c r="S138" i="1"/>
  <c r="S107" i="1"/>
  <c r="S11" i="1"/>
  <c r="S237" i="1"/>
  <c r="S9" i="1"/>
  <c r="S118" i="1"/>
  <c r="S245" i="1"/>
  <c r="S216" i="1"/>
  <c r="S98" i="1"/>
  <c r="S104" i="1"/>
  <c r="S217" i="1"/>
  <c r="S153" i="1"/>
  <c r="S167" i="1"/>
  <c r="S129" i="1"/>
  <c r="S265" i="1"/>
  <c r="S96" i="1"/>
  <c r="S19" i="1"/>
  <c r="S189" i="1"/>
  <c r="S131" i="1"/>
  <c r="S302" i="1"/>
  <c r="S108" i="1"/>
  <c r="S211" i="1"/>
  <c r="S286" i="1"/>
  <c r="S122" i="1"/>
  <c r="S75" i="1"/>
  <c r="S134" i="1"/>
  <c r="S61" i="1"/>
  <c r="S222" i="1"/>
  <c r="S266" i="1"/>
  <c r="S274" i="1"/>
  <c r="S178" i="1"/>
  <c r="S275" i="1"/>
  <c r="S259" i="1"/>
  <c r="S8" i="1"/>
  <c r="S89" i="1"/>
  <c r="S262" i="1"/>
  <c r="S73" i="1"/>
  <c r="S128" i="1"/>
  <c r="S92" i="1"/>
  <c r="S227" i="1"/>
  <c r="S140" i="1"/>
  <c r="S71" i="1"/>
  <c r="S70" i="1"/>
  <c r="S296" i="1"/>
  <c r="S114" i="1"/>
  <c r="S103" i="1"/>
  <c r="S282" i="1"/>
  <c r="S187" i="1"/>
  <c r="S177" i="1"/>
  <c r="S192" i="1"/>
  <c r="S45" i="1"/>
  <c r="S160" i="1"/>
  <c r="S246" i="1"/>
  <c r="S251" i="1"/>
  <c r="S39" i="1"/>
  <c r="S151" i="1"/>
  <c r="S37" i="1"/>
  <c r="S261" i="1"/>
  <c r="S59" i="1"/>
  <c r="S112" i="1"/>
  <c r="S209" i="1"/>
  <c r="S200" i="1"/>
  <c r="S272" i="1"/>
  <c r="S123" i="1"/>
  <c r="S21" i="1"/>
  <c r="S48" i="1"/>
  <c r="S156" i="1"/>
  <c r="S214" i="1"/>
  <c r="S51" i="1"/>
  <c r="S193" i="1"/>
  <c r="S90" i="1"/>
  <c r="S116" i="1"/>
  <c r="S72" i="1"/>
  <c r="S199" i="1"/>
  <c r="S42" i="1"/>
  <c r="S62" i="1"/>
  <c r="S145" i="1"/>
  <c r="S4" i="1"/>
  <c r="S109" i="1"/>
  <c r="S113" i="1"/>
  <c r="S6" i="1"/>
  <c r="S126" i="1"/>
  <c r="S291" i="1"/>
  <c r="S289" i="1"/>
  <c r="S13" i="1"/>
  <c r="S105" i="1"/>
  <c r="S144" i="1"/>
  <c r="S137" i="1"/>
  <c r="S300" i="1"/>
  <c r="S102" i="1"/>
  <c r="S181" i="1"/>
  <c r="S268" i="1"/>
  <c r="S44" i="1"/>
  <c r="S298" i="1"/>
  <c r="S16" i="1"/>
  <c r="S290" i="1"/>
  <c r="S14" i="1"/>
  <c r="S53" i="1"/>
  <c r="S80" i="1"/>
  <c r="S26" i="1"/>
  <c r="S253" i="1"/>
  <c r="S38" i="1"/>
  <c r="S46" i="1"/>
  <c r="S57" i="1"/>
  <c r="S232" i="1"/>
  <c r="S210" i="1"/>
  <c r="S179" i="1"/>
  <c r="S219" i="1"/>
  <c r="S76" i="1"/>
  <c r="S190" i="1"/>
  <c r="S213" i="1"/>
  <c r="S139" i="1"/>
  <c r="S279" i="1"/>
  <c r="S150" i="1"/>
  <c r="S5" i="1"/>
  <c r="S49" i="1"/>
  <c r="S149" i="1"/>
  <c r="S231" i="1"/>
  <c r="S83" i="1"/>
  <c r="S230" i="1"/>
  <c r="S254" i="1"/>
  <c r="S69" i="1"/>
  <c r="S110" i="1"/>
  <c r="S147" i="1"/>
  <c r="S299" i="1"/>
  <c r="S68" i="1"/>
  <c r="S171" i="1"/>
  <c r="S133" i="1"/>
  <c r="S243" i="1"/>
  <c r="S50" i="1"/>
  <c r="S258" i="1"/>
  <c r="S184" i="1"/>
  <c r="S146" i="1"/>
  <c r="S169" i="1"/>
  <c r="S101" i="1"/>
  <c r="S22" i="1"/>
  <c r="S249" i="1"/>
  <c r="S183" i="1"/>
  <c r="S297" i="1"/>
  <c r="S85" i="1"/>
  <c r="S205" i="1"/>
  <c r="S99" i="1"/>
  <c r="S241" i="1"/>
  <c r="S111" i="1"/>
  <c r="S172" i="1"/>
  <c r="S161" i="1"/>
  <c r="S63" i="1"/>
  <c r="S74" i="1"/>
  <c r="S250" i="1"/>
  <c r="S3" i="1"/>
  <c r="S292" i="1"/>
  <c r="S229" i="1"/>
  <c r="S127" i="1"/>
  <c r="S52" i="1"/>
  <c r="S204" i="1"/>
  <c r="S240" i="1"/>
  <c r="S239" i="1"/>
  <c r="S212" i="1"/>
  <c r="S20" i="1"/>
  <c r="S120" i="1"/>
  <c r="S36" i="1"/>
  <c r="S78" i="1"/>
  <c r="S206" i="1"/>
  <c r="S152" i="1"/>
  <c r="S143" i="1"/>
  <c r="S201" i="1"/>
  <c r="S202" i="1"/>
  <c r="S66" i="1"/>
  <c r="S304" i="1"/>
  <c r="S130" i="1"/>
  <c r="S188" i="1"/>
  <c r="S233" i="1"/>
  <c r="S124" i="1"/>
  <c r="S264" i="1"/>
  <c r="S33" i="1"/>
  <c r="S255" i="1"/>
  <c r="S24" i="1"/>
  <c r="S82" i="1"/>
  <c r="S173" i="1"/>
  <c r="S163" i="1"/>
  <c r="S269" i="1"/>
  <c r="S175" i="1"/>
  <c r="S225" i="1"/>
  <c r="S244" i="1"/>
  <c r="S17" i="1"/>
  <c r="S186" i="1"/>
  <c r="S293" i="1"/>
  <c r="S135" i="1"/>
  <c r="S100" i="1"/>
  <c r="S235" i="1"/>
  <c r="S260" i="1"/>
  <c r="S288" i="1"/>
  <c r="S18" i="1"/>
  <c r="S141" i="1"/>
  <c r="S55" i="1"/>
  <c r="S182" i="1"/>
  <c r="S284" i="1"/>
  <c r="S97" i="1"/>
  <c r="S106" i="1"/>
  <c r="S84" i="1"/>
  <c r="S203" i="1"/>
  <c r="S40" i="1"/>
  <c r="S54" i="1"/>
  <c r="S223" i="1"/>
  <c r="S278" i="1"/>
  <c r="S148" i="1"/>
  <c r="S165" i="1"/>
  <c r="S176" i="1"/>
  <c r="S228" i="1"/>
  <c r="S77" i="1"/>
  <c r="S162" i="1"/>
  <c r="S256" i="1"/>
  <c r="S195" i="1"/>
  <c r="S277" i="1"/>
  <c r="S58" i="1"/>
  <c r="S226" i="1"/>
  <c r="S47" i="1"/>
  <c r="S56" i="1"/>
  <c r="S117" i="1"/>
  <c r="S67" i="1"/>
  <c r="S236" i="1"/>
  <c r="S185" i="1"/>
  <c r="S35" i="1"/>
  <c r="S79" i="1"/>
  <c r="S306" i="1"/>
  <c r="S271" i="1"/>
  <c r="S27" i="1"/>
  <c r="S158" i="1"/>
  <c r="S81" i="1"/>
  <c r="S242" i="1"/>
  <c r="S168" i="1"/>
  <c r="S248" i="1"/>
  <c r="S238" i="1"/>
  <c r="S12" i="1"/>
  <c r="S252" i="1"/>
  <c r="S119" i="1"/>
  <c r="S287" i="1"/>
  <c r="S87" i="1"/>
  <c r="S142" i="1"/>
  <c r="S7" i="1"/>
  <c r="S218" i="1"/>
  <c r="S115" i="1"/>
  <c r="S64" i="1"/>
  <c r="S194" i="1"/>
  <c r="U309" i="1" l="1"/>
  <c r="M216" i="1"/>
  <c r="M262" i="1"/>
  <c r="M226" i="1"/>
  <c r="M259" i="1"/>
  <c r="M285" i="1"/>
  <c r="T285" i="1"/>
  <c r="T286" i="1" s="1"/>
  <c r="T287" i="1" s="1"/>
  <c r="T288" i="1" s="1"/>
  <c r="U288" i="1" s="1"/>
  <c r="M238" i="1"/>
  <c r="M300" i="1"/>
  <c r="M246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U273" i="1" s="1"/>
  <c r="M235" i="1"/>
  <c r="M286" i="1"/>
  <c r="M222" i="1"/>
  <c r="M229" i="1"/>
  <c r="M263" i="1"/>
  <c r="M293" i="1"/>
  <c r="M256" i="1"/>
  <c r="M269" i="1"/>
  <c r="M237" i="1"/>
  <c r="M272" i="1"/>
  <c r="M247" i="1"/>
  <c r="M206" i="1"/>
  <c r="M255" i="1"/>
  <c r="M298" i="1"/>
  <c r="M275" i="1"/>
  <c r="T275" i="1"/>
  <c r="T276" i="1" s="1"/>
  <c r="T277" i="1" s="1"/>
  <c r="T278" i="1" s="1"/>
  <c r="T279" i="1" s="1"/>
  <c r="T280" i="1" s="1"/>
  <c r="U280" i="1" s="1"/>
  <c r="M234" i="1"/>
  <c r="M233" i="1"/>
  <c r="M253" i="1"/>
  <c r="M230" i="1"/>
  <c r="M264" i="1"/>
  <c r="M257" i="1"/>
  <c r="M227" i="1"/>
  <c r="M283" i="1"/>
  <c r="M203" i="1"/>
  <c r="M232" i="1"/>
  <c r="M265" i="1"/>
  <c r="M266" i="1"/>
  <c r="M268" i="1"/>
  <c r="M224" i="1"/>
  <c r="M258" i="1"/>
  <c r="M277" i="1"/>
  <c r="M251" i="1"/>
  <c r="M210" i="1"/>
  <c r="M250" i="1"/>
  <c r="M278" i="1"/>
  <c r="M294" i="1"/>
  <c r="M241" i="1"/>
  <c r="M287" i="1"/>
  <c r="M299" i="1"/>
  <c r="M236" i="1"/>
  <c r="M214" i="1"/>
  <c r="M218" i="1"/>
  <c r="M252" i="1"/>
  <c r="M221" i="1"/>
  <c r="M279" i="1"/>
  <c r="M295" i="1"/>
  <c r="M207" i="1"/>
  <c r="M215" i="1"/>
  <c r="U215" i="1"/>
  <c r="M292" i="1"/>
  <c r="M267" i="1"/>
  <c r="M260" i="1"/>
  <c r="M276" i="1"/>
  <c r="M228" i="1"/>
  <c r="M219" i="1"/>
  <c r="M290" i="1"/>
  <c r="M231" i="1"/>
  <c r="M291" i="1"/>
  <c r="M217" i="1"/>
  <c r="M240" i="1"/>
  <c r="M204" i="1"/>
  <c r="T303" i="1"/>
  <c r="T304" i="1" s="1"/>
  <c r="T305" i="1" s="1"/>
  <c r="U305" i="1" s="1"/>
  <c r="M303" i="1"/>
  <c r="M223" i="1"/>
  <c r="M288" i="1"/>
  <c r="M249" i="1"/>
  <c r="M271" i="1"/>
  <c r="M274" i="1"/>
  <c r="M244" i="1"/>
  <c r="M239" i="1"/>
  <c r="M220" i="1"/>
  <c r="T220" i="1"/>
  <c r="T221" i="1" s="1"/>
  <c r="T222" i="1" s="1"/>
  <c r="T223" i="1" s="1"/>
  <c r="M243" i="1"/>
  <c r="M302" i="1"/>
  <c r="M209" i="1"/>
  <c r="M208" i="1"/>
  <c r="M261" i="1"/>
  <c r="M248" i="1"/>
  <c r="M289" i="1"/>
  <c r="M245" i="1"/>
  <c r="M296" i="1"/>
  <c r="M280" i="1"/>
  <c r="M273" i="1"/>
  <c r="M282" i="1"/>
  <c r="M254" i="1"/>
  <c r="M284" i="1"/>
  <c r="M297" i="1"/>
  <c r="M225" i="1"/>
  <c r="M242" i="1"/>
  <c r="M270" i="1"/>
  <c r="U274" i="1"/>
  <c r="U306" i="1"/>
  <c r="U216" i="1"/>
  <c r="U245" i="1"/>
  <c r="U219" i="1"/>
  <c r="U302" i="1"/>
  <c r="U286" i="1"/>
  <c r="U285" i="1"/>
  <c r="U284" i="1"/>
  <c r="U260" i="1"/>
  <c r="U261" i="1"/>
  <c r="U262" i="1"/>
  <c r="U253" i="1"/>
  <c r="U247" i="1"/>
  <c r="U248" i="1"/>
  <c r="U218" i="1"/>
  <c r="U217" i="1"/>
  <c r="U214" i="1"/>
  <c r="U213" i="1"/>
  <c r="U212" i="1"/>
  <c r="U210" i="1"/>
  <c r="U211" i="1"/>
  <c r="U279" i="1" l="1"/>
  <c r="U269" i="1"/>
  <c r="U276" i="1"/>
  <c r="U255" i="1"/>
  <c r="U271" i="1"/>
  <c r="T282" i="1"/>
  <c r="T283" i="1" s="1"/>
  <c r="U283" i="1" s="1"/>
  <c r="U251" i="1"/>
  <c r="U259" i="1"/>
  <c r="U266" i="1"/>
  <c r="U275" i="1"/>
  <c r="T289" i="1"/>
  <c r="T290" i="1" s="1"/>
  <c r="T291" i="1" s="1"/>
  <c r="T292" i="1" s="1"/>
  <c r="T293" i="1" s="1"/>
  <c r="T294" i="1" s="1"/>
  <c r="U294" i="1" s="1"/>
  <c r="U265" i="1"/>
  <c r="U303" i="1"/>
  <c r="U304" i="1"/>
  <c r="U222" i="1"/>
  <c r="U249" i="1"/>
  <c r="U252" i="1"/>
  <c r="U264" i="1"/>
  <c r="U250" i="1"/>
  <c r="U246" i="1"/>
  <c r="U254" i="1"/>
  <c r="U257" i="1"/>
  <c r="U258" i="1"/>
  <c r="U268" i="1"/>
  <c r="U272" i="1"/>
  <c r="U278" i="1"/>
  <c r="T281" i="1"/>
  <c r="U281" i="1" s="1"/>
  <c r="U221" i="1"/>
  <c r="U220" i="1"/>
  <c r="U256" i="1"/>
  <c r="U263" i="1"/>
  <c r="U267" i="1"/>
  <c r="U270" i="1"/>
  <c r="U277" i="1"/>
  <c r="U287" i="1"/>
  <c r="U223" i="1"/>
  <c r="T224" i="1"/>
  <c r="I209" i="1"/>
  <c r="U209" i="1" s="1"/>
  <c r="I208" i="1"/>
  <c r="U208" i="1" s="1"/>
  <c r="I206" i="1"/>
  <c r="I207" i="1"/>
  <c r="U207" i="1" s="1"/>
  <c r="U292" i="1" l="1"/>
  <c r="T295" i="1"/>
  <c r="T296" i="1" s="1"/>
  <c r="U289" i="1"/>
  <c r="U291" i="1"/>
  <c r="U293" i="1"/>
  <c r="U290" i="1"/>
  <c r="U282" i="1"/>
  <c r="T225" i="1"/>
  <c r="U224" i="1"/>
  <c r="H205" i="1"/>
  <c r="I205" i="1" s="1"/>
  <c r="I204" i="1"/>
  <c r="U295" i="1" l="1"/>
  <c r="T297" i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98" i="1" l="1"/>
  <c r="U297" i="1"/>
  <c r="T227" i="1"/>
  <c r="U226" i="1"/>
  <c r="M202" i="1"/>
  <c r="U203" i="1"/>
  <c r="U201" i="1"/>
  <c r="U200" i="1"/>
  <c r="U202" i="1"/>
  <c r="T299" i="1" l="1"/>
  <c r="U298" i="1"/>
  <c r="T228" i="1"/>
  <c r="U227" i="1"/>
  <c r="I199" i="1"/>
  <c r="T300" i="1" l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<sst xmlns="http://schemas.openxmlformats.org/spreadsheetml/2006/main" count="468" uniqueCount="359">
  <si>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</si>
  <si>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</si>
  <si>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</si>
  <si>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</si>
  <si>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</si>
  <si>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</si>
  <si>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</si>
  <si>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</si>
  <si>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</si>
  <si>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</si>
  <si>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</si>
  <si>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</si>
  <si>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</si>
  <si>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</si>
  <si>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</si>
  <si>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</si>
  <si>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</si>
  <si>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</si>
  <si>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</si>
  <si>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</si>
  <si>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</si>
  <si>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</si>
  <si>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</si>
  <si>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</si>
  <si>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</si>
  <si>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</si>
  <si>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</si>
  <si>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</si>
  <si>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</si>
  <si>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</si>
  <si>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</si>
  <si>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</si>
  <si>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</si>
  <si>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</si>
  <si>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</si>
  <si>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</si>
  <si>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</si>
  <si>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</si>
  <si>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</si>
  <si>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</si>
  <si>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</si>
  <si>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</si>
  <si>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</si>
  <si>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</si>
  <si>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</si>
  <si>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</si>
  <si>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</si>
  <si>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</si>
  <si>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</si>
  <si>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</si>
  <si>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</si>
  <si>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</si>
  <si>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</si>
  <si>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</si>
  <si>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</si>
  <si>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</si>
  <si>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</si>
  <si>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</si>
  <si>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</si>
  <si>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</si>
  <si>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</si>
  <si>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</si>
  <si>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</si>
  <si>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</si>
  <si>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</si>
  <si>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</si>
  <si>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</si>
  <si>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</si>
  <si>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</si>
  <si>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</si>
  <si>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</si>
  <si>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</si>
  <si>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</si>
  <si>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</si>
  <si>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</si>
  <si>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</si>
  <si>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</si>
  <si>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</si>
  <si>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</si>
  <si>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</si>
  <si>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</si>
  <si>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</si>
  <si>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</si>
  <si>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</si>
  <si>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</si>
  <si>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</si>
  <si>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</si>
  <si>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</si>
  <si>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</si>
  <si>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</si>
  <si>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</si>
  <si>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</si>
  <si>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</si>
  <si>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</si>
  <si>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</si>
  <si>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</si>
  <si>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</si>
  <si>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</si>
  <si>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</si>
  <si>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</si>
  <si>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</si>
  <si>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</si>
  <si>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</si>
  <si>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</si>
  <si>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</si>
  <si>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</si>
  <si>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</si>
  <si>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</si>
  <si>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</si>
  <si>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</si>
  <si>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</si>
  <si>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</si>
  <si>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</si>
  <si>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</si>
  <si>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</si>
  <si>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</si>
  <si>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</si>
  <si>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</si>
  <si>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</si>
  <si>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</si>
  <si>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</si>
  <si>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</si>
  <si>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</si>
  <si>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</si>
  <si>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</si>
  <si>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</si>
  <si>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</si>
  <si>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</si>
  <si>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</si>
  <si>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</si>
  <si>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</si>
  <si>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</si>
  <si>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</si>
  <si>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</si>
  <si>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</si>
  <si>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</si>
  <si>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</si>
  <si>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</si>
  <si>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</si>
  <si>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</si>
  <si>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</si>
  <si>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</si>
  <si>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</si>
  <si>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</si>
  <si>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</si>
  <si>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</si>
  <si>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</si>
  <si>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</si>
  <si>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</si>
  <si>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</si>
  <si>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</si>
  <si>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</si>
  <si>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</si>
  <si>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</si>
  <si>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</si>
  <si>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</si>
  <si>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</si>
  <si>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</si>
  <si>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</si>
  <si>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</si>
  <si>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</si>
  <si>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</si>
  <si>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</si>
  <si>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</si>
  <si>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</si>
  <si>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</si>
  <si>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</si>
  <si>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</si>
  <si>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</si>
  <si>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</si>
  <si>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</si>
  <si>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</si>
  <si>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</si>
  <si>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</si>
  <si>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</si>
  <si>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</si>
  <si>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</si>
  <si>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</si>
  <si>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</si>
  <si>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</si>
  <si>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</si>
  <si>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</si>
  <si>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</si>
  <si>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</si>
  <si>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</si>
  <si>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</si>
  <si>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</si>
  <si>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</si>
  <si>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</si>
  <si>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</si>
  <si>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</si>
  <si>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</si>
  <si>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</si>
  <si>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</si>
  <si>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</si>
  <si>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</si>
  <si>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</si>
  <si>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</si>
  <si>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</si>
  <si>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</si>
  <si>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</si>
  <si>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</si>
  <si>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</si>
  <si>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</si>
  <si>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</si>
  <si>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</si>
  <si>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</si>
  <si>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</si>
  <si>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</si>
  <si>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</si>
  <si>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</si>
  <si>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</si>
  <si>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</si>
  <si>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</si>
  <si>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</si>
  <si>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</si>
  <si>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</si>
  <si>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</si>
  <si>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</si>
  <si>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</si>
  <si>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</si>
  <si>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</si>
  <si>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</si>
  <si>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</si>
  <si>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</si>
  <si>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</si>
  <si>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</si>
  <si>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</si>
  <si>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</si>
  <si>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</si>
  <si>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</si>
  <si>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</si>
  <si>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</si>
  <si>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</si>
  <si>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</si>
  <si>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</si>
  <si>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</si>
  <si>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</si>
  <si>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</si>
  <si>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</si>
  <si>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</si>
  <si>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</si>
  <si>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</si>
  <si>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</si>
  <si>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</si>
  <si>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</si>
  <si>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</si>
  <si>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</si>
  <si>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</si>
  <si>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</si>
  <si>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</si>
  <si>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</si>
  <si>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</si>
  <si>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</si>
  <si>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</si>
  <si>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</si>
  <si>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</si>
  <si>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</si>
  <si>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</si>
  <si>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</si>
  <si>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</si>
  <si>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</si>
  <si>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</si>
  <si>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</si>
  <si>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</si>
  <si>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</si>
  <si>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</si>
  <si>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</si>
  <si>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</si>
  <si>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</si>
  <si>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</si>
  <si>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</si>
  <si>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</si>
  <si>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</si>
  <si>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</si>
  <si>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</si>
  <si>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</si>
  <si>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</si>
  <si>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</si>
  <si>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</si>
  <si>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</si>
  <si>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</si>
  <si>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</si>
  <si>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</si>
  <si>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</si>
  <si>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</si>
  <si>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</si>
  <si>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</si>
  <si>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</si>
  <si>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</si>
  <si>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</si>
  <si>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</si>
  <si>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</si>
  <si>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</si>
  <si>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</si>
  <si>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</si>
  <si>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</si>
  <si>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</si>
  <si>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</si>
  <si>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</si>
  <si>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</si>
  <si>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</si>
  <si>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</si>
  <si>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</si>
  <si>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</si>
  <si>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</si>
  <si>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</si>
  <si>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</si>
  <si>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</si>
  <si>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</si>
  <si>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</si>
  <si>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</si>
  <si>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</si>
  <si>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</si>
  <si>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</si>
  <si>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</si>
  <si>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</si>
  <si>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</si>
  <si>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</si>
  <si>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</si>
  <si>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</si>
  <si>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</si>
  <si>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</si>
  <si>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</si>
  <si>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</si>
  <si>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</si>
  <si>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</si>
  <si>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</si>
  <si>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</si>
  <si>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</si>
  <si>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</si>
  <si>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</si>
  <si>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</si>
  <si>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</si>
  <si>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</si>
  <si>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</si>
  <si>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</si>
  <si>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</si>
  <si>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</si>
  <si>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</si>
  <si>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</si>
  <si>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</si>
  <si>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</si>
  <si>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</si>
  <si>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</si>
  <si>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</si>
  <si>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</si>
  <si>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</si>
  <si>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</si>
  <si>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</si>
  <si>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</si>
  <si>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</si>
  <si>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IF1803</t>
    <phoneticPr fontId="1" type="noConversion"/>
  </si>
  <si>
    <t>MA805</t>
    <phoneticPr fontId="1" type="noConversion"/>
  </si>
  <si>
    <t>MA805</t>
    <phoneticPr fontId="1" type="noConversion"/>
  </si>
  <si>
    <t>IC1804</t>
    <phoneticPr fontId="1" type="noConversion"/>
  </si>
  <si>
    <t>ZC805</t>
    <phoneticPr fontId="1" type="noConversion"/>
  </si>
  <si>
    <t>NI1807</t>
    <phoneticPr fontId="1" type="noConversion"/>
  </si>
  <si>
    <t>CU1805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</si>
</sst>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683296"/>
        <c:axId val="505683856"/>
      </c:lineChart>
      <c:dateAx>
        <c:axId val="505683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5683856"/>
        <c:crosses val="autoZero"/>
        <c:auto val="1"/>
        <c:lblOffset val="100"/>
        <c:baseTimeUnit val="days"/>
      </c:dateAx>
      <c:valAx>
        <c:axId val="50568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568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权益!$A$19:$A$74</c:f>
              <c:numCache>
                <c:formatCode>m/d/yyyy</c:formatCode>
                <c:ptCount val="56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  <c:pt idx="36">
                  <c:v>43174</c:v>
                </c:pt>
                <c:pt idx="37">
                  <c:v>43175</c:v>
                </c:pt>
                <c:pt idx="38">
                  <c:v>43178</c:v>
                </c:pt>
                <c:pt idx="39">
                  <c:v>43179</c:v>
                </c:pt>
                <c:pt idx="40">
                  <c:v>43181</c:v>
                </c:pt>
                <c:pt idx="41">
                  <c:v>43182</c:v>
                </c:pt>
                <c:pt idx="42">
                  <c:v>43185</c:v>
                </c:pt>
                <c:pt idx="43">
                  <c:v>43186</c:v>
                </c:pt>
                <c:pt idx="44">
                  <c:v>43187</c:v>
                </c:pt>
                <c:pt idx="45">
                  <c:v>43188</c:v>
                </c:pt>
                <c:pt idx="46">
                  <c:v>43189</c:v>
                </c:pt>
                <c:pt idx="47">
                  <c:v>43192</c:v>
                </c:pt>
                <c:pt idx="48">
                  <c:v>43193</c:v>
                </c:pt>
                <c:pt idx="49">
                  <c:v>43194</c:v>
                </c:pt>
                <c:pt idx="50">
                  <c:v>43195</c:v>
                </c:pt>
                <c:pt idx="51">
                  <c:v>43196</c:v>
                </c:pt>
                <c:pt idx="52">
                  <c:v>43197</c:v>
                </c:pt>
                <c:pt idx="53">
                  <c:v>43198</c:v>
                </c:pt>
                <c:pt idx="54">
                  <c:v>43199</c:v>
                </c:pt>
                <c:pt idx="55">
                  <c:v>43200</c:v>
                </c:pt>
              </c:numCache>
            </c:numRef>
          </c:cat>
          <c:val>
            <c:numRef>
              <c:f>权益!$C$19:$C$74</c:f>
              <c:numCache>
                <c:formatCode>0.0000</c:formatCode>
                <c:ptCount val="56"/>
                <c:pt idx="0">
                  <c:v>0.96859209999999996</c:v>
                </c:pt>
                <c:pt idx="1">
                  <c:v>0.97040610000000005</c:v>
                </c:pt>
                <c:pt idx="2">
                  <c:v>0.97298989999999996</c:v>
                </c:pt>
                <c:pt idx="3">
                  <c:v>0.97157280000000001</c:v>
                </c:pt>
                <c:pt idx="4">
                  <c:v>0.97568270000000001</c:v>
                </c:pt>
                <c:pt idx="5">
                  <c:v>0.97392330000000005</c:v>
                </c:pt>
                <c:pt idx="6">
                  <c:v>0.97964110000000004</c:v>
                </c:pt>
                <c:pt idx="7">
                  <c:v>0.97484548400000004</c:v>
                </c:pt>
                <c:pt idx="8">
                  <c:v>0.97710112799999993</c:v>
                </c:pt>
                <c:pt idx="9">
                  <c:v>0.97533999199999999</c:v>
                </c:pt>
                <c:pt idx="10">
                  <c:v>0.97128279100000003</c:v>
                </c:pt>
                <c:pt idx="11">
                  <c:v>0.97321309099999997</c:v>
                </c:pt>
                <c:pt idx="12">
                  <c:v>0.97120030000000002</c:v>
                </c:pt>
                <c:pt idx="13">
                  <c:v>0.96940765299999998</c:v>
                </c:pt>
                <c:pt idx="14">
                  <c:v>0.97086309000000004</c:v>
                </c:pt>
                <c:pt idx="15">
                  <c:v>0.9702242390000001</c:v>
                </c:pt>
                <c:pt idx="16">
                  <c:v>0.97060205299999991</c:v>
                </c:pt>
                <c:pt idx="17">
                  <c:v>0.97952649999999997</c:v>
                </c:pt>
                <c:pt idx="18">
                  <c:v>0.96992429999999996</c:v>
                </c:pt>
                <c:pt idx="19">
                  <c:v>0.96781741799999998</c:v>
                </c:pt>
                <c:pt idx="20">
                  <c:v>0.96894181800000001</c:v>
                </c:pt>
                <c:pt idx="21">
                  <c:v>0.96276589999999995</c:v>
                </c:pt>
                <c:pt idx="22">
                  <c:v>0.96193956300000005</c:v>
                </c:pt>
                <c:pt idx="23">
                  <c:v>0.96342102500000004</c:v>
                </c:pt>
                <c:pt idx="24">
                  <c:v>0.96463829999999995</c:v>
                </c:pt>
                <c:pt idx="25">
                  <c:v>0.96455610000000003</c:v>
                </c:pt>
                <c:pt idx="26">
                  <c:v>0.96447989999999995</c:v>
                </c:pt>
                <c:pt idx="27">
                  <c:v>0.96317379999999997</c:v>
                </c:pt>
                <c:pt idx="28">
                  <c:v>0.9596808</c:v>
                </c:pt>
                <c:pt idx="29">
                  <c:v>0.9571733</c:v>
                </c:pt>
                <c:pt idx="30">
                  <c:v>0.95421270000000002</c:v>
                </c:pt>
                <c:pt idx="31">
                  <c:v>0.96255460000000004</c:v>
                </c:pt>
                <c:pt idx="32">
                  <c:v>0.98076339999999995</c:v>
                </c:pt>
                <c:pt idx="33">
                  <c:v>0.96398490000000003</c:v>
                </c:pt>
                <c:pt idx="34">
                  <c:v>0.96287529999999999</c:v>
                </c:pt>
                <c:pt idx="35">
                  <c:v>0.96229379999999998</c:v>
                </c:pt>
                <c:pt idx="36">
                  <c:v>0.96135789999999999</c:v>
                </c:pt>
                <c:pt idx="37">
                  <c:v>0.96135789999999999</c:v>
                </c:pt>
                <c:pt idx="38">
                  <c:v>0.96145150000000001</c:v>
                </c:pt>
                <c:pt idx="39">
                  <c:v>0.96111310000000005</c:v>
                </c:pt>
                <c:pt idx="40">
                  <c:v>0.96040110000000001</c:v>
                </c:pt>
                <c:pt idx="41">
                  <c:v>0.95824980000000004</c:v>
                </c:pt>
                <c:pt idx="42">
                  <c:v>0.95824980000000004</c:v>
                </c:pt>
                <c:pt idx="43">
                  <c:v>0.95824980000000004</c:v>
                </c:pt>
                <c:pt idx="44">
                  <c:v>0.95824980000000004</c:v>
                </c:pt>
                <c:pt idx="45">
                  <c:v>0.95824980000000004</c:v>
                </c:pt>
                <c:pt idx="46">
                  <c:v>0.95824980000000004</c:v>
                </c:pt>
                <c:pt idx="47">
                  <c:v>0.95824980000000004</c:v>
                </c:pt>
                <c:pt idx="48">
                  <c:v>0.95824980000000004</c:v>
                </c:pt>
                <c:pt idx="49">
                  <c:v>0.95824980000000004</c:v>
                </c:pt>
                <c:pt idx="50">
                  <c:v>0.95824980000000004</c:v>
                </c:pt>
                <c:pt idx="51">
                  <c:v>0.95824980000000004</c:v>
                </c:pt>
                <c:pt idx="52">
                  <c:v>0.95824980000000004</c:v>
                </c:pt>
                <c:pt idx="53">
                  <c:v>0.95824980000000004</c:v>
                </c:pt>
                <c:pt idx="54">
                  <c:v>0.95824980000000004</c:v>
                </c:pt>
                <c:pt idx="55">
                  <c:v>0.95798439999999996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686656"/>
        <c:axId val="613373792"/>
      </c:lineChart>
      <c:dateAx>
        <c:axId val="5056866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13373792"/>
        <c:crosses val="autoZero"/>
        <c:auto val="1"/>
        <c:lblOffset val="100"/>
        <c:baseTimeUnit val="days"/>
      </c:dateAx>
      <c:valAx>
        <c:axId val="61337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568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2"/>
  <sheetViews>
    <sheetView workbookViewId="0">
      <pane ySplit="1" topLeftCell="A23" activePane="bottomLeft" state="frozen"/>
      <selection pane="bottomLeft" activeCell="K68" sqref="K68"/>
    </sheetView>
  </sheetViews>
  <sheetFormatPr defaultRowHeight="14.25" x14ac:dyDescent="0.2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 x14ac:dyDescent="0.2">
      <c r="A1" s="1" t="s">
        <v>7</v>
      </c>
      <c r="B1" s="24" t="s">
        <v>8</v>
      </c>
      <c r="C1" s="1" t="s">
        <v>9</v>
      </c>
      <c r="E1" s="7">
        <f>COUNTA(C2:C9977)</f>
        <v>62</v>
      </c>
      <c r="I1" s="8"/>
    </row>
    <row r="2" spans="1:9" x14ac:dyDescent="0.2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0.26666666666666666</v>
      </c>
    </row>
    <row r="3" spans="1:9" x14ac:dyDescent="0.2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0.88478407401797066</v>
      </c>
    </row>
    <row r="4" spans="1:9" x14ac:dyDescent="0.2">
      <c r="A4" s="2">
        <v>43096</v>
      </c>
      <c r="B4" s="24">
        <v>9920390</v>
      </c>
      <c r="C4" s="12">
        <f>B4/$B$2</f>
        <v>0.992039</v>
      </c>
    </row>
    <row r="5" spans="1:9" x14ac:dyDescent="0.2">
      <c r="A5" s="2">
        <v>43097</v>
      </c>
      <c r="B5" s="24"/>
      <c r="C5" s="5"/>
    </row>
    <row r="6" spans="1:9" x14ac:dyDescent="0.2">
      <c r="A6" s="2">
        <v>43098</v>
      </c>
      <c r="B6" s="24"/>
      <c r="C6" s="5"/>
    </row>
    <row r="7" spans="1:9" x14ac:dyDescent="0.2">
      <c r="A7" s="2">
        <v>43101</v>
      </c>
      <c r="B7" s="24"/>
      <c r="C7" s="5"/>
    </row>
    <row r="8" spans="1:9" x14ac:dyDescent="0.2">
      <c r="A8" s="2">
        <v>43102</v>
      </c>
      <c r="B8" s="24"/>
      <c r="C8" s="5"/>
    </row>
    <row r="9" spans="1:9" x14ac:dyDescent="0.2">
      <c r="A9" s="2">
        <v>43103</v>
      </c>
      <c r="B9" s="24"/>
      <c r="C9" s="5"/>
    </row>
    <row r="10" spans="1:9" x14ac:dyDescent="0.2">
      <c r="A10" s="2">
        <v>43104</v>
      </c>
      <c r="B10" s="24"/>
      <c r="C10" s="5"/>
    </row>
    <row r="11" spans="1:9" x14ac:dyDescent="0.2">
      <c r="A11" s="2">
        <v>43105</v>
      </c>
      <c r="B11" s="24"/>
      <c r="C11" s="5"/>
    </row>
    <row r="12" spans="1:9" x14ac:dyDescent="0.2">
      <c r="A12" s="2">
        <v>43108</v>
      </c>
      <c r="B12" s="24"/>
      <c r="C12" s="5"/>
    </row>
    <row r="13" spans="1:9" x14ac:dyDescent="0.2">
      <c r="A13" s="2">
        <v>43109</v>
      </c>
    </row>
    <row r="14" spans="1:9" x14ac:dyDescent="0.2">
      <c r="A14" s="2">
        <v>43110</v>
      </c>
    </row>
    <row r="15" spans="1:9" x14ac:dyDescent="0.2">
      <c r="A15" s="2">
        <v>43111</v>
      </c>
    </row>
    <row r="16" spans="1:9" x14ac:dyDescent="0.2">
      <c r="A16" s="19">
        <v>43112</v>
      </c>
      <c r="B16" s="41"/>
      <c r="C16" s="4"/>
    </row>
    <row r="17" spans="1:3" x14ac:dyDescent="0.2">
      <c r="A17" s="2">
        <v>43115</v>
      </c>
      <c r="B17" s="25">
        <v>9836736</v>
      </c>
      <c r="C17" s="12">
        <f>B17/$B$2</f>
        <v>0.98367360000000004</v>
      </c>
    </row>
    <row r="18" spans="1:3" x14ac:dyDescent="0.2">
      <c r="A18" s="2">
        <v>43116</v>
      </c>
      <c r="B18" s="25">
        <v>9743676</v>
      </c>
      <c r="C18" s="12">
        <f t="shared" ref="C18:C25" si="0">B18/$B$2</f>
        <v>0.9743676</v>
      </c>
    </row>
    <row r="19" spans="1:3" x14ac:dyDescent="0.2">
      <c r="A19" s="2">
        <v>43117</v>
      </c>
      <c r="B19" s="25">
        <v>9685921</v>
      </c>
      <c r="C19" s="12">
        <f t="shared" si="0"/>
        <v>0.96859209999999996</v>
      </c>
    </row>
    <row r="20" spans="1:3" x14ac:dyDescent="0.2">
      <c r="A20" s="2">
        <v>43118</v>
      </c>
      <c r="B20" s="25">
        <v>9704061</v>
      </c>
      <c r="C20" s="12">
        <f t="shared" si="0"/>
        <v>0.97040610000000005</v>
      </c>
    </row>
    <row r="21" spans="1:3" x14ac:dyDescent="0.2">
      <c r="A21" s="19">
        <v>43119</v>
      </c>
      <c r="B21" s="41">
        <v>9729899</v>
      </c>
      <c r="C21" s="42">
        <f t="shared" si="0"/>
        <v>0.97298989999999996</v>
      </c>
    </row>
    <row r="22" spans="1:3" x14ac:dyDescent="0.2">
      <c r="A22" s="2">
        <v>43122</v>
      </c>
      <c r="B22" s="25">
        <v>9715728</v>
      </c>
      <c r="C22" s="12">
        <f t="shared" si="0"/>
        <v>0.97157280000000001</v>
      </c>
    </row>
    <row r="23" spans="1:3" x14ac:dyDescent="0.2">
      <c r="A23" s="2">
        <v>43123</v>
      </c>
      <c r="B23" s="25">
        <v>9756827</v>
      </c>
      <c r="C23" s="12">
        <f t="shared" si="0"/>
        <v>0.97568270000000001</v>
      </c>
    </row>
    <row r="24" spans="1:3" x14ac:dyDescent="0.2">
      <c r="A24" s="2">
        <v>43124</v>
      </c>
      <c r="B24" s="25">
        <v>9739233</v>
      </c>
      <c r="C24" s="12">
        <f t="shared" si="0"/>
        <v>0.97392330000000005</v>
      </c>
    </row>
    <row r="25" spans="1:3" x14ac:dyDescent="0.2">
      <c r="A25" s="2">
        <v>43125</v>
      </c>
      <c r="B25" s="25">
        <v>9796411</v>
      </c>
      <c r="C25" s="12">
        <f t="shared" si="0"/>
        <v>0.97964110000000004</v>
      </c>
    </row>
    <row r="26" spans="1:3" x14ac:dyDescent="0.2">
      <c r="A26" s="19">
        <v>43126</v>
      </c>
      <c r="B26" s="41">
        <v>9748454.8399999999</v>
      </c>
      <c r="C26" s="42">
        <f t="shared" ref="C26:C75" si="1">B26/$B$2</f>
        <v>0.97484548400000004</v>
      </c>
    </row>
    <row r="27" spans="1:3" x14ac:dyDescent="0.2">
      <c r="A27" s="2">
        <v>43129</v>
      </c>
      <c r="B27" s="25">
        <v>9771011.2799999993</v>
      </c>
      <c r="C27" s="12">
        <f t="shared" si="1"/>
        <v>0.97710112799999993</v>
      </c>
    </row>
    <row r="28" spans="1:3" x14ac:dyDescent="0.2">
      <c r="A28" s="2">
        <v>43130</v>
      </c>
      <c r="B28" s="25">
        <v>9753399.9199999999</v>
      </c>
      <c r="C28" s="12">
        <f t="shared" si="1"/>
        <v>0.97533999199999999</v>
      </c>
    </row>
    <row r="29" spans="1:3" x14ac:dyDescent="0.2">
      <c r="A29" s="2">
        <v>43131</v>
      </c>
      <c r="B29" s="25">
        <v>9712827.9100000001</v>
      </c>
      <c r="C29" s="12">
        <f t="shared" si="1"/>
        <v>0.97128279100000003</v>
      </c>
    </row>
    <row r="30" spans="1:3" x14ac:dyDescent="0.2">
      <c r="A30" s="2">
        <v>43132</v>
      </c>
      <c r="B30" s="25">
        <v>9732130.9100000001</v>
      </c>
      <c r="C30" s="12">
        <f t="shared" si="1"/>
        <v>0.97321309099999997</v>
      </c>
    </row>
    <row r="31" spans="1:3" x14ac:dyDescent="0.2">
      <c r="A31" s="19">
        <v>43133</v>
      </c>
      <c r="B31" s="41">
        <v>9712003</v>
      </c>
      <c r="C31" s="42">
        <f t="shared" si="1"/>
        <v>0.97120030000000002</v>
      </c>
    </row>
    <row r="32" spans="1:3" x14ac:dyDescent="0.2">
      <c r="A32" s="2">
        <v>43136</v>
      </c>
      <c r="B32" s="25">
        <v>9694076.5299999993</v>
      </c>
      <c r="C32" s="68">
        <f t="shared" si="1"/>
        <v>0.96940765299999998</v>
      </c>
    </row>
    <row r="33" spans="1:3" x14ac:dyDescent="0.2">
      <c r="A33" s="2">
        <v>43137</v>
      </c>
      <c r="B33" s="25">
        <v>9708630.9000000004</v>
      </c>
      <c r="C33" s="68">
        <f t="shared" si="1"/>
        <v>0.97086309000000004</v>
      </c>
    </row>
    <row r="34" spans="1:3" x14ac:dyDescent="0.2">
      <c r="A34" s="2">
        <v>43138</v>
      </c>
      <c r="B34" s="25">
        <v>9702242.3900000006</v>
      </c>
      <c r="C34" s="68">
        <f t="shared" si="1"/>
        <v>0.9702242390000001</v>
      </c>
    </row>
    <row r="35" spans="1:3" x14ac:dyDescent="0.2">
      <c r="A35" s="2">
        <v>43139</v>
      </c>
      <c r="B35" s="25">
        <v>9706020.5299999993</v>
      </c>
      <c r="C35" s="68">
        <f t="shared" si="1"/>
        <v>0.97060205299999991</v>
      </c>
    </row>
    <row r="36" spans="1:3" x14ac:dyDescent="0.2">
      <c r="A36" s="19">
        <v>43140</v>
      </c>
      <c r="B36" s="41">
        <v>9795265</v>
      </c>
      <c r="C36" s="42">
        <f t="shared" si="1"/>
        <v>0.97952649999999997</v>
      </c>
    </row>
    <row r="37" spans="1:3" x14ac:dyDescent="0.2">
      <c r="A37" s="2">
        <v>43143</v>
      </c>
      <c r="B37" s="25">
        <v>9699243</v>
      </c>
      <c r="C37" s="68">
        <f t="shared" si="1"/>
        <v>0.96992429999999996</v>
      </c>
    </row>
    <row r="38" spans="1:3" x14ac:dyDescent="0.2">
      <c r="A38" s="2">
        <v>43144</v>
      </c>
      <c r="B38" s="25">
        <v>9678174.1799999997</v>
      </c>
      <c r="C38" s="68">
        <f t="shared" si="1"/>
        <v>0.96781741799999998</v>
      </c>
    </row>
    <row r="39" spans="1:3" x14ac:dyDescent="0.2">
      <c r="A39" s="19">
        <v>43145</v>
      </c>
      <c r="B39" s="41">
        <v>9689418.1799999997</v>
      </c>
      <c r="C39" s="42">
        <f t="shared" si="1"/>
        <v>0.96894181800000001</v>
      </c>
    </row>
    <row r="40" spans="1:3" x14ac:dyDescent="0.2">
      <c r="A40" s="2">
        <v>43153</v>
      </c>
      <c r="B40" s="25">
        <v>9627659</v>
      </c>
      <c r="C40" s="68">
        <f t="shared" si="1"/>
        <v>0.96276589999999995</v>
      </c>
    </row>
    <row r="41" spans="1:3" x14ac:dyDescent="0.2">
      <c r="A41" s="19">
        <v>43154</v>
      </c>
      <c r="B41" s="41">
        <v>9619395.6300000008</v>
      </c>
      <c r="C41" s="42">
        <f t="shared" si="1"/>
        <v>0.96193956300000005</v>
      </c>
    </row>
    <row r="42" spans="1:3" x14ac:dyDescent="0.2">
      <c r="A42" s="2">
        <v>43157</v>
      </c>
      <c r="B42" s="25">
        <v>9634210.25</v>
      </c>
      <c r="C42" s="68">
        <f t="shared" si="1"/>
        <v>0.96342102500000004</v>
      </c>
    </row>
    <row r="43" spans="1:3" x14ac:dyDescent="0.2">
      <c r="A43" s="2">
        <v>43158</v>
      </c>
      <c r="B43" s="25">
        <v>9646383</v>
      </c>
      <c r="C43" s="85">
        <f t="shared" si="1"/>
        <v>0.96463829999999995</v>
      </c>
    </row>
    <row r="44" spans="1:3" x14ac:dyDescent="0.2">
      <c r="A44" s="2">
        <v>43159</v>
      </c>
      <c r="B44" s="25">
        <v>9645561</v>
      </c>
      <c r="C44" s="85">
        <f t="shared" si="1"/>
        <v>0.96455610000000003</v>
      </c>
    </row>
    <row r="45" spans="1:3" x14ac:dyDescent="0.2">
      <c r="A45" s="2">
        <v>43160</v>
      </c>
      <c r="B45" s="25">
        <v>9644799</v>
      </c>
      <c r="C45" s="85">
        <f t="shared" si="1"/>
        <v>0.96447989999999995</v>
      </c>
    </row>
    <row r="46" spans="1:3" x14ac:dyDescent="0.2">
      <c r="A46" s="19">
        <v>43161</v>
      </c>
      <c r="B46" s="41">
        <v>9631738</v>
      </c>
      <c r="C46" s="86">
        <f t="shared" si="1"/>
        <v>0.96317379999999997</v>
      </c>
    </row>
    <row r="47" spans="1:3" x14ac:dyDescent="0.2">
      <c r="A47" s="2">
        <v>43164</v>
      </c>
      <c r="B47" s="25">
        <v>9596808</v>
      </c>
      <c r="C47" s="85">
        <f t="shared" si="1"/>
        <v>0.9596808</v>
      </c>
    </row>
    <row r="48" spans="1:3" x14ac:dyDescent="0.2">
      <c r="A48" s="2">
        <v>43165</v>
      </c>
      <c r="B48" s="25">
        <v>9571733</v>
      </c>
      <c r="C48" s="85">
        <f t="shared" si="1"/>
        <v>0.9571733</v>
      </c>
    </row>
    <row r="49" spans="1:3" x14ac:dyDescent="0.2">
      <c r="A49" s="2">
        <v>43166</v>
      </c>
      <c r="B49" s="25">
        <v>9542127</v>
      </c>
      <c r="C49" s="85">
        <f t="shared" si="1"/>
        <v>0.95421270000000002</v>
      </c>
    </row>
    <row r="50" spans="1:3" x14ac:dyDescent="0.2">
      <c r="A50" s="2">
        <v>43167</v>
      </c>
      <c r="B50" s="25">
        <v>9625546</v>
      </c>
      <c r="C50" s="85">
        <f t="shared" si="1"/>
        <v>0.96255460000000004</v>
      </c>
    </row>
    <row r="51" spans="1:3" x14ac:dyDescent="0.2">
      <c r="A51" s="19">
        <v>43168</v>
      </c>
      <c r="B51" s="41">
        <v>9807634</v>
      </c>
      <c r="C51" s="86">
        <f t="shared" si="1"/>
        <v>0.98076339999999995</v>
      </c>
    </row>
    <row r="52" spans="1:3" x14ac:dyDescent="0.2">
      <c r="A52" s="2">
        <v>43171</v>
      </c>
      <c r="B52" s="25">
        <v>9639849</v>
      </c>
      <c r="C52" s="85">
        <f t="shared" si="1"/>
        <v>0.96398490000000003</v>
      </c>
    </row>
    <row r="53" spans="1:3" x14ac:dyDescent="0.2">
      <c r="A53" s="2">
        <v>43172</v>
      </c>
      <c r="B53" s="25">
        <v>9628753</v>
      </c>
      <c r="C53" s="85">
        <f t="shared" si="1"/>
        <v>0.96287529999999999</v>
      </c>
    </row>
    <row r="54" spans="1:3" x14ac:dyDescent="0.2">
      <c r="A54" s="2">
        <v>43173</v>
      </c>
      <c r="B54" s="25">
        <v>9622938</v>
      </c>
      <c r="C54" s="85">
        <f t="shared" si="1"/>
        <v>0.96229379999999998</v>
      </c>
    </row>
    <row r="55" spans="1:3" x14ac:dyDescent="0.2">
      <c r="A55" s="2">
        <v>43174</v>
      </c>
      <c r="B55" s="25">
        <v>9613579</v>
      </c>
      <c r="C55" s="85">
        <f t="shared" si="1"/>
        <v>0.96135789999999999</v>
      </c>
    </row>
    <row r="56" spans="1:3" x14ac:dyDescent="0.2">
      <c r="A56" s="19">
        <v>43175</v>
      </c>
      <c r="B56" s="41">
        <v>9613579</v>
      </c>
      <c r="C56" s="86">
        <f t="shared" si="1"/>
        <v>0.96135789999999999</v>
      </c>
    </row>
    <row r="57" spans="1:3" x14ac:dyDescent="0.2">
      <c r="A57" s="2">
        <v>43178</v>
      </c>
      <c r="B57" s="25">
        <v>9614515</v>
      </c>
      <c r="C57" s="85">
        <f t="shared" si="1"/>
        <v>0.96145150000000001</v>
      </c>
    </row>
    <row r="58" spans="1:3" x14ac:dyDescent="0.2">
      <c r="A58" s="2">
        <v>43179</v>
      </c>
      <c r="B58" s="25">
        <v>9611131</v>
      </c>
      <c r="C58" s="85">
        <f t="shared" si="1"/>
        <v>0.96111310000000005</v>
      </c>
    </row>
    <row r="59" spans="1:3" x14ac:dyDescent="0.2">
      <c r="A59" s="2">
        <v>43181</v>
      </c>
      <c r="B59" s="25">
        <v>9604011</v>
      </c>
      <c r="C59" s="85">
        <f t="shared" si="1"/>
        <v>0.96040110000000001</v>
      </c>
    </row>
    <row r="60" spans="1:3" x14ac:dyDescent="0.2">
      <c r="A60" s="19">
        <v>43182</v>
      </c>
      <c r="B60" s="41">
        <v>9582498</v>
      </c>
      <c r="C60" s="85">
        <f t="shared" si="1"/>
        <v>0.95824980000000004</v>
      </c>
    </row>
    <row r="61" spans="1:3" x14ac:dyDescent="0.2">
      <c r="A61" s="2">
        <v>43185</v>
      </c>
      <c r="B61" s="41">
        <v>9582498</v>
      </c>
      <c r="C61" s="85">
        <f t="shared" si="1"/>
        <v>0.95824980000000004</v>
      </c>
    </row>
    <row r="62" spans="1:3" x14ac:dyDescent="0.2">
      <c r="A62" s="2">
        <v>43186</v>
      </c>
      <c r="B62" s="41">
        <v>9582498</v>
      </c>
      <c r="C62" s="85">
        <f t="shared" si="1"/>
        <v>0.95824980000000004</v>
      </c>
    </row>
    <row r="63" spans="1:3" x14ac:dyDescent="0.2">
      <c r="A63" s="2">
        <v>43187</v>
      </c>
      <c r="B63" s="41">
        <v>9582498</v>
      </c>
      <c r="C63" s="85">
        <f t="shared" si="1"/>
        <v>0.95824980000000004</v>
      </c>
    </row>
    <row r="64" spans="1:3" x14ac:dyDescent="0.2">
      <c r="A64" s="2">
        <v>43188</v>
      </c>
      <c r="B64" s="41">
        <v>9582498</v>
      </c>
      <c r="C64" s="85">
        <f t="shared" si="1"/>
        <v>0.95824980000000004</v>
      </c>
    </row>
    <row r="65" spans="1:4" x14ac:dyDescent="0.2">
      <c r="A65" s="19">
        <v>43189</v>
      </c>
      <c r="B65" s="41">
        <v>9582498</v>
      </c>
      <c r="C65" s="85">
        <f t="shared" si="1"/>
        <v>0.95824980000000004</v>
      </c>
    </row>
    <row r="66" spans="1:4" x14ac:dyDescent="0.2">
      <c r="A66" s="2">
        <v>43192</v>
      </c>
      <c r="B66" s="41">
        <v>9582498</v>
      </c>
      <c r="C66" s="85">
        <f t="shared" si="1"/>
        <v>0.95824980000000004</v>
      </c>
      <c r="D66" s="22"/>
    </row>
    <row r="67" spans="1:4" x14ac:dyDescent="0.2">
      <c r="A67" s="2">
        <v>43193</v>
      </c>
      <c r="B67" s="41">
        <v>9582498</v>
      </c>
      <c r="C67" s="85">
        <f t="shared" si="1"/>
        <v>0.95824980000000004</v>
      </c>
      <c r="D67" s="22"/>
    </row>
    <row r="68" spans="1:4" x14ac:dyDescent="0.2">
      <c r="A68" s="2">
        <v>43194</v>
      </c>
      <c r="B68" s="41">
        <v>9582498</v>
      </c>
      <c r="C68" s="85">
        <f t="shared" si="1"/>
        <v>0.95824980000000004</v>
      </c>
      <c r="D68" s="22"/>
    </row>
    <row r="69" spans="1:4" x14ac:dyDescent="0.2">
      <c r="A69" s="2">
        <v>43195</v>
      </c>
      <c r="B69" s="41">
        <v>9582498</v>
      </c>
      <c r="C69" s="85">
        <f t="shared" si="1"/>
        <v>0.95824980000000004</v>
      </c>
      <c r="D69" s="22"/>
    </row>
    <row r="70" spans="1:4" x14ac:dyDescent="0.2">
      <c r="A70" s="2">
        <v>43196</v>
      </c>
      <c r="B70" s="41">
        <v>9582498</v>
      </c>
      <c r="C70" s="85">
        <f t="shared" si="1"/>
        <v>0.95824980000000004</v>
      </c>
      <c r="D70" s="22"/>
    </row>
    <row r="71" spans="1:4" x14ac:dyDescent="0.2">
      <c r="A71" s="2">
        <v>43197</v>
      </c>
      <c r="B71" s="41">
        <v>9582498</v>
      </c>
      <c r="C71" s="85">
        <f t="shared" si="1"/>
        <v>0.95824980000000004</v>
      </c>
      <c r="D71" s="22"/>
    </row>
    <row r="72" spans="1:4" x14ac:dyDescent="0.2">
      <c r="A72" s="2">
        <v>43198</v>
      </c>
      <c r="B72" s="41">
        <v>9582498</v>
      </c>
      <c r="C72" s="85">
        <f t="shared" si="1"/>
        <v>0.95824980000000004</v>
      </c>
      <c r="D72" s="22"/>
    </row>
    <row r="73" spans="1:4" x14ac:dyDescent="0.2">
      <c r="A73" s="2">
        <v>43199</v>
      </c>
      <c r="B73" s="41">
        <v>9582498</v>
      </c>
      <c r="C73" s="85">
        <f t="shared" si="1"/>
        <v>0.95824980000000004</v>
      </c>
      <c r="D73" s="22"/>
    </row>
    <row r="74" spans="1:4" x14ac:dyDescent="0.2">
      <c r="A74" s="2">
        <v>43200</v>
      </c>
      <c r="B74" s="25">
        <v>9579844</v>
      </c>
      <c r="C74" s="85">
        <f t="shared" si="1"/>
        <v>0.95798439999999996</v>
      </c>
    </row>
    <row r="75" spans="1:4" x14ac:dyDescent="0.2">
      <c r="A75" s="2">
        <v>43201</v>
      </c>
      <c r="C75" s="85">
        <f t="shared" si="1"/>
        <v>0</v>
      </c>
    </row>
    <row r="76" spans="1:4" x14ac:dyDescent="0.2">
      <c r="A76" s="2">
        <v>43202</v>
      </c>
      <c r="C76" s="85"/>
    </row>
    <row r="77" spans="1:4" x14ac:dyDescent="0.2">
      <c r="A77" s="2">
        <v>43203</v>
      </c>
      <c r="C77" s="85"/>
    </row>
    <row r="78" spans="1:4" x14ac:dyDescent="0.2">
      <c r="A78" s="2">
        <v>43204</v>
      </c>
      <c r="C78" s="85"/>
    </row>
    <row r="79" spans="1:4" x14ac:dyDescent="0.2">
      <c r="A79" s="2">
        <v>43205</v>
      </c>
      <c r="C79" s="85"/>
    </row>
    <row r="80" spans="1:4" x14ac:dyDescent="0.2">
      <c r="A80" s="2">
        <v>43206</v>
      </c>
      <c r="C80" s="85"/>
    </row>
    <row r="81" spans="1:3" x14ac:dyDescent="0.2">
      <c r="A81" s="2">
        <v>43207</v>
      </c>
      <c r="C81" s="85"/>
    </row>
    <row r="82" spans="1:3" x14ac:dyDescent="0.2">
      <c r="A82" s="2">
        <v>43208</v>
      </c>
      <c r="C82" s="85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371"/>
  <sheetViews>
    <sheetView tabSelected="1" workbookViewId="0">
      <pane ySplit="1" topLeftCell="A285" activePane="bottomLeft" state="frozen"/>
      <selection pane="bottomLeft" activeCell="E311" sqref="E311:F311"/>
    </sheetView>
  </sheetViews>
  <sheetFormatPr defaultRowHeight="14.25" x14ac:dyDescent="0.2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 x14ac:dyDescent="0.2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COUNT(M2:M9988)</f>
        <v>285</v>
      </c>
      <c r="V1" s="64">
        <f>COUNTIF(M2:M9988,"&gt;0")</f>
        <v>76</v>
      </c>
      <c r="W1" s="64">
        <f>COUNTIF(M2:M9988,"&lt;0")</f>
        <v>204</v>
      </c>
      <c r="X1" s="64">
        <f>SUMIF(M2:M9988,"&gt;0")</f>
        <v>1084216.0499999998</v>
      </c>
      <c r="Y1" s="64">
        <f>ABS(SUMIF(M2:M9988,"&lt;0"))</f>
        <v>1225401.860000001</v>
      </c>
      <c r="Z1" s="64"/>
    </row>
    <row r="2" spans="1:26" x14ac:dyDescent="0.2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 x14ac:dyDescent="0.2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 x14ac:dyDescent="0.2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 x14ac:dyDescent="0.2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 x14ac:dyDescent="0.2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 x14ac:dyDescent="0.2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 x14ac:dyDescent="0.2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 x14ac:dyDescent="0.2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 x14ac:dyDescent="0.2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 x14ac:dyDescent="0.2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 x14ac:dyDescent="0.2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 x14ac:dyDescent="0.2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 x14ac:dyDescent="0.2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 x14ac:dyDescent="0.2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 x14ac:dyDescent="0.2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 x14ac:dyDescent="0.2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 x14ac:dyDescent="0.2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 x14ac:dyDescent="0.2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 x14ac:dyDescent="0.2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 x14ac:dyDescent="0.2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 x14ac:dyDescent="0.2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 x14ac:dyDescent="0.2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5" thickBot="1" x14ac:dyDescent="0.25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 x14ac:dyDescent="0.2">
      <c r="A25" s="2">
        <v>43101</v>
      </c>
      <c r="S25" t="str">
        <f>IF(B25="","",VLOOKUP(Cmt(B25),Sheet2!A:B,2,FALSE))</f>
        <v/>
      </c>
      <c r="W25" s="11"/>
    </row>
    <row r="26" spans="1:23" x14ac:dyDescent="0.2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 x14ac:dyDescent="0.2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 x14ac:dyDescent="0.2">
      <c r="A28" s="2">
        <v>43103</v>
      </c>
      <c r="S28" t="str">
        <f>IF(B28="","",VLOOKUP(Cmt(B28),Sheet2!A:B,2,FALSE))</f>
        <v/>
      </c>
      <c r="W28" s="11"/>
    </row>
    <row r="29" spans="1:23" x14ac:dyDescent="0.2">
      <c r="A29" s="2">
        <v>43104</v>
      </c>
      <c r="S29" t="str">
        <f>IF(B29="","",VLOOKUP(Cmt(B29),Sheet2!A:B,2,FALSE))</f>
        <v/>
      </c>
      <c r="W29" s="11"/>
    </row>
    <row r="30" spans="1:23" x14ac:dyDescent="0.2">
      <c r="A30" s="2">
        <v>43105</v>
      </c>
      <c r="S30" t="str">
        <f>IF(B30="","",VLOOKUP(Cmt(B30),Sheet2!A:B,2,FALSE))</f>
        <v/>
      </c>
      <c r="W30" s="11"/>
    </row>
    <row r="31" spans="1:23" x14ac:dyDescent="0.2">
      <c r="A31" s="2">
        <v>43108</v>
      </c>
      <c r="S31" t="str">
        <f>IF(B31="","",VLOOKUP(Cmt(B31),Sheet2!A:B,2,FALSE))</f>
        <v/>
      </c>
      <c r="W31" s="11"/>
    </row>
    <row r="32" spans="1:23" x14ac:dyDescent="0.2">
      <c r="A32" s="2">
        <v>43109</v>
      </c>
      <c r="S32" t="str">
        <f>IF(B32="","",VLOOKUP(Cmt(B32),Sheet2!A:B,2,FALSE))</f>
        <v/>
      </c>
      <c r="W32" s="11"/>
    </row>
    <row r="33" spans="1:23" x14ac:dyDescent="0.2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 x14ac:dyDescent="0.2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 x14ac:dyDescent="0.2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5" thickBot="1" x14ac:dyDescent="0.25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 x14ac:dyDescent="0.2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 x14ac:dyDescent="0.2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 x14ac:dyDescent="0.2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 x14ac:dyDescent="0.2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 x14ac:dyDescent="0.2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 x14ac:dyDescent="0.2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 x14ac:dyDescent="0.2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 x14ac:dyDescent="0.2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 x14ac:dyDescent="0.2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 x14ac:dyDescent="0.2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 x14ac:dyDescent="0.2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 x14ac:dyDescent="0.2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 x14ac:dyDescent="0.2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 x14ac:dyDescent="0.2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 x14ac:dyDescent="0.2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 x14ac:dyDescent="0.2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 x14ac:dyDescent="0.2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 x14ac:dyDescent="0.2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 x14ac:dyDescent="0.2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 x14ac:dyDescent="0.2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 x14ac:dyDescent="0.2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 x14ac:dyDescent="0.2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 x14ac:dyDescent="0.2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 x14ac:dyDescent="0.2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 x14ac:dyDescent="0.2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 x14ac:dyDescent="0.2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 x14ac:dyDescent="0.2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 x14ac:dyDescent="0.2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 x14ac:dyDescent="0.2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 x14ac:dyDescent="0.2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 x14ac:dyDescent="0.2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 x14ac:dyDescent="0.2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 x14ac:dyDescent="0.2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 x14ac:dyDescent="0.2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 x14ac:dyDescent="0.2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 x14ac:dyDescent="0.2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 x14ac:dyDescent="0.2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 x14ac:dyDescent="0.2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 x14ac:dyDescent="0.2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 x14ac:dyDescent="0.2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 x14ac:dyDescent="0.2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5" thickBot="1" x14ac:dyDescent="0.25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 x14ac:dyDescent="0.2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 x14ac:dyDescent="0.2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 x14ac:dyDescent="0.2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 x14ac:dyDescent="0.2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 x14ac:dyDescent="0.2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 x14ac:dyDescent="0.2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 x14ac:dyDescent="0.2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 x14ac:dyDescent="0.2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 x14ac:dyDescent="0.2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 x14ac:dyDescent="0.2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 x14ac:dyDescent="0.2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 x14ac:dyDescent="0.2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 x14ac:dyDescent="0.2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 x14ac:dyDescent="0.2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 x14ac:dyDescent="0.2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 x14ac:dyDescent="0.2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 x14ac:dyDescent="0.2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 x14ac:dyDescent="0.2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 x14ac:dyDescent="0.2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 x14ac:dyDescent="0.2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 x14ac:dyDescent="0.2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 x14ac:dyDescent="0.2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 x14ac:dyDescent="0.2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 x14ac:dyDescent="0.2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 x14ac:dyDescent="0.2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 x14ac:dyDescent="0.2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 x14ac:dyDescent="0.2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 x14ac:dyDescent="0.2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 x14ac:dyDescent="0.2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 x14ac:dyDescent="0.2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 x14ac:dyDescent="0.2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 x14ac:dyDescent="0.2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 x14ac:dyDescent="0.2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 x14ac:dyDescent="0.2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 x14ac:dyDescent="0.2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 x14ac:dyDescent="0.2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 x14ac:dyDescent="0.2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 x14ac:dyDescent="0.2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 x14ac:dyDescent="0.2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 x14ac:dyDescent="0.2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5" thickBot="1" x14ac:dyDescent="0.25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 x14ac:dyDescent="0.2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 x14ac:dyDescent="0.2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 x14ac:dyDescent="0.2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 x14ac:dyDescent="0.2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 x14ac:dyDescent="0.2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 x14ac:dyDescent="0.2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 x14ac:dyDescent="0.2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 x14ac:dyDescent="0.2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 x14ac:dyDescent="0.2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 x14ac:dyDescent="0.2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 x14ac:dyDescent="0.2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 x14ac:dyDescent="0.2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 x14ac:dyDescent="0.2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 x14ac:dyDescent="0.2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 x14ac:dyDescent="0.2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 x14ac:dyDescent="0.2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 x14ac:dyDescent="0.2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 x14ac:dyDescent="0.2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 x14ac:dyDescent="0.2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 x14ac:dyDescent="0.2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 x14ac:dyDescent="0.2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 x14ac:dyDescent="0.2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 x14ac:dyDescent="0.2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 x14ac:dyDescent="0.2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 x14ac:dyDescent="0.2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 x14ac:dyDescent="0.2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 x14ac:dyDescent="0.2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 x14ac:dyDescent="0.2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 x14ac:dyDescent="0.2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 x14ac:dyDescent="0.2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 x14ac:dyDescent="0.2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 x14ac:dyDescent="0.2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 x14ac:dyDescent="0.2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 x14ac:dyDescent="0.2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 x14ac:dyDescent="0.2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 x14ac:dyDescent="0.2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 x14ac:dyDescent="0.2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 x14ac:dyDescent="0.2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 x14ac:dyDescent="0.2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 x14ac:dyDescent="0.2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 x14ac:dyDescent="0.2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 x14ac:dyDescent="0.2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 x14ac:dyDescent="0.2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 x14ac:dyDescent="0.2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 x14ac:dyDescent="0.2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 x14ac:dyDescent="0.2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 x14ac:dyDescent="0.2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 x14ac:dyDescent="0.2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 x14ac:dyDescent="0.2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 x14ac:dyDescent="0.2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 x14ac:dyDescent="0.2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 x14ac:dyDescent="0.2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 x14ac:dyDescent="0.2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 x14ac:dyDescent="0.2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 x14ac:dyDescent="0.2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 x14ac:dyDescent="0.2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 x14ac:dyDescent="0.2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 x14ac:dyDescent="0.2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 x14ac:dyDescent="0.2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 x14ac:dyDescent="0.2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 x14ac:dyDescent="0.2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 x14ac:dyDescent="0.2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 x14ac:dyDescent="0.2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 x14ac:dyDescent="0.2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 x14ac:dyDescent="0.2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 x14ac:dyDescent="0.2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 x14ac:dyDescent="0.2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 x14ac:dyDescent="0.2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5" thickBot="1" x14ac:dyDescent="0.25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 x14ac:dyDescent="0.2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 x14ac:dyDescent="0.2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 x14ac:dyDescent="0.2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 x14ac:dyDescent="0.2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 x14ac:dyDescent="0.2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 x14ac:dyDescent="0.2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 x14ac:dyDescent="0.2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 x14ac:dyDescent="0.2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 x14ac:dyDescent="0.2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 x14ac:dyDescent="0.2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 x14ac:dyDescent="0.2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 x14ac:dyDescent="0.2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 x14ac:dyDescent="0.2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 x14ac:dyDescent="0.2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 x14ac:dyDescent="0.2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 x14ac:dyDescent="0.2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 x14ac:dyDescent="0.2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 x14ac:dyDescent="0.2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 x14ac:dyDescent="0.2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 x14ac:dyDescent="0.2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 x14ac:dyDescent="0.2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 x14ac:dyDescent="0.2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 x14ac:dyDescent="0.2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 x14ac:dyDescent="0.2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 x14ac:dyDescent="0.2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 x14ac:dyDescent="0.2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 x14ac:dyDescent="0.2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 x14ac:dyDescent="0.2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 x14ac:dyDescent="0.2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 x14ac:dyDescent="0.2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 x14ac:dyDescent="0.2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 x14ac:dyDescent="0.2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 x14ac:dyDescent="0.2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 x14ac:dyDescent="0.2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 x14ac:dyDescent="0.2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 x14ac:dyDescent="0.2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 x14ac:dyDescent="0.2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 x14ac:dyDescent="0.2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 x14ac:dyDescent="0.2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 x14ac:dyDescent="0.2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 x14ac:dyDescent="0.2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 x14ac:dyDescent="0.2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 x14ac:dyDescent="0.2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 x14ac:dyDescent="0.2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 x14ac:dyDescent="0.2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5" thickBot="1" x14ac:dyDescent="0.25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 x14ac:dyDescent="0.2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 x14ac:dyDescent="0.2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 x14ac:dyDescent="0.2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 x14ac:dyDescent="0.2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 x14ac:dyDescent="0.2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 x14ac:dyDescent="0.2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 x14ac:dyDescent="0.2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 x14ac:dyDescent="0.2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 x14ac:dyDescent="0.2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5" thickBot="1" x14ac:dyDescent="0.25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 x14ac:dyDescent="0.2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 x14ac:dyDescent="0.2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 x14ac:dyDescent="0.2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 x14ac:dyDescent="0.2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 x14ac:dyDescent="0.2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 x14ac:dyDescent="0.2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 x14ac:dyDescent="0.2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 x14ac:dyDescent="0.2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 x14ac:dyDescent="0.2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 x14ac:dyDescent="0.2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 x14ac:dyDescent="0.2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5" thickBot="1" x14ac:dyDescent="0.25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 x14ac:dyDescent="0.2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 x14ac:dyDescent="0.2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 x14ac:dyDescent="0.2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 x14ac:dyDescent="0.2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 x14ac:dyDescent="0.2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 x14ac:dyDescent="0.2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 x14ac:dyDescent="0.2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 x14ac:dyDescent="0.2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 x14ac:dyDescent="0.2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 x14ac:dyDescent="0.2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 x14ac:dyDescent="0.2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 x14ac:dyDescent="0.2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 x14ac:dyDescent="0.2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 x14ac:dyDescent="0.2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5" thickBot="1" x14ac:dyDescent="0.25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 x14ac:dyDescent="0.2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 x14ac:dyDescent="0.2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 x14ac:dyDescent="0.2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 x14ac:dyDescent="0.2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39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 x14ac:dyDescent="0.2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0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 x14ac:dyDescent="0.2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 x14ac:dyDescent="0.2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 x14ac:dyDescent="0.2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 x14ac:dyDescent="0.2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 x14ac:dyDescent="0.2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 x14ac:dyDescent="0.2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 x14ac:dyDescent="0.2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 x14ac:dyDescent="0.2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 x14ac:dyDescent="0.2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48" si="122">IF(S285="","",T285*I285/(D285*S285*0.15))</f>
        <v>36.484424666242845</v>
      </c>
      <c r="W285" s="11"/>
    </row>
    <row r="286" spans="1:23" x14ac:dyDescent="0.2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 x14ac:dyDescent="0.2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0" si="123">IF(S287="","",T286)</f>
        <v>9565000</v>
      </c>
      <c r="U287" s="13">
        <f t="shared" si="122"/>
        <v>5.8512712674440834</v>
      </c>
      <c r="W287" s="11"/>
    </row>
    <row r="288" spans="1:23" x14ac:dyDescent="0.2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 x14ac:dyDescent="0.2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 x14ac:dyDescent="0.2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 x14ac:dyDescent="0.2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 x14ac:dyDescent="0.2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 x14ac:dyDescent="0.2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 x14ac:dyDescent="0.2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 x14ac:dyDescent="0.2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89">
        <v>6204.8</v>
      </c>
      <c r="K295" s="19">
        <v>43173</v>
      </c>
      <c r="L295" s="31">
        <v>0.47361111111111115</v>
      </c>
      <c r="M295" s="14">
        <f t="shared" si="119"/>
        <v>21160.000000000036</v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 x14ac:dyDescent="0.2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 x14ac:dyDescent="0.2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 x14ac:dyDescent="0.2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 x14ac:dyDescent="0.2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5" thickBot="1" x14ac:dyDescent="0.25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 x14ac:dyDescent="0.2">
      <c r="A301" s="70">
        <v>43171</v>
      </c>
      <c r="B301" s="69"/>
      <c r="C301" s="69"/>
      <c r="D301" s="69"/>
      <c r="E301" s="69"/>
      <c r="F301" s="69"/>
      <c r="G301" s="72"/>
      <c r="H301" s="73"/>
      <c r="I301" s="72" t="str">
        <f t="shared" si="118"/>
        <v/>
      </c>
      <c r="J301" s="69"/>
      <c r="K301" s="69"/>
      <c r="L301" s="69"/>
      <c r="M301" s="74" t="str">
        <f t="shared" si="119"/>
        <v/>
      </c>
      <c r="N301" s="69"/>
      <c r="O301" s="69"/>
      <c r="P301" s="75"/>
      <c r="Q301" s="75"/>
      <c r="R301" s="75"/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 x14ac:dyDescent="0.2">
      <c r="A302" s="19">
        <v>43172</v>
      </c>
      <c r="B302" s="3" t="s">
        <v>352</v>
      </c>
      <c r="C302" s="3">
        <v>1</v>
      </c>
      <c r="D302" s="3">
        <v>4113</v>
      </c>
      <c r="E302" s="19">
        <v>43172</v>
      </c>
      <c r="F302" s="31">
        <v>0.40277777777777773</v>
      </c>
      <c r="G302" s="18">
        <v>0.02</v>
      </c>
      <c r="H302" s="51">
        <v>1</v>
      </c>
      <c r="I302" s="18">
        <f t="shared" si="118"/>
        <v>0.02</v>
      </c>
      <c r="J302" s="3">
        <v>4104</v>
      </c>
      <c r="K302" s="19">
        <v>43172</v>
      </c>
      <c r="L302" s="31">
        <v>0.47500000000000003</v>
      </c>
      <c r="M302" s="14">
        <f t="shared" si="119"/>
        <v>-2700</v>
      </c>
      <c r="N302" s="3"/>
      <c r="O302" s="3"/>
      <c r="P302" s="4"/>
      <c r="Q302" s="4"/>
      <c r="R302" s="4"/>
      <c r="S302">
        <f>IF(B302="","",VLOOKUP(Cmt(B302),Sheet2!A:B,2,FALSE))</f>
        <v>300</v>
      </c>
      <c r="T302" s="39">
        <v>9620000</v>
      </c>
      <c r="U302" s="13">
        <f t="shared" si="122"/>
        <v>1.0395223816084502</v>
      </c>
      <c r="W302" s="11"/>
    </row>
    <row r="303" spans="1:23" x14ac:dyDescent="0.2">
      <c r="A303" s="43">
        <v>43173</v>
      </c>
      <c r="B303" s="27" t="s">
        <v>353</v>
      </c>
      <c r="C303" s="27">
        <v>21</v>
      </c>
      <c r="D303" s="27">
        <v>2744</v>
      </c>
      <c r="E303" s="43">
        <v>43172</v>
      </c>
      <c r="F303" s="28">
        <v>0.9194444444444444</v>
      </c>
      <c r="G303" s="29">
        <v>8.9999999999999993E-3</v>
      </c>
      <c r="H303" s="55">
        <v>1</v>
      </c>
      <c r="I303" s="29">
        <f t="shared" si="118"/>
        <v>8.9999999999999993E-3</v>
      </c>
      <c r="J303" s="27">
        <v>2741</v>
      </c>
      <c r="K303" s="43">
        <v>43174</v>
      </c>
      <c r="L303" s="28">
        <v>0.38958333333333334</v>
      </c>
      <c r="M303" s="32">
        <f t="shared" si="119"/>
        <v>-630</v>
      </c>
      <c r="N303" s="27"/>
      <c r="O303" s="27"/>
      <c r="P303" s="30"/>
      <c r="Q303" s="30"/>
      <c r="R303" s="30"/>
      <c r="S303">
        <f>IF(B303="","",VLOOKUP(Cmt(B303),Sheet2!A:B,2,FALSE))</f>
        <v>10</v>
      </c>
      <c r="T303" s="39">
        <f t="shared" si="123"/>
        <v>9620000</v>
      </c>
      <c r="U303" s="13">
        <f t="shared" si="122"/>
        <v>21.034985422740526</v>
      </c>
      <c r="W303" s="11"/>
    </row>
    <row r="304" spans="1:23" x14ac:dyDescent="0.2">
      <c r="A304" s="2">
        <v>43174</v>
      </c>
      <c r="B304" s="13" t="s">
        <v>352</v>
      </c>
      <c r="C304" s="1">
        <v>1</v>
      </c>
      <c r="D304" s="1">
        <v>4093.8</v>
      </c>
      <c r="E304" s="2">
        <v>43174</v>
      </c>
      <c r="F304" s="26">
        <v>0.46388888888888885</v>
      </c>
      <c r="G304" s="17">
        <v>0.02</v>
      </c>
      <c r="H304" s="52">
        <v>1</v>
      </c>
      <c r="I304" s="17">
        <f t="shared" si="118"/>
        <v>0.02</v>
      </c>
      <c r="M304" s="16" t="str">
        <f t="shared" si="119"/>
        <v/>
      </c>
      <c r="S304">
        <f>IF(B304="","",VLOOKUP(Cmt(B304),Sheet2!A:B,2,FALSE))</f>
        <v>300</v>
      </c>
      <c r="T304" s="39">
        <f t="shared" si="123"/>
        <v>9620000</v>
      </c>
      <c r="U304" s="13">
        <f t="shared" si="122"/>
        <v>1.0443977613844242</v>
      </c>
      <c r="W304" s="11"/>
    </row>
    <row r="305" spans="1:23" ht="15" thickBot="1" x14ac:dyDescent="0.25">
      <c r="A305" s="38">
        <v>43175</v>
      </c>
      <c r="B305" s="34"/>
      <c r="C305" s="34"/>
      <c r="D305" s="34"/>
      <c r="E305" s="34"/>
      <c r="F305" s="34"/>
      <c r="G305" s="36"/>
      <c r="H305" s="53"/>
      <c r="I305" s="36" t="str">
        <f t="shared" si="118"/>
        <v/>
      </c>
      <c r="J305" s="34"/>
      <c r="K305" s="34"/>
      <c r="L305" s="34"/>
      <c r="M305" s="40" t="str">
        <f t="shared" si="119"/>
        <v/>
      </c>
      <c r="N305" s="34"/>
      <c r="O305" s="34"/>
      <c r="P305" s="37"/>
      <c r="Q305" s="37"/>
      <c r="R305" s="37"/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1:23" x14ac:dyDescent="0.2">
      <c r="A306" s="2">
        <v>43178</v>
      </c>
      <c r="B306" s="1" t="s">
        <v>354</v>
      </c>
      <c r="D306" s="1">
        <v>2784</v>
      </c>
      <c r="G306" s="17">
        <v>1.6E-2</v>
      </c>
      <c r="H306" s="52">
        <v>1</v>
      </c>
      <c r="I306" s="17">
        <f t="shared" si="118"/>
        <v>1.6E-2</v>
      </c>
      <c r="M306" s="16" t="str">
        <f t="shared" si="119"/>
        <v/>
      </c>
      <c r="S306">
        <f>IF(B306="","",VLOOKUP(Cmt(B306),Sheet2!A:B,2,FALSE))</f>
        <v>10</v>
      </c>
      <c r="T306" s="39">
        <v>9620000</v>
      </c>
      <c r="U306" s="13">
        <f t="shared" si="122"/>
        <v>36.85823754789272</v>
      </c>
      <c r="W306" s="11"/>
    </row>
    <row r="307" spans="1:23" x14ac:dyDescent="0.2">
      <c r="I307" s="17" t="str">
        <f t="shared" si="118"/>
        <v/>
      </c>
      <c r="M307" s="16" t="str">
        <f t="shared" si="119"/>
        <v/>
      </c>
      <c r="S307" t="str">
        <f>IF(B307="","",VLOOKUP(Cmt(B307),Sheet2!A:B,2,FALSE))</f>
        <v/>
      </c>
      <c r="T307" s="39" t="str">
        <f t="shared" si="123"/>
        <v/>
      </c>
      <c r="U307" s="13" t="str">
        <f t="shared" si="122"/>
        <v/>
      </c>
      <c r="W307" s="11"/>
    </row>
    <row r="308" spans="1:23" x14ac:dyDescent="0.2">
      <c r="A308" s="2">
        <v>43200</v>
      </c>
      <c r="B308" s="1" t="s">
        <v>355</v>
      </c>
      <c r="C308" s="1">
        <v>-1</v>
      </c>
      <c r="D308" s="1">
        <v>6006</v>
      </c>
      <c r="E308" s="2">
        <v>43200</v>
      </c>
      <c r="F308" s="26">
        <v>0.59097222222222223</v>
      </c>
      <c r="G308" s="17">
        <v>1.6E-2</v>
      </c>
      <c r="H308" s="52">
        <v>1</v>
      </c>
      <c r="I308" s="17">
        <f t="shared" si="118"/>
        <v>1.6E-2</v>
      </c>
      <c r="M308" s="16" t="str">
        <f t="shared" si="119"/>
        <v/>
      </c>
      <c r="S308">
        <f>IF(B308="","",VLOOKUP(Cmt(B308),Sheet2!A:B,2,FALSE))</f>
        <v>200</v>
      </c>
      <c r="T308" s="39">
        <v>9582498</v>
      </c>
      <c r="U308" s="13">
        <f t="shared" si="122"/>
        <v>0.85092667332667327</v>
      </c>
      <c r="W308" s="11"/>
    </row>
    <row r="309" spans="1:23" x14ac:dyDescent="0.2">
      <c r="B309" s="1" t="s">
        <v>356</v>
      </c>
      <c r="C309" s="1">
        <v>-31</v>
      </c>
      <c r="D309" s="1">
        <v>560.6</v>
      </c>
      <c r="E309" s="2">
        <v>43200</v>
      </c>
      <c r="F309" s="26">
        <v>0.59097222222222223</v>
      </c>
      <c r="G309" s="17">
        <v>2.8000000000000001E-2</v>
      </c>
      <c r="H309" s="52">
        <v>1</v>
      </c>
      <c r="I309" s="17">
        <f t="shared" si="118"/>
        <v>2.8000000000000001E-2</v>
      </c>
      <c r="M309" s="16" t="str">
        <f t="shared" si="119"/>
        <v/>
      </c>
      <c r="S309">
        <f>IF(B309="","",VLOOKUP(Cmt(B309),Sheet2!A:B,2,FALSE))</f>
        <v>100</v>
      </c>
      <c r="T309" s="39">
        <f t="shared" si="123"/>
        <v>9582498</v>
      </c>
      <c r="U309" s="13">
        <f t="shared" si="122"/>
        <v>31.907473421334288</v>
      </c>
      <c r="W309" s="11"/>
    </row>
    <row r="310" spans="1:23" x14ac:dyDescent="0.2">
      <c r="A310" s="2">
        <v>43201</v>
      </c>
      <c r="B310" s="1" t="s">
        <v>357</v>
      </c>
      <c r="C310" s="1">
        <v>16</v>
      </c>
      <c r="D310" s="1">
        <v>101720</v>
      </c>
      <c r="E310" s="2">
        <v>43201</v>
      </c>
      <c r="F310" s="26">
        <v>0.88611111111111107</v>
      </c>
      <c r="G310" s="17">
        <v>2.5999999999999999E-2</v>
      </c>
      <c r="H310" s="52">
        <v>1</v>
      </c>
      <c r="I310" s="17">
        <f t="shared" si="118"/>
        <v>2.5999999999999999E-2</v>
      </c>
      <c r="M310" s="16" t="str">
        <f t="shared" si="119"/>
        <v/>
      </c>
      <c r="S310">
        <f>IF(B310="","",VLOOKUP(Cmt(B310),Sheet2!A:B,2,FALSE))</f>
        <v>1</v>
      </c>
      <c r="T310" s="39">
        <f t="shared" si="123"/>
        <v>9582498</v>
      </c>
      <c r="U310" s="13">
        <f t="shared" si="122"/>
        <v>16.328807707432166</v>
      </c>
      <c r="W310" s="11"/>
    </row>
    <row r="311" spans="1:23" x14ac:dyDescent="0.2">
      <c r="B311" s="1" t="s">
        <v>358</v>
      </c>
      <c r="C311" s="1">
        <v>6</v>
      </c>
      <c r="D311" s="1">
        <v>51200</v>
      </c>
      <c r="E311" s="2">
        <v>43201</v>
      </c>
      <c r="F311" s="26">
        <v>0.88611111111111107</v>
      </c>
      <c r="G311" s="17">
        <v>2.3E-2</v>
      </c>
      <c r="H311" s="52">
        <v>1</v>
      </c>
      <c r="I311" s="17">
        <f t="shared" si="118"/>
        <v>2.3E-2</v>
      </c>
      <c r="M311" s="16" t="str">
        <f t="shared" si="119"/>
        <v/>
      </c>
      <c r="S311">
        <f>IF(B311="","",VLOOKUP(Cmt(B311),Sheet2!A:B,2,FALSE))</f>
        <v>5</v>
      </c>
      <c r="T311" s="39">
        <f t="shared" si="123"/>
        <v>9582498</v>
      </c>
      <c r="U311" s="13">
        <f t="shared" si="122"/>
        <v>5.7395170312500001</v>
      </c>
      <c r="W311" s="11"/>
    </row>
    <row r="312" spans="1:23" x14ac:dyDescent="0.2">
      <c r="I312" s="17" t="str">
        <f t="shared" si="118"/>
        <v/>
      </c>
      <c r="M312" s="16" t="str">
        <f t="shared" si="119"/>
        <v/>
      </c>
      <c r="S312" t="str">
        <f>IF(B312="","",VLOOKUP(Cmt(B312),Sheet2!A:B,2,FALSE))</f>
        <v/>
      </c>
      <c r="T312" s="39" t="str">
        <f t="shared" si="123"/>
        <v/>
      </c>
      <c r="U312" s="13" t="str">
        <f t="shared" si="122"/>
        <v/>
      </c>
      <c r="W312" s="11"/>
    </row>
    <row r="313" spans="1:23" x14ac:dyDescent="0.2">
      <c r="I313" s="17" t="str">
        <f t="shared" si="118"/>
        <v/>
      </c>
      <c r="M313" s="16" t="str">
        <f t="shared" si="119"/>
        <v/>
      </c>
      <c r="S313" t="str">
        <f>IF(B313="","",VLOOKUP(Cmt(B313),Sheet2!A:B,2,FALSE))</f>
        <v/>
      </c>
      <c r="T313" s="39" t="str">
        <f t="shared" si="123"/>
        <v/>
      </c>
      <c r="U313" s="13" t="str">
        <f t="shared" si="122"/>
        <v/>
      </c>
      <c r="W313" s="11"/>
    </row>
    <row r="314" spans="1:23" x14ac:dyDescent="0.2">
      <c r="I314" s="17" t="str">
        <f t="shared" si="118"/>
        <v/>
      </c>
      <c r="M314" s="16" t="str">
        <f t="shared" si="119"/>
        <v/>
      </c>
      <c r="S314" t="str">
        <f>IF(B314="","",VLOOKUP(Cmt(B314),Sheet2!A:B,2,FALSE))</f>
        <v/>
      </c>
      <c r="T314" s="39" t="str">
        <f t="shared" si="123"/>
        <v/>
      </c>
      <c r="U314" s="13" t="str">
        <f t="shared" si="122"/>
        <v/>
      </c>
      <c r="W314" s="11"/>
    </row>
    <row r="315" spans="1:23" x14ac:dyDescent="0.2">
      <c r="I315" s="17" t="str">
        <f t="shared" si="118"/>
        <v/>
      </c>
      <c r="M315" s="16" t="str">
        <f t="shared" si="119"/>
        <v/>
      </c>
      <c r="S315" t="str">
        <f>IF(B315="","",VLOOKUP(Cmt(B315),Sheet2!A:B,2,FALSE))</f>
        <v/>
      </c>
      <c r="T315" s="39" t="str">
        <f t="shared" si="123"/>
        <v/>
      </c>
      <c r="U315" s="13" t="str">
        <f t="shared" si="122"/>
        <v/>
      </c>
      <c r="W315" s="11"/>
    </row>
    <row r="316" spans="1:23" x14ac:dyDescent="0.2">
      <c r="I316" s="17" t="str">
        <f t="shared" si="118"/>
        <v/>
      </c>
      <c r="M316" s="16" t="str">
        <f t="shared" si="119"/>
        <v/>
      </c>
      <c r="S316" t="str">
        <f>IF(B316="","",VLOOKUP(Cmt(B316),Sheet2!A:B,2,FALSE))</f>
        <v/>
      </c>
      <c r="T316" s="39" t="str">
        <f t="shared" si="123"/>
        <v/>
      </c>
      <c r="U316" s="13" t="str">
        <f t="shared" si="122"/>
        <v/>
      </c>
      <c r="W316" s="11"/>
    </row>
    <row r="317" spans="1:23" x14ac:dyDescent="0.2">
      <c r="I317" s="17" t="str">
        <f t="shared" si="118"/>
        <v/>
      </c>
      <c r="M317" s="16" t="str">
        <f t="shared" si="119"/>
        <v/>
      </c>
      <c r="S317" t="str">
        <f>IF(B317="","",VLOOKUP(Cmt(B317),Sheet2!A:B,2,FALSE))</f>
        <v/>
      </c>
      <c r="T317" s="39" t="str">
        <f t="shared" si="123"/>
        <v/>
      </c>
      <c r="U317" s="13" t="str">
        <f t="shared" si="122"/>
        <v/>
      </c>
      <c r="W317" s="11"/>
    </row>
    <row r="318" spans="1:23" x14ac:dyDescent="0.2">
      <c r="I318" s="17" t="str">
        <f t="shared" si="118"/>
        <v/>
      </c>
      <c r="M318" s="16" t="str">
        <f t="shared" si="119"/>
        <v/>
      </c>
      <c r="S318" t="str">
        <f>IF(B318="","",VLOOKUP(Cmt(B318),Sheet2!A:B,2,FALSE))</f>
        <v/>
      </c>
      <c r="T318" s="39" t="str">
        <f t="shared" si="123"/>
        <v/>
      </c>
      <c r="U318" s="13" t="str">
        <f t="shared" si="122"/>
        <v/>
      </c>
      <c r="W318" s="11"/>
    </row>
    <row r="319" spans="1:23" x14ac:dyDescent="0.2">
      <c r="I319" s="17" t="str">
        <f t="shared" si="118"/>
        <v/>
      </c>
      <c r="M319" s="16" t="str">
        <f t="shared" si="119"/>
        <v/>
      </c>
      <c r="S319" t="str">
        <f>IF(B319="","",VLOOKUP(Cmt(B319),Sheet2!A:B,2,FALSE))</f>
        <v/>
      </c>
      <c r="T319" s="39" t="str">
        <f t="shared" si="123"/>
        <v/>
      </c>
      <c r="U319" s="13" t="str">
        <f t="shared" si="122"/>
        <v/>
      </c>
      <c r="W319" s="11"/>
    </row>
    <row r="320" spans="1:23" x14ac:dyDescent="0.2">
      <c r="I320" s="17" t="str">
        <f t="shared" si="118"/>
        <v/>
      </c>
      <c r="M320" s="16" t="str">
        <f t="shared" si="119"/>
        <v/>
      </c>
      <c r="S320" t="str">
        <f>IF(B320="","",VLOOKUP(Cmt(B320),Sheet2!A:B,2,FALSE))</f>
        <v/>
      </c>
      <c r="T320" s="39" t="str">
        <f t="shared" si="123"/>
        <v/>
      </c>
      <c r="U320" s="13" t="str">
        <f t="shared" si="122"/>
        <v/>
      </c>
      <c r="W320" s="11"/>
    </row>
    <row r="321" spans="9:23" x14ac:dyDescent="0.2">
      <c r="I321" s="17" t="str">
        <f t="shared" si="118"/>
        <v/>
      </c>
      <c r="M321" s="16" t="str">
        <f t="shared" si="119"/>
        <v/>
      </c>
      <c r="S321" t="str">
        <f>IF(B321="","",VLOOKUP(Cmt(B321),Sheet2!A:B,2,FALSE))</f>
        <v/>
      </c>
      <c r="T321" s="39" t="str">
        <f t="shared" si="123"/>
        <v/>
      </c>
      <c r="U321" s="13" t="str">
        <f t="shared" si="122"/>
        <v/>
      </c>
      <c r="W321" s="11"/>
    </row>
    <row r="322" spans="9:23" x14ac:dyDescent="0.2">
      <c r="I322" s="17" t="str">
        <f t="shared" si="118"/>
        <v/>
      </c>
      <c r="M322" s="16" t="str">
        <f t="shared" si="119"/>
        <v/>
      </c>
      <c r="S322" t="str">
        <f>IF(B322="","",VLOOKUP(Cmt(B322),Sheet2!A:B,2,FALSE))</f>
        <v/>
      </c>
      <c r="T322" s="39" t="str">
        <f t="shared" si="123"/>
        <v/>
      </c>
      <c r="U322" s="13" t="str">
        <f t="shared" si="122"/>
        <v/>
      </c>
      <c r="W322" s="11"/>
    </row>
    <row r="323" spans="9:23" x14ac:dyDescent="0.2">
      <c r="I323" s="17" t="str">
        <f t="shared" si="118"/>
        <v/>
      </c>
      <c r="M323" s="16" t="str">
        <f t="shared" si="119"/>
        <v/>
      </c>
      <c r="S323" t="str">
        <f>IF(B323="","",VLOOKUP(Cmt(B323),Sheet2!A:B,2,FALSE))</f>
        <v/>
      </c>
      <c r="T323" s="39" t="str">
        <f t="shared" si="123"/>
        <v/>
      </c>
      <c r="U323" s="13" t="str">
        <f t="shared" si="122"/>
        <v/>
      </c>
      <c r="W323" s="11"/>
    </row>
    <row r="324" spans="9:23" x14ac:dyDescent="0.2">
      <c r="I324" s="17" t="str">
        <f t="shared" si="118"/>
        <v/>
      </c>
      <c r="M324" s="16" t="str">
        <f t="shared" si="119"/>
        <v/>
      </c>
      <c r="S324" t="str">
        <f>IF(B324="","",VLOOKUP(Cmt(B324),Sheet2!A:B,2,FALSE))</f>
        <v/>
      </c>
      <c r="T324" s="39" t="str">
        <f t="shared" si="123"/>
        <v/>
      </c>
      <c r="U324" s="13" t="str">
        <f t="shared" si="122"/>
        <v/>
      </c>
      <c r="W324" s="11"/>
    </row>
    <row r="325" spans="9:23" x14ac:dyDescent="0.2">
      <c r="I325" s="17" t="str">
        <f t="shared" si="118"/>
        <v/>
      </c>
      <c r="M325" s="16" t="str">
        <f t="shared" si="119"/>
        <v/>
      </c>
      <c r="S325" t="str">
        <f>IF(B325="","",VLOOKUP(Cmt(B325),Sheet2!A:B,2,FALSE))</f>
        <v/>
      </c>
      <c r="T325" s="39" t="str">
        <f t="shared" si="123"/>
        <v/>
      </c>
      <c r="U325" s="13" t="str">
        <f t="shared" si="122"/>
        <v/>
      </c>
      <c r="W325" s="11"/>
    </row>
    <row r="326" spans="9:23" x14ac:dyDescent="0.2">
      <c r="I326" s="17" t="str">
        <f t="shared" si="118"/>
        <v/>
      </c>
      <c r="M326" s="16" t="str">
        <f t="shared" si="119"/>
        <v/>
      </c>
      <c r="S326" t="str">
        <f>IF(B326="","",VLOOKUP(Cmt(B326),Sheet2!A:B,2,FALSE))</f>
        <v/>
      </c>
      <c r="T326" s="39" t="str">
        <f t="shared" si="123"/>
        <v/>
      </c>
      <c r="U326" s="13" t="str">
        <f t="shared" si="122"/>
        <v/>
      </c>
      <c r="W326" s="11"/>
    </row>
    <row r="327" spans="9:23" x14ac:dyDescent="0.2">
      <c r="I327" s="17" t="str">
        <f t="shared" si="118"/>
        <v/>
      </c>
      <c r="M327" s="16" t="str">
        <f t="shared" si="119"/>
        <v/>
      </c>
      <c r="S327" t="str">
        <f>IF(B327="","",VLOOKUP(Cmt(B327),Sheet2!A:B,2,FALSE))</f>
        <v/>
      </c>
      <c r="T327" s="39" t="str">
        <f t="shared" si="123"/>
        <v/>
      </c>
      <c r="U327" s="13" t="str">
        <f t="shared" si="122"/>
        <v/>
      </c>
      <c r="W327" s="11"/>
    </row>
    <row r="328" spans="9:23" x14ac:dyDescent="0.2">
      <c r="I328" s="17" t="str">
        <f t="shared" si="118"/>
        <v/>
      </c>
      <c r="M328" s="16" t="str">
        <f t="shared" si="119"/>
        <v/>
      </c>
      <c r="S328" t="str">
        <f>IF(B328="","",VLOOKUP(Cmt(B328),Sheet2!A:B,2,FALSE))</f>
        <v/>
      </c>
      <c r="T328" s="39" t="str">
        <f t="shared" si="123"/>
        <v/>
      </c>
      <c r="U328" s="13" t="str">
        <f t="shared" si="122"/>
        <v/>
      </c>
      <c r="W328" s="11"/>
    </row>
    <row r="329" spans="9:23" x14ac:dyDescent="0.2">
      <c r="I329" s="17" t="str">
        <f t="shared" si="118"/>
        <v/>
      </c>
      <c r="M329" s="16" t="str">
        <f t="shared" si="119"/>
        <v/>
      </c>
      <c r="S329" t="str">
        <f>IF(B329="","",VLOOKUP(Cmt(B329),Sheet2!A:B,2,FALSE))</f>
        <v/>
      </c>
      <c r="T329" s="39" t="str">
        <f t="shared" si="123"/>
        <v/>
      </c>
      <c r="U329" s="13" t="str">
        <f t="shared" si="122"/>
        <v/>
      </c>
      <c r="W329" s="11"/>
    </row>
    <row r="330" spans="9:23" x14ac:dyDescent="0.2">
      <c r="I330" s="17" t="str">
        <f t="shared" si="118"/>
        <v/>
      </c>
      <c r="M330" s="16" t="str">
        <f t="shared" si="119"/>
        <v/>
      </c>
      <c r="S330" t="str">
        <f>IF(B330="","",VLOOKUP(Cmt(B330),Sheet2!A:B,2,FALSE))</f>
        <v/>
      </c>
      <c r="T330" s="39" t="str">
        <f t="shared" si="123"/>
        <v/>
      </c>
      <c r="U330" s="13" t="str">
        <f t="shared" si="122"/>
        <v/>
      </c>
      <c r="W330" s="11"/>
    </row>
    <row r="331" spans="9:23" x14ac:dyDescent="0.2">
      <c r="I331" s="17" t="str">
        <f t="shared" si="118"/>
        <v/>
      </c>
      <c r="M331" s="16" t="str">
        <f t="shared" si="119"/>
        <v/>
      </c>
      <c r="S331" t="str">
        <f>IF(B331="","",VLOOKUP(Cmt(B331),Sheet2!A:B,2,FALSE))</f>
        <v/>
      </c>
      <c r="T331" s="39" t="str">
        <f t="shared" si="123"/>
        <v/>
      </c>
      <c r="U331" s="13" t="str">
        <f t="shared" si="122"/>
        <v/>
      </c>
      <c r="W331" s="11"/>
    </row>
    <row r="332" spans="9:23" x14ac:dyDescent="0.2">
      <c r="I332" s="17" t="str">
        <f t="shared" si="118"/>
        <v/>
      </c>
      <c r="M332" s="16" t="str">
        <f t="shared" si="119"/>
        <v/>
      </c>
      <c r="S332" t="str">
        <f>IF(B332="","",VLOOKUP(Cmt(B332),Sheet2!A:B,2,FALSE))</f>
        <v/>
      </c>
      <c r="T332" s="39" t="str">
        <f t="shared" si="123"/>
        <v/>
      </c>
      <c r="U332" s="13" t="str">
        <f t="shared" si="122"/>
        <v/>
      </c>
      <c r="W332" s="11"/>
    </row>
    <row r="333" spans="9:23" x14ac:dyDescent="0.2">
      <c r="I333" s="17" t="str">
        <f t="shared" si="118"/>
        <v/>
      </c>
      <c r="M333" s="16" t="str">
        <f t="shared" si="119"/>
        <v/>
      </c>
      <c r="S333" t="str">
        <f>IF(B333="","",VLOOKUP(Cmt(B333),Sheet2!A:B,2,FALSE))</f>
        <v/>
      </c>
      <c r="T333" s="39" t="str">
        <f t="shared" si="123"/>
        <v/>
      </c>
      <c r="U333" s="13" t="str">
        <f t="shared" si="122"/>
        <v/>
      </c>
      <c r="W333" s="11"/>
    </row>
    <row r="334" spans="9:23" x14ac:dyDescent="0.2">
      <c r="I334" s="17" t="str">
        <f t="shared" si="118"/>
        <v/>
      </c>
      <c r="M334" s="16" t="str">
        <f t="shared" si="119"/>
        <v/>
      </c>
      <c r="S334" t="str">
        <f>IF(B334="","",VLOOKUP(Cmt(B334),Sheet2!A:B,2,FALSE))</f>
        <v/>
      </c>
      <c r="T334" s="39" t="str">
        <f t="shared" si="123"/>
        <v/>
      </c>
      <c r="U334" s="13" t="str">
        <f t="shared" si="122"/>
        <v/>
      </c>
      <c r="W334" s="11"/>
    </row>
    <row r="335" spans="9:23" x14ac:dyDescent="0.2">
      <c r="I335" s="17" t="str">
        <f t="shared" si="118"/>
        <v/>
      </c>
      <c r="M335" s="16" t="str">
        <f t="shared" si="119"/>
        <v/>
      </c>
      <c r="S335" t="str">
        <f>IF(B335="","",VLOOKUP(Cmt(B335),Sheet2!A:B,2,FALSE))</f>
        <v/>
      </c>
      <c r="T335" s="39" t="str">
        <f t="shared" si="123"/>
        <v/>
      </c>
      <c r="U335" s="13" t="str">
        <f t="shared" si="122"/>
        <v/>
      </c>
      <c r="W335" s="11"/>
    </row>
    <row r="336" spans="9:23" x14ac:dyDescent="0.2">
      <c r="I336" s="17" t="str">
        <f t="shared" si="118"/>
        <v/>
      </c>
      <c r="M336" s="16" t="str">
        <f t="shared" si="119"/>
        <v/>
      </c>
      <c r="S336" t="str">
        <f>IF(B336="","",VLOOKUP(Cmt(B336),Sheet2!A:B,2,FALSE))</f>
        <v/>
      </c>
      <c r="T336" s="39" t="str">
        <f t="shared" si="123"/>
        <v/>
      </c>
      <c r="U336" s="13" t="str">
        <f t="shared" si="122"/>
        <v/>
      </c>
      <c r="W336" s="11"/>
    </row>
    <row r="337" spans="9:23" x14ac:dyDescent="0.2">
      <c r="I337" s="17" t="str">
        <f t="shared" si="118"/>
        <v/>
      </c>
      <c r="M337" s="16" t="str">
        <f t="shared" si="119"/>
        <v/>
      </c>
      <c r="S337" t="str">
        <f>IF(B337="","",VLOOKUP(Cmt(B337),Sheet2!A:B,2,FALSE))</f>
        <v/>
      </c>
      <c r="T337" s="39" t="str">
        <f t="shared" si="123"/>
        <v/>
      </c>
      <c r="U337" s="13" t="str">
        <f t="shared" si="122"/>
        <v/>
      </c>
      <c r="W337" s="11"/>
    </row>
    <row r="338" spans="9:23" x14ac:dyDescent="0.2">
      <c r="I338" s="17" t="str">
        <f t="shared" si="118"/>
        <v/>
      </c>
      <c r="M338" s="16" t="str">
        <f t="shared" si="119"/>
        <v/>
      </c>
      <c r="S338" t="str">
        <f>IF(B338="","",VLOOKUP(Cmt(B338),Sheet2!A:B,2,FALSE))</f>
        <v/>
      </c>
      <c r="T338" s="39" t="str">
        <f t="shared" si="123"/>
        <v/>
      </c>
      <c r="U338" s="13" t="str">
        <f t="shared" si="122"/>
        <v/>
      </c>
      <c r="W338" s="11"/>
    </row>
    <row r="339" spans="9:23" x14ac:dyDescent="0.2">
      <c r="I339" s="17" t="str">
        <f t="shared" si="118"/>
        <v/>
      </c>
      <c r="M339" s="16" t="str">
        <f t="shared" si="119"/>
        <v/>
      </c>
      <c r="S339" t="str">
        <f>IF(B339="","",VLOOKUP(Cmt(B339),Sheet2!A:B,2,FALSE))</f>
        <v/>
      </c>
      <c r="T339" s="39" t="str">
        <f t="shared" si="123"/>
        <v/>
      </c>
      <c r="U339" s="13" t="str">
        <f t="shared" si="122"/>
        <v/>
      </c>
      <c r="W339" s="11"/>
    </row>
    <row r="340" spans="9:23" x14ac:dyDescent="0.2">
      <c r="I340" s="17" t="str">
        <f t="shared" ref="I340:I371" si="125">IF(G340="","",G340*H340)</f>
        <v/>
      </c>
      <c r="M340" s="16" t="str">
        <f t="shared" si="119"/>
        <v/>
      </c>
      <c r="S340" t="str">
        <f>IF(B340="","",VLOOKUP(Cmt(B340),Sheet2!A:B,2,FALSE))</f>
        <v/>
      </c>
      <c r="T340" s="39" t="str">
        <f t="shared" si="123"/>
        <v/>
      </c>
      <c r="U340" s="13" t="str">
        <f t="shared" si="122"/>
        <v/>
      </c>
      <c r="W340" s="11"/>
    </row>
    <row r="341" spans="9:23" x14ac:dyDescent="0.2">
      <c r="I341" s="17" t="str">
        <f t="shared" si="125"/>
        <v/>
      </c>
      <c r="M341" s="16" t="str">
        <f t="shared" ref="M341:M371" si="126">IF(J341="","",C341*(J341-D341)*S341)</f>
        <v/>
      </c>
      <c r="S341" t="str">
        <f>IF(B341="","",VLOOKUP(Cmt(B341),Sheet2!A:B,2,FALSE))</f>
        <v/>
      </c>
      <c r="T341" s="39" t="str">
        <f t="shared" si="123"/>
        <v/>
      </c>
      <c r="U341" s="13" t="str">
        <f t="shared" si="122"/>
        <v/>
      </c>
      <c r="W341" s="11"/>
    </row>
    <row r="342" spans="9:23" x14ac:dyDescent="0.2">
      <c r="I342" s="17" t="str">
        <f t="shared" si="125"/>
        <v/>
      </c>
      <c r="M342" s="16" t="str">
        <f t="shared" si="126"/>
        <v/>
      </c>
      <c r="S342" t="str">
        <f>IF(B342="","",VLOOKUP(Cmt(B342),Sheet2!A:B,2,FALSE))</f>
        <v/>
      </c>
      <c r="T342" s="39" t="str">
        <f t="shared" si="123"/>
        <v/>
      </c>
      <c r="U342" s="13" t="str">
        <f t="shared" si="122"/>
        <v/>
      </c>
      <c r="W342" s="11"/>
    </row>
    <row r="343" spans="9:23" x14ac:dyDescent="0.2">
      <c r="I343" s="17" t="str">
        <f t="shared" si="125"/>
        <v/>
      </c>
      <c r="M343" s="16" t="str">
        <f t="shared" si="126"/>
        <v/>
      </c>
      <c r="S343" t="str">
        <f>IF(B343="","",VLOOKUP(Cmt(B343),Sheet2!A:B,2,FALSE))</f>
        <v/>
      </c>
      <c r="T343" s="39" t="str">
        <f t="shared" si="123"/>
        <v/>
      </c>
      <c r="U343" s="13" t="str">
        <f t="shared" si="122"/>
        <v/>
      </c>
      <c r="W343" s="11"/>
    </row>
    <row r="344" spans="9:23" x14ac:dyDescent="0.2">
      <c r="I344" s="17" t="str">
        <f t="shared" si="125"/>
        <v/>
      </c>
      <c r="M344" s="16" t="str">
        <f t="shared" si="126"/>
        <v/>
      </c>
      <c r="S344" t="str">
        <f>IF(B344="","",VLOOKUP(Cmt(B344),Sheet2!A:B,2,FALSE))</f>
        <v/>
      </c>
      <c r="T344" s="39" t="str">
        <f t="shared" si="123"/>
        <v/>
      </c>
      <c r="U344" s="13" t="str">
        <f t="shared" si="122"/>
        <v/>
      </c>
      <c r="W344" s="11"/>
    </row>
    <row r="345" spans="9:23" x14ac:dyDescent="0.2">
      <c r="I345" s="17" t="str">
        <f t="shared" si="125"/>
        <v/>
      </c>
      <c r="M345" s="16" t="str">
        <f t="shared" si="126"/>
        <v/>
      </c>
      <c r="S345" t="str">
        <f>IF(B345="","",VLOOKUP(Cmt(B345),Sheet2!A:B,2,FALSE))</f>
        <v/>
      </c>
      <c r="T345" s="39" t="str">
        <f t="shared" si="123"/>
        <v/>
      </c>
      <c r="U345" s="13" t="str">
        <f t="shared" si="122"/>
        <v/>
      </c>
      <c r="W345" s="11"/>
    </row>
    <row r="346" spans="9:23" x14ac:dyDescent="0.2">
      <c r="I346" s="17" t="str">
        <f t="shared" si="125"/>
        <v/>
      </c>
      <c r="M346" s="16" t="str">
        <f t="shared" si="126"/>
        <v/>
      </c>
      <c r="S346" t="str">
        <f>IF(B346="","",VLOOKUP(Cmt(B346),Sheet2!A:B,2,FALSE))</f>
        <v/>
      </c>
      <c r="T346" s="39" t="str">
        <f t="shared" si="123"/>
        <v/>
      </c>
      <c r="U346" s="13" t="str">
        <f t="shared" si="122"/>
        <v/>
      </c>
      <c r="W346" s="11"/>
    </row>
    <row r="347" spans="9:23" x14ac:dyDescent="0.2">
      <c r="I347" s="17" t="str">
        <f t="shared" si="125"/>
        <v/>
      </c>
      <c r="M347" s="16" t="str">
        <f t="shared" si="126"/>
        <v/>
      </c>
      <c r="S347" t="str">
        <f>IF(B347="","",VLOOKUP(Cmt(B347),Sheet2!A:B,2,FALSE))</f>
        <v/>
      </c>
      <c r="T347" s="39" t="str">
        <f t="shared" si="123"/>
        <v/>
      </c>
      <c r="U347" s="13" t="str">
        <f t="shared" si="122"/>
        <v/>
      </c>
      <c r="W347" s="11"/>
    </row>
    <row r="348" spans="9:23" x14ac:dyDescent="0.2">
      <c r="I348" s="17" t="str">
        <f t="shared" si="125"/>
        <v/>
      </c>
      <c r="M348" s="16" t="str">
        <f t="shared" si="126"/>
        <v/>
      </c>
      <c r="S348" t="str">
        <f>IF(B348="","",VLOOKUP(Cmt(B348),Sheet2!A:B,2,FALSE))</f>
        <v/>
      </c>
      <c r="T348" s="39" t="str">
        <f t="shared" si="123"/>
        <v/>
      </c>
      <c r="U348" s="13" t="str">
        <f t="shared" si="122"/>
        <v/>
      </c>
      <c r="W348" s="11"/>
    </row>
    <row r="349" spans="9:23" x14ac:dyDescent="0.2">
      <c r="I349" s="17" t="str">
        <f t="shared" si="125"/>
        <v/>
      </c>
      <c r="M349" s="16" t="str">
        <f t="shared" si="126"/>
        <v/>
      </c>
      <c r="S349" t="str">
        <f>IF(B349="","",VLOOKUP(Cmt(B349),Sheet2!A:B,2,FALSE))</f>
        <v/>
      </c>
      <c r="T349" s="39" t="str">
        <f t="shared" si="123"/>
        <v/>
      </c>
      <c r="U349" s="13" t="str">
        <f t="shared" ref="U349:U371" si="127">IF(S349="","",T349*I349/(D349*S349*0.15))</f>
        <v/>
      </c>
      <c r="W349" s="11"/>
    </row>
    <row r="350" spans="9:23" x14ac:dyDescent="0.2">
      <c r="I350" s="17" t="str">
        <f t="shared" si="125"/>
        <v/>
      </c>
      <c r="M350" s="16" t="str">
        <f t="shared" si="126"/>
        <v/>
      </c>
      <c r="S350" t="str">
        <f>IF(B350="","",VLOOKUP(Cmt(B350),Sheet2!A:B,2,FALSE))</f>
        <v/>
      </c>
      <c r="T350" s="39" t="str">
        <f t="shared" si="123"/>
        <v/>
      </c>
      <c r="U350" s="13" t="str">
        <f t="shared" si="127"/>
        <v/>
      </c>
      <c r="W350" s="11"/>
    </row>
    <row r="351" spans="9:23" x14ac:dyDescent="0.2">
      <c r="I351" s="17" t="str">
        <f t="shared" si="125"/>
        <v/>
      </c>
      <c r="M351" s="16" t="str">
        <f t="shared" si="126"/>
        <v/>
      </c>
      <c r="S351" t="str">
        <f>IF(B351="","",VLOOKUP(Cmt(B351),Sheet2!A:B,2,FALSE))</f>
        <v/>
      </c>
      <c r="T351" s="39" t="str">
        <f t="shared" ref="T351:T371" si="128">IF(S351="","",T350)</f>
        <v/>
      </c>
      <c r="U351" s="13" t="str">
        <f t="shared" si="127"/>
        <v/>
      </c>
      <c r="W351" s="11"/>
    </row>
    <row r="352" spans="9:23" x14ac:dyDescent="0.2">
      <c r="I352" s="17" t="str">
        <f t="shared" si="125"/>
        <v/>
      </c>
      <c r="M352" s="16" t="str">
        <f t="shared" si="126"/>
        <v/>
      </c>
      <c r="S352" t="str">
        <f>IF(B352="","",VLOOKUP(Cmt(B352),Sheet2!A:B,2,FALSE))</f>
        <v/>
      </c>
      <c r="T352" s="39" t="str">
        <f t="shared" si="128"/>
        <v/>
      </c>
      <c r="U352" s="13" t="str">
        <f t="shared" si="127"/>
        <v/>
      </c>
      <c r="W352" s="11"/>
    </row>
    <row r="353" spans="9:23" x14ac:dyDescent="0.2">
      <c r="I353" s="17" t="str">
        <f t="shared" si="125"/>
        <v/>
      </c>
      <c r="M353" s="16" t="str">
        <f t="shared" si="126"/>
        <v/>
      </c>
      <c r="S353" t="str">
        <f>IF(B353="","",VLOOKUP(Cmt(B353),Sheet2!A:B,2,FALSE))</f>
        <v/>
      </c>
      <c r="T353" s="39" t="str">
        <f t="shared" si="128"/>
        <v/>
      </c>
      <c r="U353" s="13" t="str">
        <f t="shared" si="127"/>
        <v/>
      </c>
      <c r="W353" s="11"/>
    </row>
    <row r="354" spans="9:23" x14ac:dyDescent="0.2">
      <c r="I354" s="17" t="str">
        <f t="shared" si="125"/>
        <v/>
      </c>
      <c r="M354" s="16" t="str">
        <f t="shared" si="126"/>
        <v/>
      </c>
      <c r="S354" t="str">
        <f>IF(B354="","",VLOOKUP(Cmt(B354),Sheet2!A:B,2,FALSE))</f>
        <v/>
      </c>
      <c r="T354" s="39" t="str">
        <f t="shared" si="128"/>
        <v/>
      </c>
      <c r="U354" s="13" t="str">
        <f t="shared" si="127"/>
        <v/>
      </c>
      <c r="W354" s="11"/>
    </row>
    <row r="355" spans="9:23" x14ac:dyDescent="0.2">
      <c r="I355" s="17" t="str">
        <f t="shared" si="125"/>
        <v/>
      </c>
      <c r="M355" s="16" t="str">
        <f t="shared" si="126"/>
        <v/>
      </c>
      <c r="S355" t="str">
        <f>IF(B355="","",VLOOKUP(Cmt(B355),Sheet2!A:B,2,FALSE))</f>
        <v/>
      </c>
      <c r="T355" s="39" t="str">
        <f t="shared" si="128"/>
        <v/>
      </c>
      <c r="U355" s="13" t="str">
        <f t="shared" si="127"/>
        <v/>
      </c>
      <c r="W355" s="11"/>
    </row>
    <row r="356" spans="9:23" x14ac:dyDescent="0.2">
      <c r="I356" s="17" t="str">
        <f t="shared" si="125"/>
        <v/>
      </c>
      <c r="M356" s="16" t="str">
        <f t="shared" si="126"/>
        <v/>
      </c>
      <c r="S356" t="str">
        <f>IF(B356="","",VLOOKUP(Cmt(B356),Sheet2!A:B,2,FALSE))</f>
        <v/>
      </c>
      <c r="T356" s="39" t="str">
        <f t="shared" si="128"/>
        <v/>
      </c>
      <c r="U356" s="13" t="str">
        <f t="shared" si="127"/>
        <v/>
      </c>
      <c r="W356" s="11"/>
    </row>
    <row r="357" spans="9:23" x14ac:dyDescent="0.2">
      <c r="I357" s="17" t="str">
        <f t="shared" si="125"/>
        <v/>
      </c>
      <c r="M357" s="16" t="str">
        <f t="shared" si="126"/>
        <v/>
      </c>
      <c r="S357" t="str">
        <f>IF(B357="","",VLOOKUP(Cmt(B357),Sheet2!A:B,2,FALSE))</f>
        <v/>
      </c>
      <c r="T357" s="39" t="str">
        <f t="shared" si="128"/>
        <v/>
      </c>
      <c r="U357" s="13" t="str">
        <f t="shared" si="127"/>
        <v/>
      </c>
      <c r="W357" s="11"/>
    </row>
    <row r="358" spans="9:23" x14ac:dyDescent="0.2">
      <c r="I358" s="17" t="str">
        <f t="shared" si="125"/>
        <v/>
      </c>
      <c r="M358" s="16" t="str">
        <f t="shared" si="126"/>
        <v/>
      </c>
      <c r="S358" t="str">
        <f>IF(B358="","",VLOOKUP(Cmt(B358),Sheet2!A:B,2,FALSE))</f>
        <v/>
      </c>
      <c r="T358" s="39" t="str">
        <f t="shared" si="128"/>
        <v/>
      </c>
      <c r="U358" s="13" t="str">
        <f t="shared" si="127"/>
        <v/>
      </c>
      <c r="W358" s="11"/>
    </row>
    <row r="359" spans="9:23" x14ac:dyDescent="0.2">
      <c r="I359" s="17" t="str">
        <f t="shared" si="125"/>
        <v/>
      </c>
      <c r="M359" s="16" t="str">
        <f t="shared" si="126"/>
        <v/>
      </c>
      <c r="S359" t="str">
        <f>IF(B359="","",VLOOKUP(Cmt(B359),Sheet2!A:B,2,FALSE))</f>
        <v/>
      </c>
      <c r="T359" s="39" t="str">
        <f t="shared" si="128"/>
        <v/>
      </c>
      <c r="U359" s="13" t="str">
        <f t="shared" si="127"/>
        <v/>
      </c>
      <c r="W359" s="11"/>
    </row>
    <row r="360" spans="9:23" x14ac:dyDescent="0.2">
      <c r="I360" s="17" t="str">
        <f t="shared" si="125"/>
        <v/>
      </c>
      <c r="M360" s="16" t="str">
        <f t="shared" si="126"/>
        <v/>
      </c>
      <c r="S360" t="str">
        <f>IF(B360="","",VLOOKUP(Cmt(B360),Sheet2!A:B,2,FALSE))</f>
        <v/>
      </c>
      <c r="T360" s="39" t="str">
        <f t="shared" si="128"/>
        <v/>
      </c>
      <c r="U360" s="13" t="str">
        <f t="shared" si="127"/>
        <v/>
      </c>
      <c r="W360" s="11"/>
    </row>
    <row r="361" spans="9:23" x14ac:dyDescent="0.2">
      <c r="I361" s="17" t="str">
        <f t="shared" si="125"/>
        <v/>
      </c>
      <c r="M361" s="16" t="str">
        <f t="shared" si="126"/>
        <v/>
      </c>
      <c r="S361" t="str">
        <f>IF(B361="","",VLOOKUP(Cmt(B361),Sheet2!A:B,2,FALSE))</f>
        <v/>
      </c>
      <c r="T361" s="39" t="str">
        <f t="shared" si="128"/>
        <v/>
      </c>
      <c r="U361" s="13" t="str">
        <f t="shared" si="127"/>
        <v/>
      </c>
      <c r="W361" s="11"/>
    </row>
    <row r="362" spans="9:23" x14ac:dyDescent="0.2">
      <c r="I362" s="17" t="str">
        <f t="shared" si="125"/>
        <v/>
      </c>
      <c r="M362" s="16" t="str">
        <f t="shared" si="126"/>
        <v/>
      </c>
      <c r="S362" t="str">
        <f>IF(B362="","",VLOOKUP(Cmt(B362),Sheet2!A:B,2,FALSE))</f>
        <v/>
      </c>
      <c r="T362" s="39" t="str">
        <f t="shared" si="128"/>
        <v/>
      </c>
      <c r="U362" s="13" t="str">
        <f t="shared" si="127"/>
        <v/>
      </c>
      <c r="W362" s="11"/>
    </row>
    <row r="363" spans="9:23" x14ac:dyDescent="0.2">
      <c r="I363" s="17" t="str">
        <f t="shared" si="125"/>
        <v/>
      </c>
      <c r="M363" s="16" t="str">
        <f t="shared" si="126"/>
        <v/>
      </c>
      <c r="S363" t="str">
        <f>IF(B363="","",VLOOKUP(Cmt(B363),Sheet2!A:B,2,FALSE))</f>
        <v/>
      </c>
      <c r="T363" s="39" t="str">
        <f t="shared" si="128"/>
        <v/>
      </c>
      <c r="U363" s="13" t="str">
        <f t="shared" si="127"/>
        <v/>
      </c>
      <c r="W363" s="11"/>
    </row>
    <row r="364" spans="9:23" x14ac:dyDescent="0.2">
      <c r="I364" s="17" t="str">
        <f t="shared" si="125"/>
        <v/>
      </c>
      <c r="M364" s="16" t="str">
        <f t="shared" si="126"/>
        <v/>
      </c>
      <c r="S364" t="str">
        <f>IF(B364="","",VLOOKUP(Cmt(B364),Sheet2!A:B,2,FALSE))</f>
        <v/>
      </c>
      <c r="T364" s="39" t="str">
        <f t="shared" si="128"/>
        <v/>
      </c>
      <c r="U364" s="13" t="str">
        <f t="shared" si="127"/>
        <v/>
      </c>
      <c r="W364" s="11"/>
    </row>
    <row r="365" spans="9:23" x14ac:dyDescent="0.2">
      <c r="I365" s="17" t="str">
        <f t="shared" si="125"/>
        <v/>
      </c>
      <c r="M365" s="16" t="str">
        <f t="shared" si="126"/>
        <v/>
      </c>
      <c r="S365" t="str">
        <f>IF(B365="","",VLOOKUP(Cmt(B365),Sheet2!A:B,2,FALSE))</f>
        <v/>
      </c>
      <c r="T365" s="39" t="str">
        <f t="shared" si="128"/>
        <v/>
      </c>
      <c r="U365" s="13" t="str">
        <f t="shared" si="127"/>
        <v/>
      </c>
      <c r="W365" s="11"/>
    </row>
    <row r="366" spans="9:23" x14ac:dyDescent="0.2">
      <c r="I366" s="17" t="str">
        <f t="shared" si="125"/>
        <v/>
      </c>
      <c r="M366" s="16" t="str">
        <f t="shared" si="126"/>
        <v/>
      </c>
      <c r="S366" t="str">
        <f>IF(B366="","",VLOOKUP(Cmt(B366),Sheet2!A:B,2,FALSE))</f>
        <v/>
      </c>
      <c r="T366" s="39" t="str">
        <f t="shared" si="128"/>
        <v/>
      </c>
      <c r="U366" s="13" t="str">
        <f t="shared" si="127"/>
        <v/>
      </c>
      <c r="W366" s="11"/>
    </row>
    <row r="367" spans="9:23" x14ac:dyDescent="0.2">
      <c r="I367" s="17" t="str">
        <f t="shared" si="125"/>
        <v/>
      </c>
      <c r="M367" s="16" t="str">
        <f t="shared" si="126"/>
        <v/>
      </c>
      <c r="S367" t="str">
        <f>IF(B367="","",VLOOKUP(Cmt(B367),Sheet2!A:B,2,FALSE))</f>
        <v/>
      </c>
      <c r="T367" s="39" t="str">
        <f t="shared" si="128"/>
        <v/>
      </c>
      <c r="U367" s="13" t="str">
        <f t="shared" si="127"/>
        <v/>
      </c>
      <c r="W367" s="11"/>
    </row>
    <row r="368" spans="9:23" x14ac:dyDescent="0.2">
      <c r="I368" s="17" t="str">
        <f t="shared" si="125"/>
        <v/>
      </c>
      <c r="M368" s="16" t="str">
        <f t="shared" si="126"/>
        <v/>
      </c>
      <c r="S368" t="str">
        <f>IF(B368="","",VLOOKUP(Cmt(B368),Sheet2!A:B,2,FALSE))</f>
        <v/>
      </c>
      <c r="T368" s="39" t="str">
        <f t="shared" si="128"/>
        <v/>
      </c>
      <c r="U368" s="13" t="str">
        <f t="shared" si="127"/>
        <v/>
      </c>
      <c r="W368" s="11"/>
    </row>
    <row r="369" spans="9:23" x14ac:dyDescent="0.2">
      <c r="I369" s="17" t="str">
        <f t="shared" si="125"/>
        <v/>
      </c>
      <c r="M369" s="16" t="str">
        <f t="shared" si="126"/>
        <v/>
      </c>
      <c r="S369" t="str">
        <f>IF(B369="","",VLOOKUP(Cmt(B369),Sheet2!A:B,2,FALSE))</f>
        <v/>
      </c>
      <c r="T369" s="39" t="str">
        <f t="shared" si="128"/>
        <v/>
      </c>
      <c r="U369" s="13" t="str">
        <f t="shared" si="127"/>
        <v/>
      </c>
      <c r="W369" s="11"/>
    </row>
    <row r="370" spans="9:23" x14ac:dyDescent="0.2">
      <c r="I370" s="17" t="str">
        <f t="shared" si="125"/>
        <v/>
      </c>
      <c r="M370" s="16" t="str">
        <f t="shared" si="126"/>
        <v/>
      </c>
      <c r="S370" t="str">
        <f>IF(B370="","",VLOOKUP(Cmt(B370),Sheet2!A:B,2,FALSE))</f>
        <v/>
      </c>
      <c r="T370" s="39" t="str">
        <f t="shared" si="128"/>
        <v/>
      </c>
      <c r="U370" s="13" t="str">
        <f t="shared" si="127"/>
        <v/>
      </c>
      <c r="W370" s="11"/>
    </row>
    <row r="371" spans="9:23" x14ac:dyDescent="0.2">
      <c r="I371" s="17" t="str">
        <f t="shared" si="125"/>
        <v/>
      </c>
      <c r="M371" s="16" t="str">
        <f t="shared" si="126"/>
        <v/>
      </c>
      <c r="S371" t="str">
        <f>IF(B371="","",VLOOKUP(Cmt(B371),Sheet2!A:B,2,FALSE))</f>
        <v/>
      </c>
      <c r="T371" s="39" t="str">
        <f t="shared" si="128"/>
        <v/>
      </c>
      <c r="U371" s="13" t="str">
        <f t="shared" si="127"/>
        <v/>
      </c>
      <c r="W371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4.25" x14ac:dyDescent="0.2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 x14ac:dyDescent="0.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 x14ac:dyDescent="0.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 x14ac:dyDescent="0.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 x14ac:dyDescent="0.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 x14ac:dyDescent="0.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 x14ac:dyDescent="0.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 x14ac:dyDescent="0.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 x14ac:dyDescent="0.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 x14ac:dyDescent="0.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 x14ac:dyDescent="0.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 x14ac:dyDescent="0.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 x14ac:dyDescent="0.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 x14ac:dyDescent="0.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 x14ac:dyDescent="0.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 x14ac:dyDescent="0.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 x14ac:dyDescent="0.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 x14ac:dyDescent="0.2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 x14ac:dyDescent="0.2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 x14ac:dyDescent="0.2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 x14ac:dyDescent="0.2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 x14ac:dyDescent="0.2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 x14ac:dyDescent="0.2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 x14ac:dyDescent="0.2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 x14ac:dyDescent="0.2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 x14ac:dyDescent="0.2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 x14ac:dyDescent="0.2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 x14ac:dyDescent="0.2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 x14ac:dyDescent="0.2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 x14ac:dyDescent="0.2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 x14ac:dyDescent="0.2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 x14ac:dyDescent="0.2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 x14ac:dyDescent="0.2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 x14ac:dyDescent="0.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 x14ac:dyDescent="0.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 x14ac:dyDescent="0.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 x14ac:dyDescent="0.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 x14ac:dyDescent="0.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 x14ac:dyDescent="0.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 x14ac:dyDescent="0.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 x14ac:dyDescent="0.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 x14ac:dyDescent="0.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 x14ac:dyDescent="0.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 x14ac:dyDescent="0.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 x14ac:dyDescent="0.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 x14ac:dyDescent="0.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 x14ac:dyDescent="0.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 x14ac:dyDescent="0.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 x14ac:dyDescent="0.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 x14ac:dyDescent="0.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 x14ac:dyDescent="0.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 x14ac:dyDescent="0.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 x14ac:dyDescent="0.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 x14ac:dyDescent="0.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 x14ac:dyDescent="0.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 x14ac:dyDescent="0.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 x14ac:dyDescent="0.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 x14ac:dyDescent="0.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 x14ac:dyDescent="0.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 x14ac:dyDescent="0.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 x14ac:dyDescent="0.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 x14ac:dyDescent="0.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 x14ac:dyDescent="0.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 x14ac:dyDescent="0.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 x14ac:dyDescent="0.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 x14ac:dyDescent="0.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 x14ac:dyDescent="0.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 x14ac:dyDescent="0.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 x14ac:dyDescent="0.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 x14ac:dyDescent="0.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 x14ac:dyDescent="0.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 x14ac:dyDescent="0.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 x14ac:dyDescent="0.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 x14ac:dyDescent="0.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 x14ac:dyDescent="0.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 x14ac:dyDescent="0.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 x14ac:dyDescent="0.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 x14ac:dyDescent="0.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 x14ac:dyDescent="0.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 x14ac:dyDescent="0.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 x14ac:dyDescent="0.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 x14ac:dyDescent="0.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 x14ac:dyDescent="0.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 x14ac:dyDescent="0.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 x14ac:dyDescent="0.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 x14ac:dyDescent="0.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 x14ac:dyDescent="0.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 x14ac:dyDescent="0.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 x14ac:dyDescent="0.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 x14ac:dyDescent="0.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 x14ac:dyDescent="0.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 x14ac:dyDescent="0.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B53"/>
  <sheetViews>
    <sheetView topLeftCell="A25" workbookViewId="0">
      <selection activeCell="A40" sqref="A40"/>
    </sheetView>
  </sheetViews>
  <sheetFormatPr defaultRowHeight="14.25" x14ac:dyDescent="0.2"/>
  <cols>
    <col min="1" max="1" width="9" style="57" bestFit="1" customWidth="1"/>
    <col min="2" max="2" width="10.5" style="56" bestFit="1" customWidth="1"/>
  </cols>
  <sheetData>
    <row r="1" spans="1:2" x14ac:dyDescent="0.2">
      <c r="A1" s="57" t="s">
        <v>211</v>
      </c>
      <c r="B1" s="56" t="s">
        <v>263</v>
      </c>
    </row>
    <row r="2" spans="1:2" x14ac:dyDescent="0.2">
      <c r="A2" s="57" t="s">
        <v>212</v>
      </c>
      <c r="B2" s="56">
        <v>5</v>
      </c>
    </row>
    <row r="3" spans="1:2" x14ac:dyDescent="0.2">
      <c r="A3" s="57" t="s">
        <v>213</v>
      </c>
      <c r="B3" s="56">
        <v>5</v>
      </c>
    </row>
    <row r="4" spans="1:2" x14ac:dyDescent="0.2">
      <c r="A4" s="57" t="s">
        <v>214</v>
      </c>
      <c r="B4" s="56">
        <v>5</v>
      </c>
    </row>
    <row r="5" spans="1:2" x14ac:dyDescent="0.2">
      <c r="A5" s="57" t="s">
        <v>215</v>
      </c>
      <c r="B5" s="56">
        <v>5</v>
      </c>
    </row>
    <row r="6" spans="1:2" x14ac:dyDescent="0.2">
      <c r="A6" s="57" t="s">
        <v>216</v>
      </c>
      <c r="B6" s="56">
        <v>1</v>
      </c>
    </row>
    <row r="7" spans="1:2" x14ac:dyDescent="0.2">
      <c r="A7" s="57" t="s">
        <v>217</v>
      </c>
      <c r="B7" s="56">
        <v>1</v>
      </c>
    </row>
    <row r="8" spans="1:2" x14ac:dyDescent="0.2">
      <c r="A8" s="57" t="s">
        <v>218</v>
      </c>
      <c r="B8" s="56">
        <v>1000</v>
      </c>
    </row>
    <row r="9" spans="1:2" x14ac:dyDescent="0.2">
      <c r="A9" s="57" t="s">
        <v>219</v>
      </c>
      <c r="B9" s="56">
        <v>15</v>
      </c>
    </row>
    <row r="10" spans="1:2" x14ac:dyDescent="0.2">
      <c r="A10" s="57" t="s">
        <v>220</v>
      </c>
      <c r="B10" s="56">
        <v>10</v>
      </c>
    </row>
    <row r="11" spans="1:2" x14ac:dyDescent="0.2">
      <c r="A11" s="57" t="s">
        <v>221</v>
      </c>
      <c r="B11" s="56">
        <v>10</v>
      </c>
    </row>
    <row r="12" spans="1:2" x14ac:dyDescent="0.2">
      <c r="A12" s="57" t="s">
        <v>222</v>
      </c>
      <c r="B12" s="56">
        <v>10</v>
      </c>
    </row>
    <row r="13" spans="1:2" x14ac:dyDescent="0.2">
      <c r="A13" s="57" t="s">
        <v>223</v>
      </c>
      <c r="B13" s="56">
        <v>50</v>
      </c>
    </row>
    <row r="14" spans="1:2" x14ac:dyDescent="0.2">
      <c r="A14" s="57" t="s">
        <v>224</v>
      </c>
      <c r="B14" s="56">
        <v>10</v>
      </c>
    </row>
    <row r="15" spans="1:2" x14ac:dyDescent="0.2">
      <c r="A15" s="57" t="s">
        <v>225</v>
      </c>
      <c r="B15" s="56">
        <v>10</v>
      </c>
    </row>
    <row r="16" spans="1:2" x14ac:dyDescent="0.2">
      <c r="A16" s="57" t="s">
        <v>226</v>
      </c>
      <c r="B16" s="56">
        <v>20</v>
      </c>
    </row>
    <row r="17" spans="1:2" x14ac:dyDescent="0.2">
      <c r="A17" s="57" t="s">
        <v>227</v>
      </c>
      <c r="B17" s="56">
        <v>50</v>
      </c>
    </row>
    <row r="18" spans="1:2" x14ac:dyDescent="0.2">
      <c r="A18" s="57" t="s">
        <v>228</v>
      </c>
      <c r="B18" s="56">
        <v>5</v>
      </c>
    </row>
    <row r="19" spans="1:2" x14ac:dyDescent="0.2">
      <c r="A19" s="57" t="s">
        <v>229</v>
      </c>
      <c r="B19" s="56">
        <v>10</v>
      </c>
    </row>
    <row r="20" spans="1:2" x14ac:dyDescent="0.2">
      <c r="A20" s="57" t="s">
        <v>230</v>
      </c>
      <c r="B20" s="56">
        <v>10</v>
      </c>
    </row>
    <row r="21" spans="1:2" x14ac:dyDescent="0.2">
      <c r="A21" s="57" t="s">
        <v>231</v>
      </c>
      <c r="B21" s="56">
        <v>20</v>
      </c>
    </row>
    <row r="22" spans="1:2" x14ac:dyDescent="0.2">
      <c r="A22" s="57" t="s">
        <v>232</v>
      </c>
      <c r="B22" s="56">
        <v>10</v>
      </c>
    </row>
    <row r="23" spans="1:2" x14ac:dyDescent="0.2">
      <c r="A23" s="57" t="s">
        <v>233</v>
      </c>
      <c r="B23" s="56">
        <v>10</v>
      </c>
    </row>
    <row r="24" spans="1:2" x14ac:dyDescent="0.2">
      <c r="A24" s="57" t="s">
        <v>234</v>
      </c>
      <c r="B24" s="56">
        <v>20</v>
      </c>
    </row>
    <row r="25" spans="1:2" x14ac:dyDescent="0.2">
      <c r="A25" s="57" t="s">
        <v>235</v>
      </c>
      <c r="B25" s="56">
        <v>20</v>
      </c>
    </row>
    <row r="26" spans="1:2" x14ac:dyDescent="0.2">
      <c r="A26" s="57" t="s">
        <v>236</v>
      </c>
      <c r="B26" s="56">
        <v>5</v>
      </c>
    </row>
    <row r="27" spans="1:2" x14ac:dyDescent="0.2">
      <c r="A27" s="57" t="s">
        <v>237</v>
      </c>
      <c r="B27" s="56">
        <v>5</v>
      </c>
    </row>
    <row r="28" spans="1:2" x14ac:dyDescent="0.2">
      <c r="A28" s="57" t="s">
        <v>238</v>
      </c>
      <c r="B28" s="56">
        <v>10</v>
      </c>
    </row>
    <row r="29" spans="1:2" x14ac:dyDescent="0.2">
      <c r="A29" s="57" t="s">
        <v>239</v>
      </c>
      <c r="B29" s="56">
        <v>20</v>
      </c>
    </row>
    <row r="30" spans="1:2" x14ac:dyDescent="0.2">
      <c r="A30" s="57" t="s">
        <v>240</v>
      </c>
      <c r="B30" s="56">
        <v>100</v>
      </c>
    </row>
    <row r="31" spans="1:2" x14ac:dyDescent="0.2">
      <c r="A31" s="57" t="s">
        <v>241</v>
      </c>
      <c r="B31" s="56">
        <v>5</v>
      </c>
    </row>
    <row r="32" spans="1:2" x14ac:dyDescent="0.2">
      <c r="A32" s="57" t="s">
        <v>242</v>
      </c>
      <c r="B32" s="56">
        <v>5</v>
      </c>
    </row>
    <row r="33" spans="1:2" x14ac:dyDescent="0.2">
      <c r="A33" s="57" t="s">
        <v>243</v>
      </c>
      <c r="B33" s="56">
        <v>10</v>
      </c>
    </row>
    <row r="34" spans="1:2" x14ac:dyDescent="0.2">
      <c r="A34" s="57" t="s">
        <v>244</v>
      </c>
      <c r="B34" s="56">
        <v>10</v>
      </c>
    </row>
    <row r="35" spans="1:2" x14ac:dyDescent="0.2">
      <c r="A35" s="57" t="s">
        <v>245</v>
      </c>
      <c r="B35" s="56">
        <v>10</v>
      </c>
    </row>
    <row r="36" spans="1:2" x14ac:dyDescent="0.2">
      <c r="A36" s="57" t="s">
        <v>246</v>
      </c>
      <c r="B36" s="56">
        <v>10</v>
      </c>
    </row>
    <row r="37" spans="1:2" x14ac:dyDescent="0.2">
      <c r="A37" s="57" t="s">
        <v>207</v>
      </c>
      <c r="B37" s="56">
        <v>10</v>
      </c>
    </row>
    <row r="38" spans="1:2" x14ac:dyDescent="0.2">
      <c r="A38" s="57" t="s">
        <v>247</v>
      </c>
      <c r="B38" s="56">
        <v>10</v>
      </c>
    </row>
    <row r="39" spans="1:2" x14ac:dyDescent="0.2">
      <c r="A39" s="57" t="s">
        <v>248</v>
      </c>
      <c r="B39" s="56">
        <v>10</v>
      </c>
    </row>
    <row r="40" spans="1:2" x14ac:dyDescent="0.2">
      <c r="A40" s="57" t="s">
        <v>249</v>
      </c>
      <c r="B40" s="56">
        <v>500</v>
      </c>
    </row>
    <row r="41" spans="1:2" x14ac:dyDescent="0.2">
      <c r="A41" s="57" t="s">
        <v>250</v>
      </c>
      <c r="B41" s="56">
        <v>500</v>
      </c>
    </row>
    <row r="42" spans="1:2" x14ac:dyDescent="0.2">
      <c r="A42" s="57" t="s">
        <v>251</v>
      </c>
      <c r="B42" s="56">
        <v>5</v>
      </c>
    </row>
    <row r="43" spans="1:2" x14ac:dyDescent="0.2">
      <c r="A43" s="57" t="s">
        <v>252</v>
      </c>
      <c r="B43" s="56">
        <v>5</v>
      </c>
    </row>
    <row r="44" spans="1:2" x14ac:dyDescent="0.2">
      <c r="A44" s="57" t="s">
        <v>253</v>
      </c>
      <c r="B44" s="56">
        <v>5</v>
      </c>
    </row>
    <row r="45" spans="1:2" x14ac:dyDescent="0.2">
      <c r="A45" s="57" t="s">
        <v>254</v>
      </c>
      <c r="B45" s="56">
        <v>5</v>
      </c>
    </row>
    <row r="46" spans="1:2" x14ac:dyDescent="0.2">
      <c r="A46" s="57" t="s">
        <v>255</v>
      </c>
      <c r="B46" s="56">
        <v>100</v>
      </c>
    </row>
    <row r="47" spans="1:2" x14ac:dyDescent="0.2">
      <c r="A47" s="57" t="s">
        <v>256</v>
      </c>
      <c r="B47" s="56">
        <v>60</v>
      </c>
    </row>
    <row r="48" spans="1:2" x14ac:dyDescent="0.2">
      <c r="A48" s="57" t="s">
        <v>257</v>
      </c>
      <c r="B48" s="56">
        <v>100</v>
      </c>
    </row>
    <row r="49" spans="1:2" x14ac:dyDescent="0.2">
      <c r="A49" s="57" t="s">
        <v>258</v>
      </c>
      <c r="B49" s="56">
        <v>300</v>
      </c>
    </row>
    <row r="50" spans="1:2" x14ac:dyDescent="0.2">
      <c r="A50" s="57" t="s">
        <v>259</v>
      </c>
      <c r="B50" s="56">
        <v>200</v>
      </c>
    </row>
    <row r="51" spans="1:2" x14ac:dyDescent="0.2">
      <c r="A51" s="57" t="s">
        <v>260</v>
      </c>
      <c r="B51" s="56">
        <v>300</v>
      </c>
    </row>
    <row r="52" spans="1:2" x14ac:dyDescent="0.2">
      <c r="A52" s="57" t="s">
        <v>261</v>
      </c>
      <c r="B52" s="56">
        <v>10000</v>
      </c>
    </row>
    <row r="53" spans="1:2" x14ac:dyDescent="0.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2018-04-10T14:22:37Z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