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4" i="5"/>
  <c r="S32" i="5"/>
  <c r="S11" i="5"/>
  <c r="S56" i="5"/>
  <c r="S22" i="5"/>
  <c r="S5" i="5"/>
  <c r="S55" i="5"/>
  <c r="S38" i="5"/>
  <c r="S26" i="5"/>
  <c r="S6" i="5"/>
  <c r="S7" i="5"/>
  <c r="S37" i="5"/>
  <c r="S39" i="5"/>
  <c r="S12" i="5"/>
  <c r="S49" i="5"/>
  <c r="S40" i="5"/>
  <c r="S47" i="5"/>
  <c r="S18" i="5"/>
  <c r="S51" i="5"/>
  <c r="S57" i="5"/>
  <c r="S21" i="5"/>
  <c r="S34" i="5"/>
  <c r="S44" i="5"/>
  <c r="S43" i="5"/>
  <c r="S42" i="5"/>
  <c r="S54" i="5"/>
  <c r="S15" i="5"/>
  <c r="S13" i="5"/>
  <c r="S45" i="5"/>
  <c r="S53" i="5"/>
  <c r="S19" i="5"/>
  <c r="S14" i="5"/>
  <c r="S36" i="5"/>
  <c r="S8" i="5"/>
  <c r="S16" i="5"/>
  <c r="S33" i="5"/>
  <c r="S9" i="5"/>
  <c r="S27" i="5"/>
  <c r="S35" i="5"/>
  <c r="S2" i="5"/>
  <c r="S41" i="5"/>
  <c r="S50" i="5"/>
  <c r="S30" i="5"/>
  <c r="S17" i="5"/>
  <c r="S48" i="5"/>
  <c r="S29" i="5"/>
  <c r="S24" i="5"/>
  <c r="S20" i="5"/>
  <c r="S23" i="5"/>
  <c r="S31" i="5"/>
  <c r="S46" i="5"/>
  <c r="S25" i="5"/>
  <c r="S52" i="5"/>
  <c r="S10" i="5"/>
  <c r="S28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57" i="1" l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46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56" i="1"/>
  <c r="S255" i="1"/>
  <c r="S254" i="1"/>
  <c r="S245" i="1"/>
  <c r="S238" i="1"/>
  <c r="S206" i="1"/>
  <c r="S90" i="1"/>
  <c r="S127" i="1"/>
  <c r="S139" i="1"/>
  <c r="S234" i="1"/>
  <c r="S212" i="1"/>
  <c r="S141" i="1"/>
  <c r="S197" i="1"/>
  <c r="S2" i="1"/>
  <c r="S87" i="1"/>
  <c r="S20" i="1"/>
  <c r="S221" i="1"/>
  <c r="S149" i="1"/>
  <c r="S211" i="1"/>
  <c r="S110" i="1"/>
  <c r="S203" i="1"/>
  <c r="S65" i="1"/>
  <c r="S233" i="1"/>
  <c r="S105" i="1"/>
  <c r="S125" i="1"/>
  <c r="S161" i="1"/>
  <c r="S215" i="1"/>
  <c r="S217" i="1"/>
  <c r="S58" i="1"/>
  <c r="S35" i="1"/>
  <c r="S190" i="1"/>
  <c r="S44" i="1"/>
  <c r="S50" i="1"/>
  <c r="S135" i="1"/>
  <c r="S24" i="1"/>
  <c r="S172" i="1"/>
  <c r="S205" i="1"/>
  <c r="S218" i="1"/>
  <c r="S54" i="1"/>
  <c r="S157" i="1"/>
  <c r="S192" i="1"/>
  <c r="S130" i="1"/>
  <c r="S251" i="1"/>
  <c r="S207" i="1"/>
  <c r="S188" i="1"/>
  <c r="S89" i="1"/>
  <c r="S213" i="1"/>
  <c r="S241" i="1"/>
  <c r="S126" i="1"/>
  <c r="S37" i="1"/>
  <c r="S223" i="1"/>
  <c r="S16" i="1"/>
  <c r="S156" i="1"/>
  <c r="S62" i="1"/>
  <c r="S4" i="1"/>
  <c r="S191" i="1"/>
  <c r="S21" i="1"/>
  <c r="S43" i="1"/>
  <c r="S41" i="1"/>
  <c r="S55" i="1"/>
  <c r="S77" i="1"/>
  <c r="S106" i="1"/>
  <c r="S39" i="1"/>
  <c r="S168" i="1"/>
  <c r="S98" i="1"/>
  <c r="S165" i="1"/>
  <c r="S86" i="1"/>
  <c r="S226" i="1"/>
  <c r="S107" i="1"/>
  <c r="S67" i="1"/>
  <c r="S137" i="1"/>
  <c r="S78" i="1"/>
  <c r="S13" i="1"/>
  <c r="S162" i="1"/>
  <c r="S153" i="1"/>
  <c r="S84" i="1"/>
  <c r="S117" i="1"/>
  <c r="S121" i="1"/>
  <c r="S27" i="1"/>
  <c r="S138" i="1"/>
  <c r="S92" i="1"/>
  <c r="S202" i="1"/>
  <c r="S173" i="1"/>
  <c r="S22" i="1"/>
  <c r="S47" i="1"/>
  <c r="S113" i="1"/>
  <c r="S134" i="1"/>
  <c r="S112" i="1"/>
  <c r="S242" i="1"/>
  <c r="S155" i="1"/>
  <c r="S152" i="1"/>
  <c r="S163" i="1"/>
  <c r="S114" i="1"/>
  <c r="S68" i="1"/>
  <c r="S115" i="1"/>
  <c r="S10" i="1"/>
  <c r="S63" i="1"/>
  <c r="S187" i="1"/>
  <c r="S182" i="1"/>
  <c r="S51" i="1"/>
  <c r="S229" i="1"/>
  <c r="S82" i="1"/>
  <c r="S147" i="1"/>
  <c r="S42" i="1"/>
  <c r="S76" i="1"/>
  <c r="S132" i="1"/>
  <c r="S180" i="1"/>
  <c r="S237" i="1"/>
  <c r="S17" i="1"/>
  <c r="S97" i="1"/>
  <c r="S186" i="1"/>
  <c r="S166" i="1"/>
  <c r="S236" i="1"/>
  <c r="S219" i="1"/>
  <c r="S129" i="1"/>
  <c r="S6" i="1"/>
  <c r="S151" i="1"/>
  <c r="S94" i="1"/>
  <c r="S244" i="1"/>
  <c r="S103" i="1"/>
  <c r="S45" i="1"/>
  <c r="S61" i="1"/>
  <c r="S239" i="1"/>
  <c r="S9" i="1"/>
  <c r="S249" i="1"/>
  <c r="S224" i="1"/>
  <c r="S81" i="1"/>
  <c r="S140" i="1"/>
  <c r="S26" i="1"/>
  <c r="S96" i="1"/>
  <c r="S11" i="1"/>
  <c r="S220" i="1"/>
  <c r="S179" i="1"/>
  <c r="S216" i="1"/>
  <c r="S148" i="1"/>
  <c r="S23" i="1"/>
  <c r="S160" i="1"/>
  <c r="S167" i="1"/>
  <c r="S101" i="1"/>
  <c r="S246" i="1"/>
  <c r="S52" i="1"/>
  <c r="S19" i="1"/>
  <c r="S183" i="1"/>
  <c r="S56" i="1"/>
  <c r="S243" i="1"/>
  <c r="S176" i="1"/>
  <c r="S196" i="1"/>
  <c r="S60" i="1"/>
  <c r="S122" i="1"/>
  <c r="S3" i="1"/>
  <c r="S118" i="1"/>
  <c r="S5" i="1"/>
  <c r="S71" i="1"/>
  <c r="S184" i="1"/>
  <c r="S91" i="1"/>
  <c r="S99" i="1"/>
  <c r="S178" i="1"/>
  <c r="S175" i="1"/>
  <c r="S170" i="1"/>
  <c r="S85" i="1"/>
  <c r="S73" i="1"/>
  <c r="S201" i="1"/>
  <c r="S75" i="1"/>
  <c r="S230" i="1"/>
  <c r="S235" i="1"/>
  <c r="S158" i="1"/>
  <c r="S12" i="1"/>
  <c r="S53" i="1"/>
  <c r="S59" i="1"/>
  <c r="S210" i="1"/>
  <c r="S225" i="1"/>
  <c r="S131" i="1"/>
  <c r="S144" i="1"/>
  <c r="S57" i="1"/>
  <c r="S18" i="1"/>
  <c r="S204" i="1"/>
  <c r="S124" i="1"/>
  <c r="S133" i="1"/>
  <c r="S7" i="1"/>
  <c r="S66" i="1"/>
  <c r="S154" i="1"/>
  <c r="S199" i="1"/>
  <c r="S250" i="1"/>
  <c r="S74" i="1"/>
  <c r="S171" i="1"/>
  <c r="S253" i="1"/>
  <c r="S79" i="1"/>
  <c r="S214" i="1"/>
  <c r="S38" i="1"/>
  <c r="S150" i="1"/>
  <c r="S95" i="1"/>
  <c r="S119" i="1"/>
  <c r="S120" i="1"/>
  <c r="S8" i="1"/>
  <c r="S228" i="1"/>
  <c r="S111" i="1"/>
  <c r="S169" i="1"/>
  <c r="S208" i="1"/>
  <c r="S193" i="1"/>
  <c r="S231" i="1"/>
  <c r="S145" i="1"/>
  <c r="S93" i="1"/>
  <c r="S198" i="1"/>
  <c r="S116" i="1"/>
  <c r="S159" i="1"/>
  <c r="S247" i="1"/>
  <c r="S136" i="1"/>
  <c r="S49" i="1"/>
  <c r="S80" i="1"/>
  <c r="S143" i="1"/>
  <c r="S40" i="1"/>
  <c r="S195" i="1"/>
  <c r="S181" i="1"/>
  <c r="S123" i="1"/>
  <c r="S227" i="1"/>
  <c r="S177" i="1"/>
  <c r="S189" i="1"/>
  <c r="S252" i="1"/>
  <c r="S100" i="1"/>
  <c r="S36" i="1"/>
  <c r="S15" i="1"/>
  <c r="S209" i="1"/>
  <c r="S102" i="1"/>
  <c r="S33" i="1"/>
  <c r="S46" i="1"/>
  <c r="S70" i="1"/>
  <c r="S48" i="1"/>
  <c r="S248" i="1"/>
  <c r="S104" i="1"/>
  <c r="S194" i="1"/>
  <c r="S72" i="1"/>
  <c r="S232" i="1"/>
  <c r="S185" i="1"/>
  <c r="S14" i="1"/>
  <c r="S128" i="1"/>
  <c r="S174" i="1"/>
  <c r="S64" i="1"/>
  <c r="S83" i="1"/>
  <c r="S142" i="1"/>
  <c r="S88" i="1"/>
  <c r="S222" i="1"/>
  <c r="S146" i="1"/>
  <c r="S200" i="1"/>
  <c r="S240" i="1"/>
  <c r="S109" i="1"/>
  <c r="S69" i="1"/>
  <c r="S108" i="1"/>
  <c r="T254" i="1" l="1"/>
  <c r="M244" i="1"/>
  <c r="M241" i="1"/>
  <c r="M247" i="1"/>
  <c r="M237" i="1"/>
  <c r="M231" i="1"/>
  <c r="M243" i="1"/>
  <c r="M238" i="1"/>
  <c r="M245" i="1"/>
  <c r="T246" i="1"/>
  <c r="T247" i="1" s="1"/>
  <c r="T248" i="1" s="1"/>
  <c r="T249" i="1" s="1"/>
  <c r="T250" i="1" s="1"/>
  <c r="T251" i="1" s="1"/>
  <c r="T252" i="1" s="1"/>
  <c r="T253" i="1" s="1"/>
  <c r="M240" i="1"/>
  <c r="M242" i="1"/>
  <c r="M232" i="1"/>
  <c r="M236" i="1"/>
  <c r="M234" i="1"/>
  <c r="M233" i="1"/>
  <c r="M229" i="1"/>
  <c r="M230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T260" i="1"/>
  <c r="U353" i="1"/>
  <c r="U321" i="1"/>
  <c r="U289" i="1"/>
  <c r="U361" i="1"/>
  <c r="U345" i="1"/>
  <c r="U329" i="1"/>
  <c r="U313" i="1"/>
  <c r="U297" i="1"/>
  <c r="U281" i="1"/>
  <c r="U265" i="1"/>
  <c r="T364" i="1"/>
  <c r="T348" i="1"/>
  <c r="T332" i="1"/>
  <c r="T316" i="1"/>
  <c r="T300" i="1"/>
  <c r="T284" i="1"/>
  <c r="T268" i="1"/>
  <c r="U357" i="1"/>
  <c r="U341" i="1"/>
  <c r="U325" i="1"/>
  <c r="U309" i="1"/>
  <c r="U293" i="1"/>
  <c r="U277" i="1"/>
  <c r="U261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T368" i="1"/>
  <c r="T352" i="1"/>
  <c r="T336" i="1"/>
  <c r="T320" i="1"/>
  <c r="T304" i="1"/>
  <c r="T288" i="1"/>
  <c r="T272" i="1"/>
  <c r="T256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T255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U254" i="1" s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56" i="1" l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<sst xmlns="http://schemas.openxmlformats.org/spreadsheetml/2006/main" count="473" uniqueCount="315">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</sst>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933440"/>
        <c:axId val="275931200"/>
      </c:lineChart>
      <c:dateAx>
        <c:axId val="275933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931200"/>
        <c:crosses val="autoZero"/>
        <c:auto val="1"/>
        <c:lblOffset val="100"/>
        <c:baseTimeUnit val="days"/>
      </c:dateAx>
      <c:valAx>
        <c:axId val="27593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93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935120"/>
        <c:axId val="275935680"/>
      </c:lineChart>
      <c:dateAx>
        <c:axId val="275935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935680"/>
        <c:crosses val="autoZero"/>
        <c:auto val="1"/>
        <c:lblOffset val="100"/>
        <c:baseTimeUnit val="days"/>
      </c:dateAx>
      <c:valAx>
        <c:axId val="27593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93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8" activePane="bottomLeft" state="frozen"/>
      <selection pane="bottomLeft" activeCell="C36" sqref="C3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0.25641025641025639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0.83776846451556231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9795265</v>
      </c>
      <c r="C36" s="4">
        <f t="shared" si="1"/>
        <v>0.97952649999999997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18" activePane="bottomLeft" state="frozen"/>
      <selection pane="bottomLeft" activeCell="J256" sqref="J256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234</v>
      </c>
      <c r="V1" s="65">
        <f>COUNTIF(M2:M9987,"&gt;0")</f>
        <v>60</v>
      </c>
      <c r="W1" s="65">
        <f>COUNTIF(M2:M9987,"&lt;0")</f>
        <v>170</v>
      </c>
      <c r="X1" s="65">
        <f>SUMIF(M2:M9987,"&gt;0")</f>
        <v>843316.04999999993</v>
      </c>
      <c r="Y1" s="65">
        <f>ABS(SUMIF(M2:M9987,"&lt;0"))</f>
        <v>1006621.8600000007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:M231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6">
        <f t="shared" si="113"/>
        <v>-9020</v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si="103"/>
        <v>1050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03"/>
        <v>-1800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03"/>
        <v>4060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299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2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4">
        <f t="shared" si="103"/>
        <v>-4200</v>
      </c>
      <c r="N240" s="3"/>
      <c r="O240" s="3"/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300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6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32">
        <f t="shared" si="103"/>
        <v>-2080.4999999999836</v>
      </c>
      <c r="N241" s="27"/>
      <c r="O241" s="27"/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301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3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302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3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si="103"/>
        <v>6600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>
      <c r="A244" s="3"/>
      <c r="B244" s="3" t="s">
        <v>303</v>
      </c>
      <c r="C244" s="3">
        <v>-1</v>
      </c>
      <c r="D244" s="3">
        <v>2846.8</v>
      </c>
      <c r="E244" s="19">
        <v>43144</v>
      </c>
      <c r="F244" s="31">
        <v>0.56597222222222221</v>
      </c>
      <c r="G244" s="18">
        <v>1.7000000000000001E-2</v>
      </c>
      <c r="H244" s="52">
        <v>1</v>
      </c>
      <c r="I244" s="18">
        <f t="shared" si="102"/>
        <v>1.7000000000000001E-2</v>
      </c>
      <c r="J244" s="3">
        <v>2907.8</v>
      </c>
      <c r="K244" s="19">
        <v>43153</v>
      </c>
      <c r="L244" s="31">
        <v>0.39861111111111108</v>
      </c>
      <c r="M244" s="14">
        <f t="shared" si="103"/>
        <v>-18300</v>
      </c>
      <c r="N244" s="3"/>
      <c r="O244" s="3"/>
      <c r="P244" s="4"/>
      <c r="Q244" s="4"/>
      <c r="R244" s="4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304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3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305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3">
        <v>1</v>
      </c>
      <c r="I246" s="17">
        <f t="shared" si="102"/>
        <v>1.4999999999999999E-2</v>
      </c>
      <c r="M246" s="16" t="str">
        <f t="shared" si="103"/>
        <v/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306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3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307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3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308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3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309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3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310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2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311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3">
        <v>0.5</v>
      </c>
      <c r="I252" s="17">
        <f t="shared" si="102"/>
        <v>9.4999999999999998E-3</v>
      </c>
      <c r="M252" s="16" t="str">
        <f t="shared" si="103"/>
        <v/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2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312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3">
        <v>0.5</v>
      </c>
      <c r="I254" s="17">
        <f t="shared" si="102"/>
        <v>1.15E-2</v>
      </c>
      <c r="M254" s="16" t="str">
        <f t="shared" si="103"/>
        <v/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313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3">
        <v>0.33333333333333331</v>
      </c>
      <c r="I255" s="17">
        <f t="shared" si="102"/>
        <v>3.6666666666666662E-3</v>
      </c>
      <c r="M255" s="16" t="str">
        <f t="shared" si="103"/>
        <v/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314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4">
        <v>0.5</v>
      </c>
      <c r="I256" s="36">
        <f t="shared" si="102"/>
        <v>1.35E-2</v>
      </c>
      <c r="J256" s="34"/>
      <c r="K256" s="34"/>
      <c r="L256" s="34"/>
      <c r="M256" s="40" t="str">
        <f t="shared" si="103"/>
        <v/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I257" s="17" t="str">
        <f t="shared" si="102"/>
        <v/>
      </c>
      <c r="M257" s="16" t="str">
        <f t="shared" si="103"/>
        <v/>
      </c>
      <c r="S257" t="str">
        <f>IF(B257="","",VLOOKUP(Cmt(B257),Sheet2!A:B,2,FALSE))</f>
        <v/>
      </c>
      <c r="T257" s="39" t="str">
        <f t="shared" si="112"/>
        <v/>
      </c>
      <c r="U257" s="13" t="str">
        <f t="shared" si="110"/>
        <v/>
      </c>
      <c r="W257" s="11"/>
    </row>
    <row r="258" spans="1:23">
      <c r="I258" s="17" t="str">
        <f t="shared" si="102"/>
        <v/>
      </c>
      <c r="M258" s="16" t="str">
        <f t="shared" si="103"/>
        <v/>
      </c>
      <c r="S258" t="str">
        <f>IF(B258="","",VLOOKUP(Cmt(B258),Sheet2!A:B,2,FALSE))</f>
        <v/>
      </c>
      <c r="T258" s="39" t="str">
        <f t="shared" si="112"/>
        <v/>
      </c>
      <c r="U258" s="13" t="str">
        <f t="shared" si="110"/>
        <v/>
      </c>
      <c r="W258" s="11"/>
    </row>
    <row r="259" spans="1:23">
      <c r="I259" s="17" t="str">
        <f t="shared" si="102"/>
        <v/>
      </c>
      <c r="M259" s="16" t="str">
        <f t="shared" si="103"/>
        <v/>
      </c>
      <c r="S259" t="str">
        <f>IF(B259="","",VLOOKUP(Cmt(B259),Sheet2!A:B,2,FALSE))</f>
        <v/>
      </c>
      <c r="T259" s="39" t="str">
        <f t="shared" si="112"/>
        <v/>
      </c>
      <c r="U259" s="13" t="str">
        <f t="shared" si="110"/>
        <v/>
      </c>
      <c r="W259" s="11"/>
    </row>
    <row r="260" spans="1:23">
      <c r="I260" s="17" t="str">
        <f t="shared" si="102"/>
        <v/>
      </c>
      <c r="M260" s="16" t="str">
        <f t="shared" si="103"/>
        <v/>
      </c>
      <c r="S260" t="str">
        <f>IF(B260="","",VLOOKUP(Cmt(B260),Sheet2!A:B,2,FALSE))</f>
        <v/>
      </c>
      <c r="T260" s="39" t="str">
        <f t="shared" si="112"/>
        <v/>
      </c>
      <c r="U260" s="13" t="str">
        <f t="shared" si="110"/>
        <v/>
      </c>
      <c r="W260" s="11"/>
    </row>
    <row r="261" spans="1:23">
      <c r="I261" s="17" t="str">
        <f t="shared" si="102"/>
        <v/>
      </c>
      <c r="M261" s="16" t="str">
        <f t="shared" si="103"/>
        <v/>
      </c>
      <c r="S261" t="str">
        <f>IF(B261="","",VLOOKUP(Cmt(B261),Sheet2!A:B,2,FALSE))</f>
        <v/>
      </c>
      <c r="T261" s="39" t="str">
        <f t="shared" si="112"/>
        <v/>
      </c>
      <c r="U261" s="13" t="str">
        <f t="shared" si="110"/>
        <v/>
      </c>
      <c r="W261" s="11"/>
    </row>
    <row r="262" spans="1:23">
      <c r="I262" s="17" t="str">
        <f t="shared" si="102"/>
        <v/>
      </c>
      <c r="M262" s="16" t="str">
        <f t="shared" si="103"/>
        <v/>
      </c>
      <c r="S262" t="str">
        <f>IF(B262="","",VLOOKUP(Cmt(B262),Sheet2!A:B,2,FALSE))</f>
        <v/>
      </c>
      <c r="T262" s="39" t="str">
        <f t="shared" si="112"/>
        <v/>
      </c>
      <c r="U262" s="13" t="str">
        <f t="shared" si="110"/>
        <v/>
      </c>
      <c r="W262" s="11"/>
    </row>
    <row r="263" spans="1:23">
      <c r="I263" s="17" t="str">
        <f t="shared" si="102"/>
        <v/>
      </c>
      <c r="M263" s="16" t="str">
        <f t="shared" si="103"/>
        <v/>
      </c>
      <c r="S263" t="str">
        <f>IF(B263="","",VLOOKUP(Cmt(B263),Sheet2!A:B,2,FALSE))</f>
        <v/>
      </c>
      <c r="T263" s="39" t="str">
        <f t="shared" si="112"/>
        <v/>
      </c>
      <c r="U263" s="13" t="str">
        <f t="shared" si="110"/>
        <v/>
      </c>
      <c r="W263" s="11"/>
    </row>
    <row r="264" spans="1:23">
      <c r="I264" s="17" t="str">
        <f t="shared" si="102"/>
        <v/>
      </c>
      <c r="M264" s="16" t="str">
        <f t="shared" si="103"/>
        <v/>
      </c>
      <c r="S264" t="str">
        <f>IF(B264="","",VLOOKUP(Cmt(B264),Sheet2!A:B,2,FALSE))</f>
        <v/>
      </c>
      <c r="T264" s="39" t="str">
        <f t="shared" si="112"/>
        <v/>
      </c>
      <c r="U264" s="13" t="str">
        <f t="shared" si="110"/>
        <v/>
      </c>
      <c r="W264" s="11"/>
    </row>
    <row r="265" spans="1:23">
      <c r="I265" s="17" t="str">
        <f t="shared" si="102"/>
        <v/>
      </c>
      <c r="M265" s="16" t="str">
        <f t="shared" si="103"/>
        <v/>
      </c>
      <c r="S265" t="str">
        <f>IF(B265="","",VLOOKUP(Cmt(B265),Sheet2!A:B,2,FALSE))</f>
        <v/>
      </c>
      <c r="T265" s="39" t="str">
        <f t="shared" si="112"/>
        <v/>
      </c>
      <c r="U265" s="13" t="str">
        <f t="shared" si="110"/>
        <v/>
      </c>
      <c r="W265" s="11"/>
    </row>
    <row r="266" spans="1:23">
      <c r="I266" s="17" t="str">
        <f t="shared" si="102"/>
        <v/>
      </c>
      <c r="M266" s="16" t="str">
        <f t="shared" si="103"/>
        <v/>
      </c>
      <c r="S266" t="str">
        <f>IF(B266="","",VLOOKUP(Cmt(B266),Sheet2!A:B,2,FALSE))</f>
        <v/>
      </c>
      <c r="T266" s="39" t="str">
        <f t="shared" si="112"/>
        <v/>
      </c>
      <c r="U266" s="13" t="str">
        <f t="shared" si="110"/>
        <v/>
      </c>
      <c r="W266" s="11"/>
    </row>
    <row r="267" spans="1:23"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1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1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1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1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1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2018-02-23T09:06:23Z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