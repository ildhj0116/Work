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S307" i="1"/>
  <c r="S309" i="1"/>
  <c r="S308" i="1"/>
  <c r="T307" i="1" l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U358" i="1"/>
  <c r="U342" i="1"/>
  <c r="U326" i="1"/>
  <c r="U310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U308" i="1" s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S4" i="1"/>
  <c r="S150" i="1"/>
  <c r="S77" i="1"/>
  <c r="S170" i="1"/>
  <c r="S109" i="1"/>
  <c r="S200" i="1"/>
  <c r="S66" i="1"/>
  <c r="S10" i="1"/>
  <c r="S113" i="1"/>
  <c r="S5" i="1"/>
  <c r="S50" i="1"/>
  <c r="S155" i="1"/>
  <c r="S6" i="1"/>
  <c r="S49" i="1"/>
  <c r="S175" i="1"/>
  <c r="S23" i="1"/>
  <c r="S126" i="1"/>
  <c r="S272" i="1"/>
  <c r="S162" i="1"/>
  <c r="S224" i="1"/>
  <c r="S291" i="1"/>
  <c r="S149" i="1"/>
  <c r="S242" i="1"/>
  <c r="S94" i="1"/>
  <c r="S289" i="1"/>
  <c r="S123" i="1"/>
  <c r="S258" i="1"/>
  <c r="S273" i="1"/>
  <c r="S122" i="1"/>
  <c r="S231" i="1"/>
  <c r="S225" i="1"/>
  <c r="S43" i="1"/>
  <c r="S13" i="1"/>
  <c r="S21" i="1"/>
  <c r="S256" i="1"/>
  <c r="S174" i="1"/>
  <c r="S105" i="1"/>
  <c r="S48" i="1"/>
  <c r="S168" i="1"/>
  <c r="S15" i="1"/>
  <c r="S144" i="1"/>
  <c r="S83" i="1"/>
  <c r="S184" i="1"/>
  <c r="S60" i="1"/>
  <c r="S137" i="1"/>
  <c r="S156" i="1"/>
  <c r="S244" i="1"/>
  <c r="S263" i="1"/>
  <c r="S300" i="1"/>
  <c r="S230" i="1"/>
  <c r="S195" i="1"/>
  <c r="S197" i="1"/>
  <c r="S75" i="1"/>
  <c r="S214" i="1"/>
  <c r="S248" i="1"/>
  <c r="S294" i="1"/>
  <c r="S102" i="1"/>
  <c r="S254" i="1"/>
  <c r="S146" i="1"/>
  <c r="S86" i="1"/>
  <c r="S134" i="1"/>
  <c r="S51" i="1"/>
  <c r="S17" i="1"/>
  <c r="S2" i="1"/>
  <c r="S181" i="1"/>
  <c r="S69" i="1"/>
  <c r="S277" i="1"/>
  <c r="S95" i="1"/>
  <c r="S61" i="1"/>
  <c r="S193" i="1"/>
  <c r="S304" i="1"/>
  <c r="S220" i="1"/>
  <c r="S222" i="1"/>
  <c r="S110" i="1"/>
  <c r="S169" i="1"/>
  <c r="S234" i="1"/>
  <c r="S268" i="1"/>
  <c r="S90" i="1"/>
  <c r="S186" i="1"/>
  <c r="S191" i="1"/>
  <c r="S266" i="1"/>
  <c r="S147" i="1"/>
  <c r="S58" i="1"/>
  <c r="S270" i="1"/>
  <c r="S274" i="1"/>
  <c r="S116" i="1"/>
  <c r="S238" i="1"/>
  <c r="S280" i="1"/>
  <c r="S44" i="1"/>
  <c r="S299" i="1"/>
  <c r="S101" i="1"/>
  <c r="S157" i="1"/>
  <c r="S178" i="1"/>
  <c r="S72" i="1"/>
  <c r="S293" i="1"/>
  <c r="S215" i="1"/>
  <c r="S298" i="1"/>
  <c r="S199" i="1"/>
  <c r="S226" i="1"/>
  <c r="S65" i="1"/>
  <c r="S275" i="1"/>
  <c r="S68" i="1"/>
  <c r="S130" i="1"/>
  <c r="S132" i="1"/>
  <c r="S16" i="1"/>
  <c r="S22" i="1"/>
  <c r="S135" i="1"/>
  <c r="S257" i="1"/>
  <c r="S259" i="1"/>
  <c r="S42" i="1"/>
  <c r="S47" i="1"/>
  <c r="S121" i="1"/>
  <c r="S290" i="1"/>
  <c r="S171" i="1"/>
  <c r="S12" i="1"/>
  <c r="S303" i="1"/>
  <c r="S8" i="1"/>
  <c r="S62" i="1"/>
  <c r="S249" i="1"/>
  <c r="S41" i="1"/>
  <c r="S89" i="1"/>
  <c r="S133" i="1"/>
  <c r="S100" i="1"/>
  <c r="S93" i="1"/>
  <c r="S14" i="1"/>
  <c r="S145" i="1"/>
  <c r="S56" i="1"/>
  <c r="S198" i="1"/>
  <c r="S262" i="1"/>
  <c r="S243" i="1"/>
  <c r="S188" i="1"/>
  <c r="S88" i="1"/>
  <c r="S73" i="1"/>
  <c r="S183" i="1"/>
  <c r="S235" i="1"/>
  <c r="S276" i="1"/>
  <c r="S53" i="1"/>
  <c r="S117" i="1"/>
  <c r="S252" i="1"/>
  <c r="S125" i="1"/>
  <c r="S128" i="1"/>
  <c r="S297" i="1"/>
  <c r="S260" i="1"/>
  <c r="S247" i="1"/>
  <c r="S80" i="1"/>
  <c r="S67" i="1"/>
  <c r="S233" i="1"/>
  <c r="S166" i="1"/>
  <c r="S92" i="1"/>
  <c r="S85" i="1"/>
  <c r="S288" i="1"/>
  <c r="S295" i="1"/>
  <c r="S227" i="1"/>
  <c r="S236" i="1"/>
  <c r="S119" i="1"/>
  <c r="S267" i="1"/>
  <c r="S26" i="1"/>
  <c r="S205" i="1"/>
  <c r="S18" i="1"/>
  <c r="S221" i="1"/>
  <c r="S140" i="1"/>
  <c r="S185" i="1"/>
  <c r="S124" i="1"/>
  <c r="S283" i="1"/>
  <c r="S71" i="1"/>
  <c r="S99" i="1"/>
  <c r="S141" i="1"/>
  <c r="S154" i="1"/>
  <c r="S253" i="1"/>
  <c r="S35" i="1"/>
  <c r="S287" i="1"/>
  <c r="S136" i="1"/>
  <c r="S70" i="1"/>
  <c r="S241" i="1"/>
  <c r="S55" i="1"/>
  <c r="S196" i="1"/>
  <c r="S38" i="1"/>
  <c r="S20" i="1"/>
  <c r="S264" i="1"/>
  <c r="S208" i="1"/>
  <c r="S296" i="1"/>
  <c r="S111" i="1"/>
  <c r="S182" i="1"/>
  <c r="S180" i="1"/>
  <c r="S114" i="1"/>
  <c r="S79" i="1"/>
  <c r="S87" i="1"/>
  <c r="S285" i="1"/>
  <c r="S46" i="1"/>
  <c r="S172" i="1"/>
  <c r="S284" i="1"/>
  <c r="S207" i="1"/>
  <c r="S103" i="1"/>
  <c r="S120" i="1"/>
  <c r="S33" i="1"/>
  <c r="S91" i="1"/>
  <c r="S282" i="1"/>
  <c r="S161" i="1"/>
  <c r="S97" i="1"/>
  <c r="S159" i="1"/>
  <c r="S57" i="1"/>
  <c r="S306" i="1"/>
  <c r="S142" i="1"/>
  <c r="S138" i="1"/>
  <c r="S187" i="1"/>
  <c r="S63" i="1"/>
  <c r="S106" i="1"/>
  <c r="S107" i="1"/>
  <c r="S177" i="1"/>
  <c r="S36" i="1"/>
  <c r="S255" i="1"/>
  <c r="S11" i="1"/>
  <c r="S232" i="1"/>
  <c r="S74" i="1"/>
  <c r="S84" i="1"/>
  <c r="S237" i="1"/>
  <c r="S192" i="1"/>
  <c r="S271" i="1"/>
  <c r="S7" i="1"/>
  <c r="S9" i="1"/>
  <c r="S210" i="1"/>
  <c r="S250" i="1"/>
  <c r="S203" i="1"/>
  <c r="S118" i="1"/>
  <c r="S45" i="1"/>
  <c r="S78" i="1"/>
  <c r="S24" i="1"/>
  <c r="S245" i="1"/>
  <c r="S179" i="1"/>
  <c r="S3" i="1"/>
  <c r="S40" i="1"/>
  <c r="S216" i="1"/>
  <c r="S160" i="1"/>
  <c r="S27" i="1"/>
  <c r="S218" i="1"/>
  <c r="S98" i="1"/>
  <c r="S246" i="1"/>
  <c r="S292" i="1"/>
  <c r="S54" i="1"/>
  <c r="S104" i="1"/>
  <c r="S219" i="1"/>
  <c r="S206" i="1"/>
  <c r="S82" i="1"/>
  <c r="S217" i="1"/>
  <c r="S251" i="1"/>
  <c r="S229" i="1"/>
  <c r="S223" i="1"/>
  <c r="S153" i="1"/>
  <c r="S39" i="1"/>
  <c r="S158" i="1"/>
  <c r="S173" i="1"/>
  <c r="S167" i="1"/>
  <c r="S76" i="1"/>
  <c r="S127" i="1"/>
  <c r="S278" i="1"/>
  <c r="S129" i="1"/>
  <c r="S151" i="1"/>
  <c r="S152" i="1"/>
  <c r="S115" i="1"/>
  <c r="S265" i="1"/>
  <c r="S190" i="1"/>
  <c r="S52" i="1"/>
  <c r="S148" i="1"/>
  <c r="S96" i="1"/>
  <c r="S37" i="1"/>
  <c r="S143" i="1"/>
  <c r="S163" i="1"/>
  <c r="S19" i="1"/>
  <c r="S213" i="1"/>
  <c r="S204" i="1"/>
  <c r="S165" i="1"/>
  <c r="S189" i="1"/>
  <c r="S261" i="1"/>
  <c r="S81" i="1"/>
  <c r="S64" i="1"/>
  <c r="S131" i="1"/>
  <c r="S139" i="1"/>
  <c r="S240" i="1"/>
  <c r="S176" i="1"/>
  <c r="S302" i="1"/>
  <c r="S59" i="1"/>
  <c r="S201" i="1"/>
  <c r="S269" i="1"/>
  <c r="S108" i="1"/>
  <c r="S279" i="1"/>
  <c r="S239" i="1"/>
  <c r="S228" i="1"/>
  <c r="S211" i="1"/>
  <c r="S112" i="1"/>
  <c r="S202" i="1"/>
  <c r="S194" i="1"/>
  <c r="S286" i="1"/>
  <c r="S209" i="1"/>
  <c r="S212" i="1"/>
  <c r="U309" i="1" l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6" i="1"/>
  <c r="U285" i="1"/>
  <c r="U284" i="1"/>
  <c r="U279" i="1"/>
  <c r="U276" i="1"/>
  <c r="U269" i="1"/>
  <c r="U260" i="1"/>
  <c r="U261" i="1"/>
  <c r="U262" i="1"/>
  <c r="U253" i="1"/>
  <c r="U247" i="1"/>
  <c r="U248" i="1"/>
  <c r="U218" i="1"/>
  <c r="U217" i="1"/>
  <c r="U214" i="1"/>
  <c r="U213" i="1"/>
  <c r="U212" i="1"/>
  <c r="U210" i="1"/>
  <c r="U211" i="1"/>
  <c r="U255" i="1" l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92" i="1"/>
  <c r="U223" i="1"/>
  <c r="T224" i="1"/>
  <c r="I209" i="1"/>
  <c r="U209" i="1" s="1"/>
  <c r="I208" i="1"/>
  <c r="U208" i="1" s="1"/>
  <c r="I206" i="1"/>
  <c r="I207" i="1"/>
  <c r="U207" i="1" s="1"/>
  <c r="T295" i="1" l="1"/>
  <c r="U289" i="1"/>
  <c r="U291" i="1"/>
  <c r="U293" i="1"/>
  <c r="U290" i="1"/>
  <c r="U282" i="1"/>
  <c r="U295" i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<sst xmlns="http://schemas.openxmlformats.org/spreadsheetml/2006/main" count="466" uniqueCount="357">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</sst>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683296"/>
        <c:axId val="505683856"/>
      </c:lineChart>
      <c:dateAx>
        <c:axId val="50568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3856"/>
        <c:crosses val="autoZero"/>
        <c:auto val="1"/>
        <c:lblOffset val="100"/>
        <c:baseTimeUnit val="days"/>
      </c:dateAx>
      <c:valAx>
        <c:axId val="50568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权益!$A$19:$A$74</c:f>
              <c:numCache>
                <c:formatCode>m/d/yyyy</c:formatCode>
                <c:ptCount val="5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</c:numCache>
            </c:numRef>
          </c:cat>
          <c:val>
            <c:numRef>
              <c:f>权益!$C$19:$C$74</c:f>
              <c:numCache>
                <c:formatCode>0.0000</c:formatCode>
                <c:ptCount val="56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686656"/>
        <c:axId val="613373792"/>
      </c:lineChart>
      <c:dateAx>
        <c:axId val="505686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3373792"/>
        <c:crosses val="autoZero"/>
        <c:auto val="1"/>
        <c:lblOffset val="100"/>
        <c:baseTimeUnit val="days"/>
      </c:dateAx>
      <c:valAx>
        <c:axId val="61337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tabSelected="1" workbookViewId="0">
      <pane ySplit="1" topLeftCell="A23" activePane="bottomLeft" state="frozen"/>
      <selection pane="bottomLeft" activeCell="K68" sqref="K68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62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2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C75" s="85">
        <f t="shared" si="1"/>
        <v>0</v>
      </c>
    </row>
    <row r="76" spans="1:4">
      <c r="A76" s="2">
        <v>43202</v>
      </c>
      <c r="C76" s="85"/>
    </row>
    <row r="77" spans="1:4">
      <c r="A77" s="2">
        <v>43203</v>
      </c>
      <c r="C77" s="85"/>
    </row>
    <row r="78" spans="1:4">
      <c r="A78" s="2">
        <v>43204</v>
      </c>
      <c r="C78" s="85"/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G309" sqref="G309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A308" s="2">
        <v>43200</v>
      </c>
      <c r="B308" s="1" t="s">
        <v>355</v>
      </c>
      <c r="C308" s="1">
        <v>-1</v>
      </c>
      <c r="D308" s="1">
        <v>6006</v>
      </c>
      <c r="E308" s="2">
        <v>43200</v>
      </c>
      <c r="F308" s="26">
        <v>0.59097222222222223</v>
      </c>
      <c r="G308" s="17">
        <v>1.6E-2</v>
      </c>
      <c r="H308" s="52">
        <v>1</v>
      </c>
      <c r="I308" s="17">
        <f t="shared" si="118"/>
        <v>1.6E-2</v>
      </c>
      <c r="M308" s="16" t="str">
        <f t="shared" si="119"/>
        <v/>
      </c>
      <c r="S308">
        <f>IF(B308="","",VLOOKUP(Cmt(B308),Sheet2!A:B,2,FALSE))</f>
        <v>200</v>
      </c>
      <c r="T308" s="39">
        <v>9582498</v>
      </c>
      <c r="U308" s="13">
        <f t="shared" si="122"/>
        <v>0.85092667332667327</v>
      </c>
      <c r="W308" s="11"/>
    </row>
    <row r="309" spans="1:23">
      <c r="B309" s="1" t="s">
        <v>356</v>
      </c>
      <c r="C309" s="1">
        <v>-31</v>
      </c>
      <c r="D309" s="1">
        <v>560.6</v>
      </c>
      <c r="E309" s="2">
        <v>43200</v>
      </c>
      <c r="F309" s="26">
        <v>0.59097222222222223</v>
      </c>
      <c r="G309" s="17">
        <v>2.8000000000000001E-2</v>
      </c>
      <c r="H309" s="52">
        <v>1</v>
      </c>
      <c r="I309" s="17">
        <f t="shared" si="118"/>
        <v>2.8000000000000001E-2</v>
      </c>
      <c r="M309" s="16" t="str">
        <f t="shared" si="119"/>
        <v/>
      </c>
      <c r="S309">
        <f>IF(B309="","",VLOOKUP(Cmt(B309),Sheet2!A:B,2,FALSE))</f>
        <v>100</v>
      </c>
      <c r="T309" s="39">
        <f t="shared" si="123"/>
        <v>9582498</v>
      </c>
      <c r="U309" s="13">
        <f t="shared" si="122"/>
        <v>31.907473421334288</v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2018-04-10T07:08:25Z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