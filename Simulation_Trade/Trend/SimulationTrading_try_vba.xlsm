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87" i="1" l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2" i="5"/>
  <c r="Q31" i="5"/>
  <c r="Q34" i="5"/>
  <c r="Q73" i="5"/>
  <c r="Q89" i="5"/>
  <c r="Q37" i="5"/>
  <c r="Q61" i="5"/>
  <c r="Q8" i="5"/>
  <c r="Q7" i="5"/>
  <c r="Q20" i="5"/>
  <c r="Q41" i="5"/>
  <c r="Q70" i="5"/>
  <c r="Q79" i="5"/>
  <c r="Q85" i="5"/>
  <c r="Q29" i="5"/>
  <c r="Q88" i="5"/>
  <c r="Q68" i="5"/>
  <c r="Q57" i="5"/>
  <c r="Q80" i="5"/>
  <c r="Q86" i="5"/>
  <c r="Q42" i="5"/>
  <c r="Q53" i="5"/>
  <c r="Q32" i="5"/>
  <c r="Q23" i="5"/>
  <c r="Q18" i="5"/>
  <c r="Q30" i="5"/>
  <c r="Q81" i="5"/>
  <c r="Q67" i="5"/>
  <c r="Q56" i="5"/>
  <c r="Q58" i="5"/>
  <c r="Q50" i="5"/>
  <c r="Q40" i="5"/>
  <c r="Q72" i="5"/>
  <c r="Q82" i="5"/>
  <c r="Q77" i="5"/>
  <c r="Q91" i="5"/>
  <c r="Q45" i="5"/>
  <c r="Q26" i="5"/>
  <c r="Q46" i="5"/>
  <c r="Q69" i="5"/>
  <c r="S164" i="1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288" i="1" l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71" i="1"/>
  <c r="M278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87" i="1"/>
  <c r="S286" i="1"/>
  <c r="S285" i="1"/>
  <c r="S284" i="1"/>
  <c r="S283" i="1"/>
  <c r="S282" i="1"/>
  <c r="S281" i="1"/>
  <c r="S22" i="1"/>
  <c r="S192" i="1"/>
  <c r="S100" i="1"/>
  <c r="S132" i="1"/>
  <c r="S215" i="1"/>
  <c r="S6" i="1"/>
  <c r="S259" i="1"/>
  <c r="S195" i="1"/>
  <c r="S88" i="1"/>
  <c r="S117" i="1"/>
  <c r="S65" i="1"/>
  <c r="S10" i="1"/>
  <c r="S107" i="1"/>
  <c r="S78" i="1"/>
  <c r="S212" i="1"/>
  <c r="S200" i="1"/>
  <c r="S254" i="1"/>
  <c r="S273" i="1"/>
  <c r="S242" i="1"/>
  <c r="S124" i="1"/>
  <c r="S102" i="1"/>
  <c r="S97" i="1"/>
  <c r="S116" i="1"/>
  <c r="S176" i="1"/>
  <c r="S71" i="1"/>
  <c r="S148" i="1"/>
  <c r="S251" i="1"/>
  <c r="S3" i="1"/>
  <c r="S155" i="1"/>
  <c r="S48" i="1"/>
  <c r="S92" i="1"/>
  <c r="S253" i="1"/>
  <c r="S142" i="1"/>
  <c r="S214" i="1"/>
  <c r="S165" i="1"/>
  <c r="S158" i="1"/>
  <c r="S83" i="1"/>
  <c r="S227" i="1"/>
  <c r="S178" i="1"/>
  <c r="S42" i="1"/>
  <c r="S75" i="1"/>
  <c r="S66" i="1"/>
  <c r="S152" i="1"/>
  <c r="S101" i="1"/>
  <c r="S166" i="1"/>
  <c r="S63" i="1"/>
  <c r="S199" i="1"/>
  <c r="S177" i="1"/>
  <c r="S197" i="1"/>
  <c r="S233" i="1"/>
  <c r="S27" i="1"/>
  <c r="S261" i="1"/>
  <c r="S224" i="1"/>
  <c r="S45" i="1"/>
  <c r="S231" i="1"/>
  <c r="S56" i="1"/>
  <c r="S168" i="1"/>
  <c r="S135" i="1"/>
  <c r="S130" i="1"/>
  <c r="S206" i="1"/>
  <c r="S44" i="1"/>
  <c r="S20" i="1"/>
  <c r="S26" i="1"/>
  <c r="S163" i="1"/>
  <c r="S239" i="1"/>
  <c r="S247" i="1"/>
  <c r="S23" i="1"/>
  <c r="S137" i="1"/>
  <c r="S225" i="1"/>
  <c r="S264" i="1"/>
  <c r="S154" i="1"/>
  <c r="S70" i="1"/>
  <c r="S213" i="1"/>
  <c r="S106" i="1"/>
  <c r="S136" i="1"/>
  <c r="S172" i="1"/>
  <c r="S238" i="1"/>
  <c r="S18" i="1"/>
  <c r="S219" i="1"/>
  <c r="S43" i="1"/>
  <c r="S249" i="1"/>
  <c r="S246" i="1"/>
  <c r="S267" i="1"/>
  <c r="S128" i="1"/>
  <c r="S138" i="1"/>
  <c r="S229" i="1"/>
  <c r="S240" i="1"/>
  <c r="S115" i="1"/>
  <c r="S255" i="1"/>
  <c r="S53" i="1"/>
  <c r="S256" i="1"/>
  <c r="S222" i="1"/>
  <c r="S220" i="1"/>
  <c r="S185" i="1"/>
  <c r="S40" i="1"/>
  <c r="S94" i="1"/>
  <c r="S24" i="1"/>
  <c r="S76" i="1"/>
  <c r="S50" i="1"/>
  <c r="S112" i="1"/>
  <c r="S74" i="1"/>
  <c r="S228" i="1"/>
  <c r="S72" i="1"/>
  <c r="S5" i="1"/>
  <c r="S144" i="1"/>
  <c r="S125" i="1"/>
  <c r="S183" i="1"/>
  <c r="S280" i="1"/>
  <c r="S193" i="1"/>
  <c r="S204" i="1"/>
  <c r="S126" i="1"/>
  <c r="S87" i="1"/>
  <c r="S108" i="1"/>
  <c r="S90" i="1"/>
  <c r="S194" i="1"/>
  <c r="S279" i="1"/>
  <c r="S147" i="1"/>
  <c r="S187" i="1"/>
  <c r="S174" i="1"/>
  <c r="S91" i="1"/>
  <c r="S186" i="1"/>
  <c r="S120" i="1"/>
  <c r="S260" i="1"/>
  <c r="S223" i="1"/>
  <c r="S104" i="1"/>
  <c r="S159" i="1"/>
  <c r="S33" i="1"/>
  <c r="S236" i="1"/>
  <c r="S12" i="1"/>
  <c r="S175" i="1"/>
  <c r="S205" i="1"/>
  <c r="S235" i="1"/>
  <c r="S209" i="1"/>
  <c r="S196" i="1"/>
  <c r="S276" i="1"/>
  <c r="S17" i="1"/>
  <c r="S54" i="1"/>
  <c r="S122" i="1"/>
  <c r="S41" i="1"/>
  <c r="S252" i="1"/>
  <c r="S167" i="1"/>
  <c r="S277" i="1"/>
  <c r="S275" i="1"/>
  <c r="S96" i="1"/>
  <c r="S181" i="1"/>
  <c r="S149" i="1"/>
  <c r="S262" i="1"/>
  <c r="S160" i="1"/>
  <c r="S15" i="1"/>
  <c r="S59" i="1"/>
  <c r="S248" i="1"/>
  <c r="S146" i="1"/>
  <c r="S234" i="1"/>
  <c r="S232" i="1"/>
  <c r="S98" i="1"/>
  <c r="S272" i="1"/>
  <c r="S198" i="1"/>
  <c r="S250" i="1"/>
  <c r="S226" i="1"/>
  <c r="S103" i="1"/>
  <c r="S211" i="1"/>
  <c r="S129" i="1"/>
  <c r="S47" i="1"/>
  <c r="S263" i="1"/>
  <c r="S89" i="1"/>
  <c r="S171" i="1"/>
  <c r="S38" i="1"/>
  <c r="S14" i="1"/>
  <c r="S143" i="1"/>
  <c r="S191" i="1"/>
  <c r="S139" i="1"/>
  <c r="S35" i="1"/>
  <c r="S110" i="1"/>
  <c r="S111" i="1"/>
  <c r="S151" i="1"/>
  <c r="S105" i="1"/>
  <c r="S140" i="1"/>
  <c r="S134" i="1"/>
  <c r="S58" i="1"/>
  <c r="S82" i="1"/>
  <c r="S180" i="1"/>
  <c r="S207" i="1"/>
  <c r="S161" i="1"/>
  <c r="S86" i="1"/>
  <c r="S93" i="1"/>
  <c r="S37" i="1"/>
  <c r="S80" i="1"/>
  <c r="S55" i="1"/>
  <c r="S118" i="1"/>
  <c r="S39" i="1"/>
  <c r="S203" i="1"/>
  <c r="S9" i="1"/>
  <c r="S127" i="1"/>
  <c r="S257" i="1"/>
  <c r="S188" i="1"/>
  <c r="S4" i="1"/>
  <c r="S156" i="1"/>
  <c r="S67" i="1"/>
  <c r="S81" i="1"/>
  <c r="S202" i="1"/>
  <c r="S162" i="1"/>
  <c r="S46" i="1"/>
  <c r="S210" i="1"/>
  <c r="S230" i="1"/>
  <c r="S190" i="1"/>
  <c r="S157" i="1"/>
  <c r="S73" i="1"/>
  <c r="S274" i="1"/>
  <c r="S131" i="1"/>
  <c r="S119" i="1"/>
  <c r="S64" i="1"/>
  <c r="S62" i="1"/>
  <c r="S216" i="1"/>
  <c r="S266" i="1"/>
  <c r="S61" i="1"/>
  <c r="S51" i="1"/>
  <c r="S123" i="1"/>
  <c r="S244" i="1"/>
  <c r="S8" i="1"/>
  <c r="S201" i="1"/>
  <c r="S170" i="1"/>
  <c r="S269" i="1"/>
  <c r="S278" i="1"/>
  <c r="S13" i="1"/>
  <c r="S11" i="1"/>
  <c r="S237" i="1"/>
  <c r="S245" i="1"/>
  <c r="S241" i="1"/>
  <c r="S113" i="1"/>
  <c r="S99" i="1"/>
  <c r="S121" i="1"/>
  <c r="S169" i="1"/>
  <c r="S2" i="1"/>
  <c r="S49" i="1"/>
  <c r="S79" i="1"/>
  <c r="S189" i="1"/>
  <c r="S57" i="1"/>
  <c r="S271" i="1"/>
  <c r="S133" i="1"/>
  <c r="S258" i="1"/>
  <c r="S221" i="1"/>
  <c r="S179" i="1"/>
  <c r="S153" i="1"/>
  <c r="S36" i="1"/>
  <c r="S52" i="1"/>
  <c r="S243" i="1"/>
  <c r="S173" i="1"/>
  <c r="S68" i="1"/>
  <c r="S114" i="1"/>
  <c r="S16" i="1"/>
  <c r="S85" i="1"/>
  <c r="S265" i="1"/>
  <c r="S77" i="1"/>
  <c r="S150" i="1"/>
  <c r="S270" i="1"/>
  <c r="S184" i="1"/>
  <c r="S218" i="1"/>
  <c r="S60" i="1"/>
  <c r="S141" i="1"/>
  <c r="S109" i="1"/>
  <c r="S19" i="1"/>
  <c r="S217" i="1"/>
  <c r="S208" i="1"/>
  <c r="S145" i="1"/>
  <c r="S268" i="1"/>
  <c r="S7" i="1"/>
  <c r="S21" i="1"/>
  <c r="S95" i="1"/>
  <c r="S84" i="1"/>
  <c r="S182" i="1"/>
  <c r="S69" i="1"/>
  <c r="T286" i="1" l="1"/>
  <c r="T285" i="1"/>
  <c r="T282" i="1"/>
  <c r="T281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324" i="1"/>
  <c r="U353" i="1"/>
  <c r="U321" i="1"/>
  <c r="U289" i="1"/>
  <c r="U361" i="1"/>
  <c r="U345" i="1"/>
  <c r="U329" i="1"/>
  <c r="U313" i="1"/>
  <c r="U297" i="1"/>
  <c r="T364" i="1"/>
  <c r="T348" i="1"/>
  <c r="T332" i="1"/>
  <c r="T316" i="1"/>
  <c r="T300" i="1"/>
  <c r="T284" i="1"/>
  <c r="U357" i="1"/>
  <c r="U341" i="1"/>
  <c r="U325" i="1"/>
  <c r="U309" i="1"/>
  <c r="U293" i="1"/>
  <c r="T360" i="1"/>
  <c r="T344" i="1"/>
  <c r="T328" i="1"/>
  <c r="T312" i="1"/>
  <c r="T296" i="1"/>
  <c r="U369" i="1"/>
  <c r="U337" i="1"/>
  <c r="U305" i="1"/>
  <c r="U365" i="1"/>
  <c r="U349" i="1"/>
  <c r="U333" i="1"/>
  <c r="U317" i="1"/>
  <c r="U301" i="1"/>
  <c r="T368" i="1"/>
  <c r="T352" i="1"/>
  <c r="T336" i="1"/>
  <c r="T320" i="1"/>
  <c r="T304" i="1"/>
  <c r="T288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T287" i="1"/>
  <c r="U287" i="1" s="1"/>
  <c r="T275" i="1"/>
  <c r="T276" i="1" s="1"/>
  <c r="T277" i="1" s="1"/>
  <c r="T278" i="1" s="1"/>
  <c r="T279" i="1" s="1"/>
  <c r="T280" i="1" s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2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1" i="1"/>
  <c r="U281" i="1" s="1"/>
  <c r="I282" i="1"/>
  <c r="I283" i="1"/>
  <c r="I284" i="1"/>
  <c r="I285" i="1"/>
  <c r="I286" i="1"/>
  <c r="U286" i="1" s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85" i="1" l="1"/>
  <c r="U284" i="1"/>
  <c r="U283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<sst xmlns="http://schemas.openxmlformats.org/spreadsheetml/2006/main" count="519" uniqueCount="343">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</sst>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0" fontId="0" fillId="0" borderId="1" xfId="0" applyFill="1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983568"/>
        <c:axId val="495984128"/>
      </c:lineChart>
      <c:dateAx>
        <c:axId val="495983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5984128"/>
        <c:crosses val="autoZero"/>
        <c:auto val="1"/>
        <c:lblOffset val="100"/>
        <c:baseTimeUnit val="days"/>
      </c:dateAx>
      <c:valAx>
        <c:axId val="49598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598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权益!$A$19:$A$49</c:f>
              <c:numCache>
                <c:formatCode>m/d/yyyy</c:formatCode>
                <c:ptCount val="31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</c:numCache>
            </c:numRef>
          </c:cat>
          <c:val>
            <c:numRef>
              <c:f>权益!$B$19:$B$49</c:f>
              <c:numCache>
                <c:formatCode>_ * #,##0_ ;_ * \-#,##0_ ;_ * "-"??_ ;_ @_ </c:formatCode>
                <c:ptCount val="31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34560"/>
        <c:axId val="501635120"/>
      </c:lineChart>
      <c:dateAx>
        <c:axId val="501634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635120"/>
        <c:crosses val="autoZero"/>
        <c:auto val="1"/>
        <c:lblOffset val="100"/>
        <c:baseTimeUnit val="days"/>
      </c:dateAx>
      <c:valAx>
        <c:axId val="50163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63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workbookViewId="0">
      <pane ySplit="1" topLeftCell="A29" activePane="bottomLeft" state="frozen"/>
      <selection pane="bottomLeft" activeCell="F44" sqref="F44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0.81539051724398071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8">
        <f t="shared" si="1"/>
        <v>0.96463829999999995</v>
      </c>
    </row>
    <row r="44" spans="1:3">
      <c r="A44" s="2">
        <v>43159</v>
      </c>
      <c r="B44" s="25">
        <v>9645561</v>
      </c>
      <c r="C44" s="88">
        <f t="shared" si="1"/>
        <v>0.96455610000000003</v>
      </c>
    </row>
    <row r="45" spans="1:3">
      <c r="A45" s="2">
        <v>43160</v>
      </c>
      <c r="B45" s="25">
        <v>9644799</v>
      </c>
      <c r="C45" s="88">
        <f t="shared" si="1"/>
        <v>0.96447989999999995</v>
      </c>
    </row>
    <row r="46" spans="1:3">
      <c r="A46" s="19">
        <v>43161</v>
      </c>
      <c r="B46" s="41">
        <v>9631738</v>
      </c>
      <c r="C46" s="88">
        <f t="shared" si="1"/>
        <v>0.96317379999999997</v>
      </c>
    </row>
    <row r="47" spans="1:3">
      <c r="A47" s="2">
        <v>43164</v>
      </c>
      <c r="B47" s="25">
        <v>9596808</v>
      </c>
      <c r="C47" s="88">
        <f t="shared" si="1"/>
        <v>0.9596808</v>
      </c>
    </row>
    <row r="48" spans="1:3">
      <c r="A48" s="2">
        <v>43165</v>
      </c>
      <c r="B48" s="25">
        <v>9571733</v>
      </c>
      <c r="C48" s="88">
        <f t="shared" si="1"/>
        <v>0.9571733</v>
      </c>
    </row>
    <row r="49" spans="1:3">
      <c r="A49" s="2">
        <v>43166</v>
      </c>
      <c r="B49" s="25">
        <v>9542127</v>
      </c>
      <c r="C49" s="88">
        <f t="shared" si="1"/>
        <v>0.95421270000000002</v>
      </c>
    </row>
    <row r="50" spans="1:3">
      <c r="A50" s="2">
        <v>43167</v>
      </c>
      <c r="C50" s="88">
        <f t="shared" si="1"/>
        <v>0</v>
      </c>
    </row>
    <row r="51" spans="1:3">
      <c r="A51" s="19">
        <v>43168</v>
      </c>
      <c r="B51" s="41"/>
      <c r="C51" s="88">
        <f t="shared" si="1"/>
        <v>0</v>
      </c>
    </row>
    <row r="52" spans="1:3">
      <c r="A52" s="2">
        <v>43171</v>
      </c>
      <c r="C52" s="88">
        <f t="shared" si="1"/>
        <v>0</v>
      </c>
    </row>
    <row r="53" spans="1:3">
      <c r="A53" s="2">
        <v>43172</v>
      </c>
      <c r="C53" s="88">
        <f t="shared" si="1"/>
        <v>0</v>
      </c>
    </row>
    <row r="54" spans="1:3">
      <c r="A54" s="2">
        <v>43173</v>
      </c>
      <c r="C54" s="88">
        <f t="shared" si="1"/>
        <v>0</v>
      </c>
    </row>
    <row r="55" spans="1:3">
      <c r="A55" s="2">
        <v>43174</v>
      </c>
      <c r="C55" s="88">
        <f t="shared" si="1"/>
        <v>0</v>
      </c>
    </row>
    <row r="56" spans="1:3">
      <c r="A56" s="19">
        <v>43175</v>
      </c>
      <c r="B56" s="41"/>
      <c r="C56" s="88">
        <f t="shared" si="1"/>
        <v>0</v>
      </c>
    </row>
    <row r="57" spans="1:3">
      <c r="A57" s="2">
        <v>43178</v>
      </c>
      <c r="C57" s="88">
        <f t="shared" si="1"/>
        <v>0</v>
      </c>
    </row>
    <row r="58" spans="1:3">
      <c r="A58" s="2">
        <v>43179</v>
      </c>
      <c r="C58" s="88">
        <f t="shared" si="1"/>
        <v>0</v>
      </c>
    </row>
    <row r="59" spans="1:3">
      <c r="A59" s="2">
        <v>43180</v>
      </c>
      <c r="C59" s="88">
        <f t="shared" si="1"/>
        <v>0</v>
      </c>
    </row>
    <row r="60" spans="1:3">
      <c r="A60" s="2">
        <v>43181</v>
      </c>
      <c r="C60" s="88">
        <f t="shared" si="1"/>
        <v>0</v>
      </c>
    </row>
    <row r="61" spans="1:3">
      <c r="A61" s="2">
        <v>43182</v>
      </c>
      <c r="C61" s="88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62" activePane="bottomLeft" state="frozen"/>
      <selection pane="bottomLeft" activeCell="K284" sqref="K284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COUNT(M2:M9987)</f>
        <v>264</v>
      </c>
      <c r="V1" s="64">
        <f>COUNTIF(M2:M9987,"&gt;0")</f>
        <v>66</v>
      </c>
      <c r="W1" s="64">
        <f>COUNTIF(M2:M9987,"&lt;0")</f>
        <v>193</v>
      </c>
      <c r="X1" s="64">
        <f>SUMIF(M2:M9987,"&gt;0")</f>
        <v>923896.04999999993</v>
      </c>
      <c r="Y1" s="64">
        <f>ABS(SUMIF(M2:M9987,"&lt;0"))</f>
        <v>1133071.8600000008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326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327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328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329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330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331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332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8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333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39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334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335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M278" s="16" t="str">
        <f t="shared" si="119"/>
        <v/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336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" t="s">
        <v>337</v>
      </c>
      <c r="C281" s="1">
        <v>-40</v>
      </c>
      <c r="D281" s="1">
        <v>2654</v>
      </c>
      <c r="E281" s="2">
        <v>43166</v>
      </c>
      <c r="F281" s="26">
        <v>0.40972222222222227</v>
      </c>
      <c r="G281" s="17">
        <v>1.7000000000000001E-2</v>
      </c>
      <c r="H281" s="52">
        <v>1</v>
      </c>
      <c r="I281" s="17">
        <f t="shared" si="118"/>
        <v>1.7000000000000001E-2</v>
      </c>
      <c r="J281" s="1">
        <v>2679</v>
      </c>
      <c r="K281" s="2">
        <v>43166</v>
      </c>
      <c r="L281" s="26">
        <v>0.61805555555555558</v>
      </c>
      <c r="M281" s="16">
        <f t="shared" si="119"/>
        <v>-10000</v>
      </c>
      <c r="S281">
        <f>IF(B281="","",VLOOKUP(Cmt(B281),Sheet2!A:B,2,FALSE))</f>
        <v>10</v>
      </c>
      <c r="T281" s="39">
        <f t="shared" si="112"/>
        <v>9591000</v>
      </c>
      <c r="U281" s="13">
        <f t="shared" si="110"/>
        <v>40.956292388847025</v>
      </c>
      <c r="W281" s="11"/>
    </row>
    <row r="282" spans="1:23">
      <c r="B282" s="1" t="s">
        <v>338</v>
      </c>
      <c r="C282" s="1">
        <v>-40</v>
      </c>
      <c r="D282" s="1">
        <v>2710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M282" s="16" t="str">
        <f t="shared" si="119"/>
        <v/>
      </c>
      <c r="S282">
        <f>IF(B282="","",VLOOKUP(Cmt(B282),Sheet2!A:B,2,FALSE))</f>
        <v>10</v>
      </c>
      <c r="T282" s="39">
        <f t="shared" si="112"/>
        <v>9591000</v>
      </c>
      <c r="U282" s="13">
        <f t="shared" si="110"/>
        <v>40.109963099630995</v>
      </c>
      <c r="W282" s="11"/>
    </row>
    <row r="283" spans="1:23">
      <c r="B283" s="1" t="s">
        <v>339</v>
      </c>
      <c r="C283" s="1">
        <v>-15</v>
      </c>
      <c r="D283" s="1">
        <v>102650</v>
      </c>
      <c r="E283" s="2">
        <v>43166</v>
      </c>
      <c r="F283" s="26">
        <v>0.4236111111111111</v>
      </c>
      <c r="G283" s="17">
        <v>2.4E-2</v>
      </c>
      <c r="H283" s="52">
        <v>1</v>
      </c>
      <c r="I283" s="17">
        <f t="shared" si="118"/>
        <v>2.4E-2</v>
      </c>
      <c r="J283" s="1">
        <v>102690</v>
      </c>
      <c r="K283" s="2">
        <v>43166</v>
      </c>
      <c r="L283" s="26">
        <v>0.46527777777777773</v>
      </c>
      <c r="M283" s="16">
        <f t="shared" si="119"/>
        <v>-600</v>
      </c>
      <c r="S283">
        <f>IF(B283="","",VLOOKUP(Cmt(B283),Sheet2!A:B,2,FALSE))</f>
        <v>1</v>
      </c>
      <c r="T283" s="39">
        <v>9565000</v>
      </c>
      <c r="U283" s="13">
        <f t="shared" si="110"/>
        <v>14.908913784705309</v>
      </c>
      <c r="W283" s="11"/>
    </row>
    <row r="284" spans="1:23">
      <c r="B284" s="1" t="s">
        <v>340</v>
      </c>
      <c r="C284" s="1">
        <v>36</v>
      </c>
      <c r="D284" s="1">
        <v>3148</v>
      </c>
      <c r="E284" s="2">
        <v>43166</v>
      </c>
      <c r="F284" s="26">
        <v>0.56597222222222221</v>
      </c>
      <c r="G284" s="17">
        <v>1.7999999999999999E-2</v>
      </c>
      <c r="H284" s="52">
        <v>1</v>
      </c>
      <c r="I284" s="17">
        <f t="shared" si="118"/>
        <v>1.7999999999999999E-2</v>
      </c>
      <c r="M284" s="16" t="str">
        <f t="shared" si="119"/>
        <v/>
      </c>
      <c r="S284">
        <f>IF(B284="","",VLOOKUP(Cmt(B284),Sheet2!A:B,2,FALSE))</f>
        <v>10</v>
      </c>
      <c r="T284" s="39">
        <f t="shared" si="112"/>
        <v>9565000</v>
      </c>
      <c r="U284" s="13">
        <f t="shared" ref="U284:U347" si="120">IF(S284="","",T284*I284/(D284*S284*0.15))</f>
        <v>36.461245235069889</v>
      </c>
      <c r="W284" s="11"/>
    </row>
    <row r="285" spans="1:23">
      <c r="B285" s="1" t="s">
        <v>339</v>
      </c>
      <c r="C285" s="1">
        <v>-15</v>
      </c>
      <c r="D285" s="1">
        <v>102450</v>
      </c>
      <c r="E285" s="2">
        <v>43166</v>
      </c>
      <c r="F285" s="26">
        <v>0.56597222222222221</v>
      </c>
      <c r="G285" s="17">
        <v>2.4E-2</v>
      </c>
      <c r="H285" s="52">
        <v>1</v>
      </c>
      <c r="I285" s="17">
        <f t="shared" si="118"/>
        <v>2.4E-2</v>
      </c>
      <c r="M285" s="16" t="str">
        <f t="shared" si="119"/>
        <v/>
      </c>
      <c r="S285">
        <f>IF(B285="","",VLOOKUP(Cmt(B285),Sheet2!A:B,2,FALSE))</f>
        <v>1</v>
      </c>
      <c r="T285" s="39">
        <f t="shared" si="112"/>
        <v>9565000</v>
      </c>
      <c r="U285" s="13">
        <f t="shared" si="120"/>
        <v>14.938018545632016</v>
      </c>
      <c r="W285" s="11"/>
    </row>
    <row r="286" spans="1:23">
      <c r="B286" s="1" t="s">
        <v>341</v>
      </c>
      <c r="C286" s="1">
        <v>-5</v>
      </c>
      <c r="D286" s="1">
        <v>52310</v>
      </c>
      <c r="E286" s="2">
        <v>43166</v>
      </c>
      <c r="F286" s="26">
        <v>0.61805555555555558</v>
      </c>
      <c r="G286" s="17">
        <v>2.4E-2</v>
      </c>
      <c r="H286" s="52">
        <v>1</v>
      </c>
      <c r="I286" s="17">
        <f t="shared" si="118"/>
        <v>2.4E-2</v>
      </c>
      <c r="M286" s="16" t="str">
        <f t="shared" si="119"/>
        <v/>
      </c>
      <c r="S286">
        <f>IF(B286="","",VLOOKUP(Cmt(B286),Sheet2!A:B,2,FALSE))</f>
        <v>5</v>
      </c>
      <c r="T286" s="39">
        <f t="shared" ref="T286:T349" si="121">IF(S286="","",T285)</f>
        <v>9565000</v>
      </c>
      <c r="U286" s="13">
        <f t="shared" si="120"/>
        <v>5.8512712674440834</v>
      </c>
      <c r="W286" s="11"/>
    </row>
    <row r="287" spans="1:23">
      <c r="A287" s="3"/>
      <c r="B287" s="3" t="s">
        <v>342</v>
      </c>
      <c r="C287" s="3">
        <v>-1</v>
      </c>
      <c r="D287" s="3">
        <v>2870.2</v>
      </c>
      <c r="E287" s="19">
        <v>43166</v>
      </c>
      <c r="F287" s="31">
        <v>0.61805555555555558</v>
      </c>
      <c r="G287" s="18">
        <v>1.2999999999999999E-2</v>
      </c>
      <c r="H287" s="51">
        <v>1</v>
      </c>
      <c r="I287" s="18">
        <f t="shared" si="118"/>
        <v>1.2999999999999999E-2</v>
      </c>
      <c r="J287" s="3"/>
      <c r="K287" s="3"/>
      <c r="L287" s="3"/>
      <c r="M287" s="14" t="str">
        <f t="shared" si="119"/>
        <v/>
      </c>
      <c r="N287" s="3"/>
      <c r="O287" s="3"/>
      <c r="P287" s="4"/>
      <c r="Q287" s="4"/>
      <c r="R287" s="4"/>
      <c r="S287" s="4">
        <f>IF(B287="","",VLOOKUP(Cmt(B287),Sheet2!A:B,2,FALSE))</f>
        <v>300</v>
      </c>
      <c r="T287" s="89">
        <f t="shared" si="121"/>
        <v>9565000</v>
      </c>
      <c r="U287" s="3">
        <f t="shared" si="120"/>
        <v>0.96272811031364447</v>
      </c>
      <c r="W287" s="11"/>
    </row>
    <row r="288" spans="1:23">
      <c r="I288" s="17" t="str">
        <f t="shared" si="118"/>
        <v/>
      </c>
      <c r="M288" s="16" t="str">
        <f t="shared" si="119"/>
        <v/>
      </c>
      <c r="S288" t="str">
        <f>IF(B288="","",VLOOKUP(Cmt(B288),Sheet2!A:B,2,FALSE))</f>
        <v/>
      </c>
      <c r="T288" s="39" t="str">
        <f t="shared" si="121"/>
        <v/>
      </c>
      <c r="U288" s="13" t="str">
        <f t="shared" si="120"/>
        <v/>
      </c>
      <c r="W288" s="11"/>
    </row>
    <row r="289" spans="9:23">
      <c r="I289" s="17" t="str">
        <f t="shared" si="118"/>
        <v/>
      </c>
      <c r="M289" s="16" t="str">
        <f t="shared" si="119"/>
        <v/>
      </c>
      <c r="S289" t="str">
        <f>IF(B289="","",VLOOKUP(Cmt(B289),Sheet2!A:B,2,FALSE))</f>
        <v/>
      </c>
      <c r="T289" s="39" t="str">
        <f t="shared" si="121"/>
        <v/>
      </c>
      <c r="U289" s="13" t="str">
        <f t="shared" si="120"/>
        <v/>
      </c>
      <c r="W289" s="11"/>
    </row>
    <row r="290" spans="9:23">
      <c r="I290" s="17" t="str">
        <f t="shared" si="118"/>
        <v/>
      </c>
      <c r="M290" s="16" t="str">
        <f t="shared" si="119"/>
        <v/>
      </c>
      <c r="S290" t="str">
        <f>IF(B290="","",VLOOKUP(Cmt(B290),Sheet2!A:B,2,FALSE))</f>
        <v/>
      </c>
      <c r="T290" s="39" t="str">
        <f t="shared" si="121"/>
        <v/>
      </c>
      <c r="U290" s="13" t="str">
        <f t="shared" si="120"/>
        <v/>
      </c>
      <c r="W290" s="11"/>
    </row>
    <row r="291" spans="9:23">
      <c r="I291" s="17" t="str">
        <f t="shared" si="118"/>
        <v/>
      </c>
      <c r="M291" s="16" t="str">
        <f t="shared" si="119"/>
        <v/>
      </c>
      <c r="S291" t="str">
        <f>IF(B291="","",VLOOKUP(Cmt(B291),Sheet2!A:B,2,FALSE))</f>
        <v/>
      </c>
      <c r="T291" s="39" t="str">
        <f t="shared" si="121"/>
        <v/>
      </c>
      <c r="U291" s="13" t="str">
        <f t="shared" si="120"/>
        <v/>
      </c>
      <c r="W291" s="11"/>
    </row>
    <row r="292" spans="9:23">
      <c r="I292" s="17" t="str">
        <f t="shared" si="118"/>
        <v/>
      </c>
      <c r="M292" s="16" t="str">
        <f t="shared" si="119"/>
        <v/>
      </c>
      <c r="S292" t="str">
        <f>IF(B292="","",VLOOKUP(Cmt(B292),Sheet2!A:B,2,FALSE))</f>
        <v/>
      </c>
      <c r="T292" s="39" t="str">
        <f t="shared" si="121"/>
        <v/>
      </c>
      <c r="U292" s="13" t="str">
        <f t="shared" si="120"/>
        <v/>
      </c>
      <c r="W292" s="11"/>
    </row>
    <row r="293" spans="9:23">
      <c r="I293" s="17" t="str">
        <f t="shared" si="118"/>
        <v/>
      </c>
      <c r="M293" s="16" t="str">
        <f t="shared" si="119"/>
        <v/>
      </c>
      <c r="S293" t="str">
        <f>IF(B293="","",VLOOKUP(Cmt(B293),Sheet2!A:B,2,FALSE))</f>
        <v/>
      </c>
      <c r="T293" s="39" t="str">
        <f t="shared" si="121"/>
        <v/>
      </c>
      <c r="U293" s="13" t="str">
        <f t="shared" si="120"/>
        <v/>
      </c>
      <c r="W293" s="11"/>
    </row>
    <row r="294" spans="9:23">
      <c r="I294" s="17" t="str">
        <f t="shared" si="118"/>
        <v/>
      </c>
      <c r="M294" s="16" t="str">
        <f t="shared" si="119"/>
        <v/>
      </c>
      <c r="S294" t="str">
        <f>IF(B294="","",VLOOKUP(Cmt(B294),Sheet2!A:B,2,FALSE))</f>
        <v/>
      </c>
      <c r="T294" s="39" t="str">
        <f t="shared" si="121"/>
        <v/>
      </c>
      <c r="U294" s="13" t="str">
        <f t="shared" si="120"/>
        <v/>
      </c>
      <c r="W294" s="11"/>
    </row>
    <row r="295" spans="9:23">
      <c r="I295" s="17" t="str">
        <f t="shared" si="118"/>
        <v/>
      </c>
      <c r="M295" s="16" t="str">
        <f t="shared" si="119"/>
        <v/>
      </c>
      <c r="S295" t="str">
        <f>IF(B295="","",VLOOKUP(Cmt(B295),Sheet2!A:B,2,FALSE))</f>
        <v/>
      </c>
      <c r="T295" s="39" t="str">
        <f t="shared" si="121"/>
        <v/>
      </c>
      <c r="U295" s="13" t="str">
        <f t="shared" si="120"/>
        <v/>
      </c>
      <c r="W295" s="11"/>
    </row>
    <row r="296" spans="9:23">
      <c r="I296" s="17" t="str">
        <f t="shared" si="118"/>
        <v/>
      </c>
      <c r="M296" s="16" t="str">
        <f t="shared" si="119"/>
        <v/>
      </c>
      <c r="S296" t="str">
        <f>IF(B296="","",VLOOKUP(Cmt(B296),Sheet2!A:B,2,FALSE))</f>
        <v/>
      </c>
      <c r="T296" s="39" t="str">
        <f t="shared" si="121"/>
        <v/>
      </c>
      <c r="U296" s="13" t="str">
        <f t="shared" si="120"/>
        <v/>
      </c>
      <c r="W296" s="11"/>
    </row>
    <row r="297" spans="9:23">
      <c r="I297" s="17" t="str">
        <f t="shared" si="118"/>
        <v/>
      </c>
      <c r="M297" s="16" t="str">
        <f t="shared" si="119"/>
        <v/>
      </c>
      <c r="S297" t="str">
        <f>IF(B297="","",VLOOKUP(Cmt(B297),Sheet2!A:B,2,FALSE))</f>
        <v/>
      </c>
      <c r="T297" s="39" t="str">
        <f t="shared" si="121"/>
        <v/>
      </c>
      <c r="U297" s="13" t="str">
        <f t="shared" si="120"/>
        <v/>
      </c>
      <c r="W297" s="11"/>
    </row>
    <row r="298" spans="9:23">
      <c r="I298" s="17" t="str">
        <f t="shared" si="118"/>
        <v/>
      </c>
      <c r="M298" s="16" t="str">
        <f t="shared" si="119"/>
        <v/>
      </c>
      <c r="S298" t="str">
        <f>IF(B298="","",VLOOKUP(Cmt(B298),Sheet2!A:B,2,FALSE))</f>
        <v/>
      </c>
      <c r="T298" s="39" t="str">
        <f t="shared" si="121"/>
        <v/>
      </c>
      <c r="U298" s="13" t="str">
        <f t="shared" si="120"/>
        <v/>
      </c>
      <c r="W298" s="11"/>
    </row>
    <row r="299" spans="9:23">
      <c r="I299" s="17" t="str">
        <f t="shared" si="118"/>
        <v/>
      </c>
      <c r="M299" s="16" t="str">
        <f t="shared" si="119"/>
        <v/>
      </c>
      <c r="S299" t="str">
        <f>IF(B299="","",VLOOKUP(Cmt(B299),Sheet2!A:B,2,FALSE))</f>
        <v/>
      </c>
      <c r="T299" s="39" t="str">
        <f t="shared" si="121"/>
        <v/>
      </c>
      <c r="U299" s="13" t="str">
        <f t="shared" si="120"/>
        <v/>
      </c>
      <c r="W299" s="11"/>
    </row>
    <row r="300" spans="9:23">
      <c r="I300" s="17" t="str">
        <f t="shared" si="118"/>
        <v/>
      </c>
      <c r="M300" s="16" t="str">
        <f t="shared" si="119"/>
        <v/>
      </c>
      <c r="S300" t="str">
        <f>IF(B300="","",VLOOKUP(Cmt(B300),Sheet2!A:B,2,FALSE))</f>
        <v/>
      </c>
      <c r="T300" s="39" t="str">
        <f t="shared" si="121"/>
        <v/>
      </c>
      <c r="U300" s="13" t="str">
        <f t="shared" si="120"/>
        <v/>
      </c>
      <c r="W300" s="11"/>
    </row>
    <row r="301" spans="9:23"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1"/>
        <v/>
      </c>
      <c r="U301" s="13" t="str">
        <f t="shared" si="120"/>
        <v/>
      </c>
      <c r="W301" s="11"/>
    </row>
    <row r="302" spans="9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1"/>
        <v/>
      </c>
      <c r="U302" s="13" t="str">
        <f t="shared" si="120"/>
        <v/>
      </c>
      <c r="W302" s="11"/>
    </row>
    <row r="303" spans="9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1"/>
        <v/>
      </c>
      <c r="U303" s="13" t="str">
        <f t="shared" si="120"/>
        <v/>
      </c>
      <c r="W303" s="11"/>
    </row>
    <row r="304" spans="9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1"/>
        <v/>
      </c>
      <c r="U304" s="13" t="str">
        <f t="shared" si="120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1"/>
        <v/>
      </c>
      <c r="U305" s="13" t="str">
        <f t="shared" si="120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1"/>
        <v/>
      </c>
      <c r="U306" s="13" t="str">
        <f t="shared" si="120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1"/>
        <v/>
      </c>
      <c r="U307" s="13" t="str">
        <f t="shared" si="120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1"/>
        <v/>
      </c>
      <c r="U308" s="13" t="str">
        <f t="shared" si="120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1"/>
        <v/>
      </c>
      <c r="U309" s="13" t="str">
        <f t="shared" si="120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1"/>
        <v/>
      </c>
      <c r="U310" s="13" t="str">
        <f t="shared" si="120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1"/>
        <v/>
      </c>
      <c r="U311" s="13" t="str">
        <f t="shared" si="120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1"/>
        <v/>
      </c>
      <c r="U312" s="13" t="str">
        <f t="shared" si="120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1"/>
        <v/>
      </c>
      <c r="U313" s="13" t="str">
        <f t="shared" si="120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1"/>
        <v/>
      </c>
      <c r="U314" s="13" t="str">
        <f t="shared" si="120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1"/>
        <v/>
      </c>
      <c r="U315" s="13" t="str">
        <f t="shared" si="120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1"/>
        <v/>
      </c>
      <c r="U316" s="13" t="str">
        <f t="shared" si="120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1"/>
        <v/>
      </c>
      <c r="U317" s="13" t="str">
        <f t="shared" si="120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1"/>
        <v/>
      </c>
      <c r="U318" s="13" t="str">
        <f t="shared" si="120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1"/>
        <v/>
      </c>
      <c r="U319" s="13" t="str">
        <f t="shared" si="120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1"/>
        <v/>
      </c>
      <c r="U320" s="13" t="str">
        <f t="shared" si="120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1"/>
        <v/>
      </c>
      <c r="U321" s="13" t="str">
        <f t="shared" si="120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1"/>
        <v/>
      </c>
      <c r="U322" s="13" t="str">
        <f t="shared" si="120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1"/>
        <v/>
      </c>
      <c r="U323" s="13" t="str">
        <f t="shared" si="120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1"/>
        <v/>
      </c>
      <c r="U324" s="13" t="str">
        <f t="shared" si="120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1"/>
        <v/>
      </c>
      <c r="U325" s="13" t="str">
        <f t="shared" si="120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1"/>
        <v/>
      </c>
      <c r="U326" s="13" t="str">
        <f t="shared" si="120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1"/>
        <v/>
      </c>
      <c r="U327" s="13" t="str">
        <f t="shared" si="120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1"/>
        <v/>
      </c>
      <c r="U328" s="13" t="str">
        <f t="shared" si="120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1"/>
        <v/>
      </c>
      <c r="U329" s="13" t="str">
        <f t="shared" si="120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1"/>
        <v/>
      </c>
      <c r="U330" s="13" t="str">
        <f t="shared" si="120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1"/>
        <v/>
      </c>
      <c r="U331" s="13" t="str">
        <f t="shared" si="120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1"/>
        <v/>
      </c>
      <c r="U332" s="13" t="str">
        <f t="shared" si="120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1"/>
        <v/>
      </c>
      <c r="U333" s="13" t="str">
        <f t="shared" si="120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1"/>
        <v/>
      </c>
      <c r="U334" s="13" t="str">
        <f t="shared" si="120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1"/>
        <v/>
      </c>
      <c r="U335" s="13" t="str">
        <f t="shared" si="120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1"/>
        <v/>
      </c>
      <c r="U336" s="13" t="str">
        <f t="shared" si="120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1"/>
        <v/>
      </c>
      <c r="U337" s="13" t="str">
        <f t="shared" si="120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1"/>
        <v/>
      </c>
      <c r="U338" s="13" t="str">
        <f t="shared" si="120"/>
        <v/>
      </c>
      <c r="W338" s="11"/>
    </row>
    <row r="339" spans="9:23">
      <c r="I339" s="17" t="str">
        <f t="shared" ref="I339:I370" si="122">IF(G339="","",G339*H339)</f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1"/>
        <v/>
      </c>
      <c r="U339" s="13" t="str">
        <f t="shared" si="120"/>
        <v/>
      </c>
      <c r="W339" s="11"/>
    </row>
    <row r="340" spans="9:23">
      <c r="I340" s="17" t="str">
        <f t="shared" si="122"/>
        <v/>
      </c>
      <c r="M340" s="16" t="str">
        <f t="shared" ref="M340:M370" si="123">IF(J340="","",C340*(J340-D340)*S340)</f>
        <v/>
      </c>
      <c r="S340" t="str">
        <f>IF(B340="","",VLOOKUP(Cmt(B340),Sheet2!A:B,2,FALSE))</f>
        <v/>
      </c>
      <c r="T340" s="39" t="str">
        <f t="shared" si="121"/>
        <v/>
      </c>
      <c r="U340" s="13" t="str">
        <f t="shared" si="120"/>
        <v/>
      </c>
      <c r="W340" s="11"/>
    </row>
    <row r="341" spans="9:23">
      <c r="I341" s="17" t="str">
        <f t="shared" si="122"/>
        <v/>
      </c>
      <c r="M341" s="16" t="str">
        <f t="shared" si="123"/>
        <v/>
      </c>
      <c r="S341" t="str">
        <f>IF(B341="","",VLOOKUP(Cmt(B341),Sheet2!A:B,2,FALSE))</f>
        <v/>
      </c>
      <c r="T341" s="39" t="str">
        <f t="shared" si="121"/>
        <v/>
      </c>
      <c r="U341" s="13" t="str">
        <f t="shared" si="120"/>
        <v/>
      </c>
      <c r="W341" s="11"/>
    </row>
    <row r="342" spans="9:23">
      <c r="I342" s="17" t="str">
        <f t="shared" si="122"/>
        <v/>
      </c>
      <c r="M342" s="16" t="str">
        <f t="shared" si="123"/>
        <v/>
      </c>
      <c r="S342" t="str">
        <f>IF(B342="","",VLOOKUP(Cmt(B342),Sheet2!A:B,2,FALSE))</f>
        <v/>
      </c>
      <c r="T342" s="39" t="str">
        <f t="shared" si="121"/>
        <v/>
      </c>
      <c r="U342" s="13" t="str">
        <f t="shared" si="120"/>
        <v/>
      </c>
      <c r="W342" s="11"/>
    </row>
    <row r="343" spans="9:23">
      <c r="I343" s="17" t="str">
        <f t="shared" si="122"/>
        <v/>
      </c>
      <c r="M343" s="16" t="str">
        <f t="shared" si="123"/>
        <v/>
      </c>
      <c r="S343" t="str">
        <f>IF(B343="","",VLOOKUP(Cmt(B343),Sheet2!A:B,2,FALSE))</f>
        <v/>
      </c>
      <c r="T343" s="39" t="str">
        <f t="shared" si="121"/>
        <v/>
      </c>
      <c r="U343" s="13" t="str">
        <f t="shared" si="120"/>
        <v/>
      </c>
      <c r="W343" s="11"/>
    </row>
    <row r="344" spans="9:23">
      <c r="I344" s="17" t="str">
        <f t="shared" si="122"/>
        <v/>
      </c>
      <c r="M344" s="16" t="str">
        <f t="shared" si="123"/>
        <v/>
      </c>
      <c r="S344" t="str">
        <f>IF(B344="","",VLOOKUP(Cmt(B344),Sheet2!A:B,2,FALSE))</f>
        <v/>
      </c>
      <c r="T344" s="39" t="str">
        <f t="shared" si="121"/>
        <v/>
      </c>
      <c r="U344" s="13" t="str">
        <f t="shared" si="120"/>
        <v/>
      </c>
      <c r="W344" s="11"/>
    </row>
    <row r="345" spans="9:23">
      <c r="I345" s="17" t="str">
        <f t="shared" si="122"/>
        <v/>
      </c>
      <c r="M345" s="16" t="str">
        <f t="shared" si="123"/>
        <v/>
      </c>
      <c r="S345" t="str">
        <f>IF(B345="","",VLOOKUP(Cmt(B345),Sheet2!A:B,2,FALSE))</f>
        <v/>
      </c>
      <c r="T345" s="39" t="str">
        <f t="shared" si="121"/>
        <v/>
      </c>
      <c r="U345" s="13" t="str">
        <f t="shared" si="120"/>
        <v/>
      </c>
      <c r="W345" s="11"/>
    </row>
    <row r="346" spans="9:23">
      <c r="I346" s="17" t="str">
        <f t="shared" si="122"/>
        <v/>
      </c>
      <c r="M346" s="16" t="str">
        <f t="shared" si="123"/>
        <v/>
      </c>
      <c r="S346" t="str">
        <f>IF(B346="","",VLOOKUP(Cmt(B346),Sheet2!A:B,2,FALSE))</f>
        <v/>
      </c>
      <c r="T346" s="39" t="str">
        <f t="shared" si="121"/>
        <v/>
      </c>
      <c r="U346" s="13" t="str">
        <f t="shared" si="120"/>
        <v/>
      </c>
      <c r="W346" s="11"/>
    </row>
    <row r="347" spans="9:23">
      <c r="I347" s="17" t="str">
        <f t="shared" si="122"/>
        <v/>
      </c>
      <c r="M347" s="16" t="str">
        <f t="shared" si="123"/>
        <v/>
      </c>
      <c r="S347" t="str">
        <f>IF(B347="","",VLOOKUP(Cmt(B347),Sheet2!A:B,2,FALSE))</f>
        <v/>
      </c>
      <c r="T347" s="39" t="str">
        <f t="shared" si="121"/>
        <v/>
      </c>
      <c r="U347" s="13" t="str">
        <f t="shared" si="120"/>
        <v/>
      </c>
      <c r="W347" s="11"/>
    </row>
    <row r="348" spans="9:23">
      <c r="I348" s="17" t="str">
        <f t="shared" si="122"/>
        <v/>
      </c>
      <c r="M348" s="16" t="str">
        <f t="shared" si="123"/>
        <v/>
      </c>
      <c r="S348" t="str">
        <f>IF(B348="","",VLOOKUP(Cmt(B348),Sheet2!A:B,2,FALSE))</f>
        <v/>
      </c>
      <c r="T348" s="39" t="str">
        <f t="shared" si="121"/>
        <v/>
      </c>
      <c r="U348" s="13" t="str">
        <f t="shared" ref="U348:U370" si="124">IF(S348="","",T348*I348/(D348*S348*0.15))</f>
        <v/>
      </c>
      <c r="W348" s="11"/>
    </row>
    <row r="349" spans="9:23">
      <c r="I349" s="17" t="str">
        <f t="shared" si="122"/>
        <v/>
      </c>
      <c r="M349" s="16" t="str">
        <f t="shared" si="123"/>
        <v/>
      </c>
      <c r="S349" t="str">
        <f>IF(B349="","",VLOOKUP(Cmt(B349),Sheet2!A:B,2,FALSE))</f>
        <v/>
      </c>
      <c r="T349" s="39" t="str">
        <f t="shared" si="121"/>
        <v/>
      </c>
      <c r="U349" s="13" t="str">
        <f t="shared" si="124"/>
        <v/>
      </c>
      <c r="W349" s="11"/>
    </row>
    <row r="350" spans="9:23">
      <c r="I350" s="17" t="str">
        <f t="shared" si="122"/>
        <v/>
      </c>
      <c r="M350" s="16" t="str">
        <f t="shared" si="123"/>
        <v/>
      </c>
      <c r="S350" t="str">
        <f>IF(B350="","",VLOOKUP(Cmt(B350),Sheet2!A:B,2,FALSE))</f>
        <v/>
      </c>
      <c r="T350" s="39" t="str">
        <f t="shared" ref="T350:T370" si="125">IF(S350="","",T349)</f>
        <v/>
      </c>
      <c r="U350" s="13" t="str">
        <f t="shared" si="124"/>
        <v/>
      </c>
      <c r="W350" s="11"/>
    </row>
    <row r="351" spans="9:23">
      <c r="I351" s="17" t="str">
        <f t="shared" si="122"/>
        <v/>
      </c>
      <c r="M351" s="16" t="str">
        <f t="shared" si="123"/>
        <v/>
      </c>
      <c r="S351" t="str">
        <f>IF(B351="","",VLOOKUP(Cmt(B351),Sheet2!A:B,2,FALSE))</f>
        <v/>
      </c>
      <c r="T351" s="39" t="str">
        <f t="shared" si="125"/>
        <v/>
      </c>
      <c r="U351" s="13" t="str">
        <f t="shared" si="124"/>
        <v/>
      </c>
      <c r="W351" s="11"/>
    </row>
    <row r="352" spans="9:23">
      <c r="I352" s="17" t="str">
        <f t="shared" si="122"/>
        <v/>
      </c>
      <c r="M352" s="16" t="str">
        <f t="shared" si="123"/>
        <v/>
      </c>
      <c r="S352" t="str">
        <f>IF(B352="","",VLOOKUP(Cmt(B352),Sheet2!A:B,2,FALSE))</f>
        <v/>
      </c>
      <c r="T352" s="39" t="str">
        <f t="shared" si="125"/>
        <v/>
      </c>
      <c r="U352" s="13" t="str">
        <f t="shared" si="124"/>
        <v/>
      </c>
      <c r="W352" s="11"/>
    </row>
    <row r="353" spans="9:23">
      <c r="I353" s="17" t="str">
        <f t="shared" si="122"/>
        <v/>
      </c>
      <c r="M353" s="16" t="str">
        <f t="shared" si="123"/>
        <v/>
      </c>
      <c r="S353" t="str">
        <f>IF(B353="","",VLOOKUP(Cmt(B353),Sheet2!A:B,2,FALSE))</f>
        <v/>
      </c>
      <c r="T353" s="39" t="str">
        <f t="shared" si="125"/>
        <v/>
      </c>
      <c r="U353" s="13" t="str">
        <f t="shared" si="124"/>
        <v/>
      </c>
      <c r="W353" s="11"/>
    </row>
    <row r="354" spans="9:23">
      <c r="I354" s="17" t="str">
        <f t="shared" si="122"/>
        <v/>
      </c>
      <c r="M354" s="16" t="str">
        <f t="shared" si="123"/>
        <v/>
      </c>
      <c r="S354" t="str">
        <f>IF(B354="","",VLOOKUP(Cmt(B354),Sheet2!A:B,2,FALSE))</f>
        <v/>
      </c>
      <c r="T354" s="39" t="str">
        <f t="shared" si="125"/>
        <v/>
      </c>
      <c r="U354" s="13" t="str">
        <f t="shared" si="124"/>
        <v/>
      </c>
      <c r="W354" s="11"/>
    </row>
    <row r="355" spans="9:23">
      <c r="I355" s="17" t="str">
        <f t="shared" si="122"/>
        <v/>
      </c>
      <c r="M355" s="16" t="str">
        <f t="shared" si="123"/>
        <v/>
      </c>
      <c r="S355" t="str">
        <f>IF(B355="","",VLOOKUP(Cmt(B355),Sheet2!A:B,2,FALSE))</f>
        <v/>
      </c>
      <c r="T355" s="39" t="str">
        <f t="shared" si="125"/>
        <v/>
      </c>
      <c r="U355" s="13" t="str">
        <f t="shared" si="124"/>
        <v/>
      </c>
      <c r="W355" s="11"/>
    </row>
    <row r="356" spans="9:23">
      <c r="I356" s="17" t="str">
        <f t="shared" si="122"/>
        <v/>
      </c>
      <c r="M356" s="16" t="str">
        <f t="shared" si="123"/>
        <v/>
      </c>
      <c r="S356" t="str">
        <f>IF(B356="","",VLOOKUP(Cmt(B356),Sheet2!A:B,2,FALSE))</f>
        <v/>
      </c>
      <c r="T356" s="39" t="str">
        <f t="shared" si="125"/>
        <v/>
      </c>
      <c r="U356" s="13" t="str">
        <f t="shared" si="124"/>
        <v/>
      </c>
      <c r="W356" s="11"/>
    </row>
    <row r="357" spans="9:23">
      <c r="I357" s="17" t="str">
        <f t="shared" si="122"/>
        <v/>
      </c>
      <c r="M357" s="16" t="str">
        <f t="shared" si="123"/>
        <v/>
      </c>
      <c r="S357" t="str">
        <f>IF(B357="","",VLOOKUP(Cmt(B357),Sheet2!A:B,2,FALSE))</f>
        <v/>
      </c>
      <c r="T357" s="39" t="str">
        <f t="shared" si="125"/>
        <v/>
      </c>
      <c r="U357" s="13" t="str">
        <f t="shared" si="124"/>
        <v/>
      </c>
      <c r="W357" s="11"/>
    </row>
    <row r="358" spans="9:23">
      <c r="I358" s="17" t="str">
        <f t="shared" si="122"/>
        <v/>
      </c>
      <c r="M358" s="16" t="str">
        <f t="shared" si="123"/>
        <v/>
      </c>
      <c r="S358" t="str">
        <f>IF(B358="","",VLOOKUP(Cmt(B358),Sheet2!A:B,2,FALSE))</f>
        <v/>
      </c>
      <c r="T358" s="39" t="str">
        <f t="shared" si="125"/>
        <v/>
      </c>
      <c r="U358" s="13" t="str">
        <f t="shared" si="124"/>
        <v/>
      </c>
      <c r="W358" s="11"/>
    </row>
    <row r="359" spans="9:23">
      <c r="I359" s="17" t="str">
        <f t="shared" si="122"/>
        <v/>
      </c>
      <c r="M359" s="16" t="str">
        <f t="shared" si="123"/>
        <v/>
      </c>
      <c r="S359" t="str">
        <f>IF(B359="","",VLOOKUP(Cmt(B359),Sheet2!A:B,2,FALSE))</f>
        <v/>
      </c>
      <c r="T359" s="39" t="str">
        <f t="shared" si="125"/>
        <v/>
      </c>
      <c r="U359" s="13" t="str">
        <f t="shared" si="124"/>
        <v/>
      </c>
      <c r="W359" s="11"/>
    </row>
    <row r="360" spans="9:23">
      <c r="I360" s="17" t="str">
        <f t="shared" si="122"/>
        <v/>
      </c>
      <c r="M360" s="16" t="str">
        <f t="shared" si="123"/>
        <v/>
      </c>
      <c r="S360" t="str">
        <f>IF(B360="","",VLOOKUP(Cmt(B360),Sheet2!A:B,2,FALSE))</f>
        <v/>
      </c>
      <c r="T360" s="39" t="str">
        <f t="shared" si="125"/>
        <v/>
      </c>
      <c r="U360" s="13" t="str">
        <f t="shared" si="124"/>
        <v/>
      </c>
      <c r="W360" s="11"/>
    </row>
    <row r="361" spans="9:23">
      <c r="I361" s="17" t="str">
        <f t="shared" si="122"/>
        <v/>
      </c>
      <c r="M361" s="16" t="str">
        <f t="shared" si="123"/>
        <v/>
      </c>
      <c r="S361" t="str">
        <f>IF(B361="","",VLOOKUP(Cmt(B361),Sheet2!A:B,2,FALSE))</f>
        <v/>
      </c>
      <c r="T361" s="39" t="str">
        <f t="shared" si="125"/>
        <v/>
      </c>
      <c r="U361" s="13" t="str">
        <f t="shared" si="124"/>
        <v/>
      </c>
      <c r="W361" s="11"/>
    </row>
    <row r="362" spans="9:23">
      <c r="I362" s="17" t="str">
        <f t="shared" si="122"/>
        <v/>
      </c>
      <c r="M362" s="16" t="str">
        <f t="shared" si="123"/>
        <v/>
      </c>
      <c r="S362" t="str">
        <f>IF(B362="","",VLOOKUP(Cmt(B362),Sheet2!A:B,2,FALSE))</f>
        <v/>
      </c>
      <c r="T362" s="39" t="str">
        <f t="shared" si="125"/>
        <v/>
      </c>
      <c r="U362" s="13" t="str">
        <f t="shared" si="124"/>
        <v/>
      </c>
      <c r="W362" s="11"/>
    </row>
    <row r="363" spans="9:23">
      <c r="I363" s="17" t="str">
        <f t="shared" si="122"/>
        <v/>
      </c>
      <c r="M363" s="16" t="str">
        <f t="shared" si="123"/>
        <v/>
      </c>
      <c r="S363" t="str">
        <f>IF(B363="","",VLOOKUP(Cmt(B363),Sheet2!A:B,2,FALSE))</f>
        <v/>
      </c>
      <c r="T363" s="39" t="str">
        <f t="shared" si="125"/>
        <v/>
      </c>
      <c r="U363" s="13" t="str">
        <f t="shared" si="124"/>
        <v/>
      </c>
      <c r="W363" s="11"/>
    </row>
    <row r="364" spans="9:23">
      <c r="I364" s="17" t="str">
        <f t="shared" si="122"/>
        <v/>
      </c>
      <c r="M364" s="16" t="str">
        <f t="shared" si="123"/>
        <v/>
      </c>
      <c r="S364" t="str">
        <f>IF(B364="","",VLOOKUP(Cmt(B364),Sheet2!A:B,2,FALSE))</f>
        <v/>
      </c>
      <c r="T364" s="39" t="str">
        <f t="shared" si="125"/>
        <v/>
      </c>
      <c r="U364" s="13" t="str">
        <f t="shared" si="124"/>
        <v/>
      </c>
      <c r="W364" s="11"/>
    </row>
    <row r="365" spans="9:23">
      <c r="I365" s="17" t="str">
        <f t="shared" si="122"/>
        <v/>
      </c>
      <c r="M365" s="16" t="str">
        <f t="shared" si="123"/>
        <v/>
      </c>
      <c r="S365" t="str">
        <f>IF(B365="","",VLOOKUP(Cmt(B365),Sheet2!A:B,2,FALSE))</f>
        <v/>
      </c>
      <c r="T365" s="39" t="str">
        <f t="shared" si="125"/>
        <v/>
      </c>
      <c r="U365" s="13" t="str">
        <f t="shared" si="124"/>
        <v/>
      </c>
      <c r="W365" s="11"/>
    </row>
    <row r="366" spans="9:23">
      <c r="I366" s="17" t="str">
        <f t="shared" si="122"/>
        <v/>
      </c>
      <c r="M366" s="16" t="str">
        <f t="shared" si="123"/>
        <v/>
      </c>
      <c r="S366" t="str">
        <f>IF(B366="","",VLOOKUP(Cmt(B366),Sheet2!A:B,2,FALSE))</f>
        <v/>
      </c>
      <c r="T366" s="39" t="str">
        <f t="shared" si="125"/>
        <v/>
      </c>
      <c r="U366" s="13" t="str">
        <f t="shared" si="124"/>
        <v/>
      </c>
      <c r="W366" s="11"/>
    </row>
    <row r="367" spans="9:23">
      <c r="I367" s="17" t="str">
        <f t="shared" si="122"/>
        <v/>
      </c>
      <c r="M367" s="16" t="str">
        <f t="shared" si="123"/>
        <v/>
      </c>
      <c r="S367" t="str">
        <f>IF(B367="","",VLOOKUP(Cmt(B367),Sheet2!A:B,2,FALSE))</f>
        <v/>
      </c>
      <c r="T367" s="39" t="str">
        <f t="shared" si="125"/>
        <v/>
      </c>
      <c r="U367" s="13" t="str">
        <f t="shared" si="124"/>
        <v/>
      </c>
      <c r="W367" s="11"/>
    </row>
    <row r="368" spans="9:23">
      <c r="I368" s="17" t="str">
        <f t="shared" si="122"/>
        <v/>
      </c>
      <c r="M368" s="16" t="str">
        <f t="shared" si="123"/>
        <v/>
      </c>
      <c r="S368" t="str">
        <f>IF(B368="","",VLOOKUP(Cmt(B368),Sheet2!A:B,2,FALSE))</f>
        <v/>
      </c>
      <c r="T368" s="39" t="str">
        <f t="shared" si="125"/>
        <v/>
      </c>
      <c r="U368" s="13" t="str">
        <f t="shared" si="124"/>
        <v/>
      </c>
      <c r="W368" s="11"/>
    </row>
    <row r="369" spans="9:23">
      <c r="I369" s="17" t="str">
        <f t="shared" si="122"/>
        <v/>
      </c>
      <c r="M369" s="16" t="str">
        <f t="shared" si="123"/>
        <v/>
      </c>
      <c r="S369" t="str">
        <f>IF(B369="","",VLOOKUP(Cmt(B369),Sheet2!A:B,2,FALSE))</f>
        <v/>
      </c>
      <c r="T369" s="39" t="str">
        <f t="shared" si="125"/>
        <v/>
      </c>
      <c r="U369" s="13" t="str">
        <f t="shared" si="124"/>
        <v/>
      </c>
      <c r="W369" s="11"/>
    </row>
    <row r="370" spans="9:23">
      <c r="I370" s="17" t="str">
        <f t="shared" si="122"/>
        <v/>
      </c>
      <c r="M370" s="16" t="str">
        <f t="shared" si="123"/>
        <v/>
      </c>
      <c r="S370" t="str">
        <f>IF(B370="","",VLOOKUP(Cmt(B370),Sheet2!A:B,2,FALSE))</f>
        <v/>
      </c>
      <c r="T370" s="39" t="str">
        <f t="shared" si="125"/>
        <v/>
      </c>
      <c r="U370" s="13" t="str">
        <f t="shared" si="124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216</v>
      </c>
      <c r="B1" s="56" t="s">
        <v>268</v>
      </c>
    </row>
    <row r="2" spans="1:2">
      <c r="A2" s="57" t="s">
        <v>217</v>
      </c>
      <c r="B2" s="56">
        <v>5</v>
      </c>
    </row>
    <row r="3" spans="1:2">
      <c r="A3" s="57" t="s">
        <v>218</v>
      </c>
      <c r="B3" s="56">
        <v>5</v>
      </c>
    </row>
    <row r="4" spans="1:2">
      <c r="A4" s="57" t="s">
        <v>219</v>
      </c>
      <c r="B4" s="56">
        <v>5</v>
      </c>
    </row>
    <row r="5" spans="1:2">
      <c r="A5" s="57" t="s">
        <v>220</v>
      </c>
      <c r="B5" s="56">
        <v>5</v>
      </c>
    </row>
    <row r="6" spans="1:2">
      <c r="A6" s="57" t="s">
        <v>221</v>
      </c>
      <c r="B6" s="56">
        <v>1</v>
      </c>
    </row>
    <row r="7" spans="1:2">
      <c r="A7" s="57" t="s">
        <v>222</v>
      </c>
      <c r="B7" s="56">
        <v>1</v>
      </c>
    </row>
    <row r="8" spans="1:2">
      <c r="A8" s="57" t="s">
        <v>223</v>
      </c>
      <c r="B8" s="56">
        <v>1000</v>
      </c>
    </row>
    <row r="9" spans="1:2">
      <c r="A9" s="57" t="s">
        <v>224</v>
      </c>
      <c r="B9" s="56">
        <v>15</v>
      </c>
    </row>
    <row r="10" spans="1:2">
      <c r="A10" s="57" t="s">
        <v>225</v>
      </c>
      <c r="B10" s="56">
        <v>10</v>
      </c>
    </row>
    <row r="11" spans="1:2">
      <c r="A11" s="57" t="s">
        <v>226</v>
      </c>
      <c r="B11" s="56">
        <v>10</v>
      </c>
    </row>
    <row r="12" spans="1:2">
      <c r="A12" s="57" t="s">
        <v>227</v>
      </c>
      <c r="B12" s="56">
        <v>10</v>
      </c>
    </row>
    <row r="13" spans="1:2">
      <c r="A13" s="57" t="s">
        <v>228</v>
      </c>
      <c r="B13" s="56">
        <v>50</v>
      </c>
    </row>
    <row r="14" spans="1:2">
      <c r="A14" s="57" t="s">
        <v>229</v>
      </c>
      <c r="B14" s="56">
        <v>10</v>
      </c>
    </row>
    <row r="15" spans="1:2">
      <c r="A15" s="57" t="s">
        <v>230</v>
      </c>
      <c r="B15" s="56">
        <v>10</v>
      </c>
    </row>
    <row r="16" spans="1:2">
      <c r="A16" s="57" t="s">
        <v>231</v>
      </c>
      <c r="B16" s="56">
        <v>20</v>
      </c>
    </row>
    <row r="17" spans="1:2">
      <c r="A17" s="57" t="s">
        <v>232</v>
      </c>
      <c r="B17" s="56">
        <v>50</v>
      </c>
    </row>
    <row r="18" spans="1:2">
      <c r="A18" s="57" t="s">
        <v>233</v>
      </c>
      <c r="B18" s="56">
        <v>5</v>
      </c>
    </row>
    <row r="19" spans="1:2">
      <c r="A19" s="57" t="s">
        <v>234</v>
      </c>
      <c r="B19" s="56">
        <v>10</v>
      </c>
    </row>
    <row r="20" spans="1:2">
      <c r="A20" s="57" t="s">
        <v>235</v>
      </c>
      <c r="B20" s="56">
        <v>10</v>
      </c>
    </row>
    <row r="21" spans="1:2">
      <c r="A21" s="57" t="s">
        <v>236</v>
      </c>
      <c r="B21" s="56">
        <v>20</v>
      </c>
    </row>
    <row r="22" spans="1:2">
      <c r="A22" s="57" t="s">
        <v>237</v>
      </c>
      <c r="B22" s="56">
        <v>10</v>
      </c>
    </row>
    <row r="23" spans="1:2">
      <c r="A23" s="57" t="s">
        <v>238</v>
      </c>
      <c r="B23" s="56">
        <v>10</v>
      </c>
    </row>
    <row r="24" spans="1:2">
      <c r="A24" s="57" t="s">
        <v>239</v>
      </c>
      <c r="B24" s="56">
        <v>20</v>
      </c>
    </row>
    <row r="25" spans="1:2">
      <c r="A25" s="57" t="s">
        <v>240</v>
      </c>
      <c r="B25" s="56">
        <v>20</v>
      </c>
    </row>
    <row r="26" spans="1:2">
      <c r="A26" s="57" t="s">
        <v>241</v>
      </c>
      <c r="B26" s="56">
        <v>5</v>
      </c>
    </row>
    <row r="27" spans="1:2">
      <c r="A27" s="57" t="s">
        <v>242</v>
      </c>
      <c r="B27" s="56">
        <v>5</v>
      </c>
    </row>
    <row r="28" spans="1:2">
      <c r="A28" s="57" t="s">
        <v>243</v>
      </c>
      <c r="B28" s="56">
        <v>10</v>
      </c>
    </row>
    <row r="29" spans="1:2">
      <c r="A29" s="57" t="s">
        <v>244</v>
      </c>
      <c r="B29" s="56">
        <v>20</v>
      </c>
    </row>
    <row r="30" spans="1:2">
      <c r="A30" s="57" t="s">
        <v>245</v>
      </c>
      <c r="B30" s="56">
        <v>100</v>
      </c>
    </row>
    <row r="31" spans="1:2">
      <c r="A31" s="57" t="s">
        <v>246</v>
      </c>
      <c r="B31" s="56">
        <v>5</v>
      </c>
    </row>
    <row r="32" spans="1:2">
      <c r="A32" s="57" t="s">
        <v>247</v>
      </c>
      <c r="B32" s="56">
        <v>5</v>
      </c>
    </row>
    <row r="33" spans="1:2">
      <c r="A33" s="57" t="s">
        <v>248</v>
      </c>
      <c r="B33" s="56">
        <v>10</v>
      </c>
    </row>
    <row r="34" spans="1:2">
      <c r="A34" s="57" t="s">
        <v>249</v>
      </c>
      <c r="B34" s="56">
        <v>10</v>
      </c>
    </row>
    <row r="35" spans="1:2">
      <c r="A35" s="57" t="s">
        <v>250</v>
      </c>
      <c r="B35" s="56">
        <v>10</v>
      </c>
    </row>
    <row r="36" spans="1:2">
      <c r="A36" s="57" t="s">
        <v>251</v>
      </c>
      <c r="B36" s="56">
        <v>10</v>
      </c>
    </row>
    <row r="37" spans="1:2">
      <c r="A37" s="57" t="s">
        <v>212</v>
      </c>
      <c r="B37" s="56">
        <v>10</v>
      </c>
    </row>
    <row r="38" spans="1:2">
      <c r="A38" s="57" t="s">
        <v>252</v>
      </c>
      <c r="B38" s="56">
        <v>10</v>
      </c>
    </row>
    <row r="39" spans="1:2">
      <c r="A39" s="57" t="s">
        <v>253</v>
      </c>
      <c r="B39" s="56">
        <v>10</v>
      </c>
    </row>
    <row r="40" spans="1:2">
      <c r="A40" s="57" t="s">
        <v>254</v>
      </c>
      <c r="B40" s="56">
        <v>500</v>
      </c>
    </row>
    <row r="41" spans="1:2">
      <c r="A41" s="57" t="s">
        <v>255</v>
      </c>
      <c r="B41" s="56">
        <v>500</v>
      </c>
    </row>
    <row r="42" spans="1:2">
      <c r="A42" s="57" t="s">
        <v>256</v>
      </c>
      <c r="B42" s="56">
        <v>5</v>
      </c>
    </row>
    <row r="43" spans="1:2">
      <c r="A43" s="57" t="s">
        <v>257</v>
      </c>
      <c r="B43" s="56">
        <v>5</v>
      </c>
    </row>
    <row r="44" spans="1:2">
      <c r="A44" s="57" t="s">
        <v>258</v>
      </c>
      <c r="B44" s="56">
        <v>5</v>
      </c>
    </row>
    <row r="45" spans="1:2">
      <c r="A45" s="57" t="s">
        <v>259</v>
      </c>
      <c r="B45" s="56">
        <v>5</v>
      </c>
    </row>
    <row r="46" spans="1:2">
      <c r="A46" s="57" t="s">
        <v>260</v>
      </c>
      <c r="B46" s="56">
        <v>100</v>
      </c>
    </row>
    <row r="47" spans="1:2">
      <c r="A47" s="57" t="s">
        <v>261</v>
      </c>
      <c r="B47" s="56">
        <v>60</v>
      </c>
    </row>
    <row r="48" spans="1:2">
      <c r="A48" s="57" t="s">
        <v>262</v>
      </c>
      <c r="B48" s="56">
        <v>100</v>
      </c>
    </row>
    <row r="49" spans="1:2">
      <c r="A49" s="57" t="s">
        <v>263</v>
      </c>
      <c r="B49" s="56">
        <v>300</v>
      </c>
    </row>
    <row r="50" spans="1:2">
      <c r="A50" s="57" t="s">
        <v>264</v>
      </c>
      <c r="B50" s="56">
        <v>200</v>
      </c>
    </row>
    <row r="51" spans="1:2">
      <c r="A51" s="57" t="s">
        <v>265</v>
      </c>
      <c r="B51" s="56">
        <v>300</v>
      </c>
    </row>
    <row r="52" spans="1:2">
      <c r="A52" s="57" t="s">
        <v>266</v>
      </c>
      <c r="B52" s="56">
        <v>10000</v>
      </c>
    </row>
    <row r="53" spans="1: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2018-03-07T08:57:00Z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