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G61" i="5"/>
  <c r="G26" i="5"/>
  <c r="G81" i="5"/>
  <c r="G77" i="5"/>
  <c r="G86" i="5"/>
  <c r="G20" i="5"/>
  <c r="G8" i="5"/>
  <c r="G18" i="5"/>
  <c r="G2" i="5"/>
  <c r="G23" i="5"/>
  <c r="G46" i="5"/>
  <c r="G58" i="5"/>
  <c r="G34" i="5"/>
  <c r="G37" i="5"/>
  <c r="G85" i="5"/>
  <c r="G67" i="5"/>
  <c r="G80" i="5"/>
  <c r="G30" i="5"/>
  <c r="G91" i="5"/>
  <c r="G89" i="5"/>
  <c r="G88" i="5"/>
  <c r="G41" i="5"/>
  <c r="G7" i="5"/>
  <c r="G50" i="5"/>
  <c r="G82" i="5"/>
  <c r="G73" i="5"/>
  <c r="G79" i="5"/>
  <c r="G69" i="5"/>
  <c r="G40" i="5"/>
  <c r="G68" i="5"/>
  <c r="G66" i="5"/>
  <c r="G42" i="5"/>
  <c r="G29" i="5"/>
  <c r="G31" i="5"/>
  <c r="G70" i="5"/>
  <c r="G53" i="5"/>
  <c r="G32" i="5"/>
  <c r="G72" i="5"/>
  <c r="G57" i="5"/>
  <c r="G56" i="5"/>
  <c r="G45" i="5"/>
  <c r="C36" i="2" l="1"/>
  <c r="C37" i="2"/>
  <c r="C38" i="2"/>
  <c r="C39" i="2"/>
  <c r="C40" i="2"/>
  <c r="C41" i="2"/>
  <c r="C42" i="2"/>
  <c r="Q66" i="5"/>
  <c r="K66" i="5" l="1"/>
  <c r="C32" i="2"/>
  <c r="C33" i="2"/>
  <c r="C34" i="2"/>
  <c r="C35" i="2"/>
  <c r="Q85" i="5"/>
  <c r="Q23" i="5"/>
  <c r="Q40" i="5"/>
  <c r="Q2" i="5"/>
  <c r="Q29" i="5"/>
  <c r="Q18" i="5"/>
  <c r="Q72" i="5"/>
  <c r="Q31" i="5"/>
  <c r="Q88" i="5"/>
  <c r="Q30" i="5"/>
  <c r="Q82" i="5"/>
  <c r="Q34" i="5"/>
  <c r="Q68" i="5"/>
  <c r="Q81" i="5"/>
  <c r="Q77" i="5"/>
  <c r="Q73" i="5"/>
  <c r="Q57" i="5"/>
  <c r="Q67" i="5"/>
  <c r="Q91" i="5"/>
  <c r="Q89" i="5"/>
  <c r="Q80" i="5"/>
  <c r="Q56" i="5"/>
  <c r="Q45" i="5"/>
  <c r="Q37" i="5"/>
  <c r="Q86" i="5"/>
  <c r="Q58" i="5"/>
  <c r="Q26" i="5"/>
  <c r="Q61" i="5"/>
  <c r="Q41" i="5"/>
  <c r="Q50" i="5"/>
  <c r="Q46" i="5"/>
  <c r="Q8" i="5"/>
  <c r="Q42" i="5"/>
  <c r="Q53" i="5"/>
  <c r="Q69" i="5"/>
  <c r="Q7" i="5"/>
  <c r="Q70" i="5"/>
  <c r="Q79" i="5"/>
  <c r="Q32" i="5"/>
  <c r="Q20" i="5"/>
  <c r="S164" i="1"/>
  <c r="K7" i="5" l="1"/>
  <c r="K68" i="5"/>
  <c r="K88" i="5"/>
  <c r="K53" i="5"/>
  <c r="K67" i="5"/>
  <c r="K20" i="5"/>
  <c r="K29" i="5"/>
  <c r="K72" i="5"/>
  <c r="K2" i="5"/>
  <c r="K82" i="5"/>
  <c r="K77" i="5"/>
  <c r="K32" i="5"/>
  <c r="K34" i="5"/>
  <c r="K23" i="5"/>
  <c r="K58" i="5"/>
  <c r="K69" i="5"/>
  <c r="K8" i="5"/>
  <c r="K26" i="5"/>
  <c r="K50" i="5"/>
  <c r="K61" i="5"/>
  <c r="K18" i="5"/>
  <c r="K37" i="5"/>
  <c r="K86" i="5"/>
  <c r="K85" i="5"/>
  <c r="K45" i="5"/>
  <c r="K42" i="5"/>
  <c r="K81" i="5"/>
  <c r="K56" i="5"/>
  <c r="K73" i="5"/>
  <c r="K89" i="5"/>
  <c r="K57" i="5"/>
  <c r="K79" i="5"/>
  <c r="K46" i="5"/>
  <c r="K30" i="5"/>
  <c r="K70" i="5"/>
  <c r="K31" i="5"/>
  <c r="K80" i="5"/>
  <c r="K40" i="5"/>
  <c r="K41" i="5"/>
  <c r="J225" i="1"/>
  <c r="I223" i="1" l="1"/>
  <c r="I222" i="1"/>
  <c r="S281" i="1" l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63" i="1"/>
  <c r="M271" i="1"/>
  <c r="M275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72" i="1"/>
  <c r="S82" i="1"/>
  <c r="S22" i="1"/>
  <c r="S53" i="1"/>
  <c r="S239" i="1"/>
  <c r="S180" i="1"/>
  <c r="S192" i="1"/>
  <c r="S256" i="1"/>
  <c r="S198" i="1"/>
  <c r="S207" i="1"/>
  <c r="S100" i="1"/>
  <c r="S222" i="1"/>
  <c r="S247" i="1"/>
  <c r="S161" i="1"/>
  <c r="S132" i="1"/>
  <c r="S220" i="1"/>
  <c r="S77" i="1"/>
  <c r="S86" i="1"/>
  <c r="S215" i="1"/>
  <c r="S185" i="1"/>
  <c r="S250" i="1"/>
  <c r="S93" i="1"/>
  <c r="S6" i="1"/>
  <c r="S40" i="1"/>
  <c r="S23" i="1"/>
  <c r="S37" i="1"/>
  <c r="S259" i="1"/>
  <c r="S94" i="1"/>
  <c r="S150" i="1"/>
  <c r="S80" i="1"/>
  <c r="S195" i="1"/>
  <c r="S24" i="1"/>
  <c r="S226" i="1"/>
  <c r="S55" i="1"/>
  <c r="S88" i="1"/>
  <c r="S76" i="1"/>
  <c r="S137" i="1"/>
  <c r="S118" i="1"/>
  <c r="S117" i="1"/>
  <c r="S50" i="1"/>
  <c r="S103" i="1"/>
  <c r="S39" i="1"/>
  <c r="S65" i="1"/>
  <c r="S112" i="1"/>
  <c r="S270" i="1"/>
  <c r="S203" i="1"/>
  <c r="S10" i="1"/>
  <c r="S74" i="1"/>
  <c r="S225" i="1"/>
  <c r="S9" i="1"/>
  <c r="S107" i="1"/>
  <c r="S228" i="1"/>
  <c r="S211" i="1"/>
  <c r="S127" i="1"/>
  <c r="S78" i="1"/>
  <c r="S72" i="1"/>
  <c r="S184" i="1"/>
  <c r="S257" i="1"/>
  <c r="S212" i="1"/>
  <c r="S5" i="1"/>
  <c r="S264" i="1"/>
  <c r="S188" i="1"/>
  <c r="S200" i="1"/>
  <c r="S144" i="1"/>
  <c r="S129" i="1"/>
  <c r="S4" i="1"/>
  <c r="S254" i="1"/>
  <c r="S125" i="1"/>
  <c r="S218" i="1"/>
  <c r="S156" i="1"/>
  <c r="S273" i="1"/>
  <c r="S183" i="1"/>
  <c r="S154" i="1"/>
  <c r="S67" i="1"/>
  <c r="S242" i="1"/>
  <c r="S280" i="1"/>
  <c r="S47" i="1"/>
  <c r="S81" i="1"/>
  <c r="S124" i="1"/>
  <c r="S193" i="1"/>
  <c r="S60" i="1"/>
  <c r="S202" i="1"/>
  <c r="S102" i="1"/>
  <c r="S204" i="1"/>
  <c r="S70" i="1"/>
  <c r="S162" i="1"/>
  <c r="S97" i="1"/>
  <c r="S126" i="1"/>
  <c r="S263" i="1"/>
  <c r="S46" i="1"/>
  <c r="S116" i="1"/>
  <c r="S87" i="1"/>
  <c r="S141" i="1"/>
  <c r="S210" i="1"/>
  <c r="S176" i="1"/>
  <c r="S108" i="1"/>
  <c r="S213" i="1"/>
  <c r="S230" i="1"/>
  <c r="S71" i="1"/>
  <c r="S90" i="1"/>
  <c r="S89" i="1"/>
  <c r="S190" i="1"/>
  <c r="S148" i="1"/>
  <c r="S194" i="1"/>
  <c r="S109" i="1"/>
  <c r="S157" i="1"/>
  <c r="S251" i="1"/>
  <c r="S279" i="1"/>
  <c r="S106" i="1"/>
  <c r="S73" i="1"/>
  <c r="S3" i="1"/>
  <c r="S147" i="1"/>
  <c r="S171" i="1"/>
  <c r="S274" i="1"/>
  <c r="S155" i="1"/>
  <c r="S187" i="1"/>
  <c r="S19" i="1"/>
  <c r="S131" i="1"/>
  <c r="S48" i="1"/>
  <c r="S174" i="1"/>
  <c r="S136" i="1"/>
  <c r="S119" i="1"/>
  <c r="S92" i="1"/>
  <c r="S91" i="1"/>
  <c r="S38" i="1"/>
  <c r="S64" i="1"/>
  <c r="S253" i="1"/>
  <c r="S186" i="1"/>
  <c r="S217" i="1"/>
  <c r="S62" i="1"/>
  <c r="S142" i="1"/>
  <c r="S120" i="1"/>
  <c r="S172" i="1"/>
  <c r="S216" i="1"/>
  <c r="S214" i="1"/>
  <c r="S260" i="1"/>
  <c r="S208" i="1"/>
  <c r="S266" i="1"/>
  <c r="S165" i="1"/>
  <c r="S223" i="1"/>
  <c r="S14" i="1"/>
  <c r="S61" i="1"/>
  <c r="S158" i="1"/>
  <c r="S104" i="1"/>
  <c r="S238" i="1"/>
  <c r="S51" i="1"/>
  <c r="S83" i="1"/>
  <c r="S159" i="1"/>
  <c r="S145" i="1"/>
  <c r="S123" i="1"/>
  <c r="S227" i="1"/>
  <c r="S33" i="1"/>
  <c r="S143" i="1"/>
  <c r="S244" i="1"/>
  <c r="S178" i="1"/>
  <c r="S236" i="1"/>
  <c r="S18" i="1"/>
  <c r="S8" i="1"/>
  <c r="S42" i="1"/>
  <c r="S12" i="1"/>
  <c r="S268" i="1"/>
  <c r="S201" i="1"/>
  <c r="S75" i="1"/>
  <c r="S175" i="1"/>
  <c r="S191" i="1"/>
  <c r="S170" i="1"/>
  <c r="S66" i="1"/>
  <c r="S205" i="1"/>
  <c r="S219" i="1"/>
  <c r="S269" i="1"/>
  <c r="S152" i="1"/>
  <c r="S235" i="1"/>
  <c r="S7" i="1"/>
  <c r="S278" i="1"/>
  <c r="S101" i="1"/>
  <c r="S209" i="1"/>
  <c r="S43" i="1"/>
  <c r="S13" i="1"/>
  <c r="S166" i="1"/>
  <c r="S196" i="1"/>
  <c r="S139" i="1"/>
  <c r="S11" i="1"/>
  <c r="S63" i="1"/>
  <c r="S276" i="1"/>
  <c r="S249" i="1"/>
  <c r="S237" i="1"/>
  <c r="S199" i="1"/>
  <c r="S17" i="1"/>
  <c r="S21" i="1"/>
  <c r="S245" i="1"/>
  <c r="S177" i="1"/>
  <c r="S54" i="1"/>
  <c r="S246" i="1"/>
  <c r="S241" i="1"/>
  <c r="S197" i="1"/>
  <c r="S122" i="1"/>
  <c r="S35" i="1"/>
  <c r="S113" i="1"/>
  <c r="S233" i="1"/>
  <c r="S41" i="1"/>
  <c r="S95" i="1"/>
  <c r="S99" i="1"/>
  <c r="S27" i="1"/>
  <c r="S252" i="1"/>
  <c r="S267" i="1"/>
  <c r="S121" i="1"/>
  <c r="S261" i="1"/>
  <c r="S167" i="1"/>
  <c r="S110" i="1"/>
  <c r="S169" i="1"/>
  <c r="S224" i="1"/>
  <c r="S277" i="1"/>
  <c r="S84" i="1"/>
  <c r="S2" i="1"/>
  <c r="S45" i="1"/>
  <c r="S275" i="1"/>
  <c r="S111" i="1"/>
  <c r="S49" i="1"/>
  <c r="S231" i="1"/>
  <c r="S96" i="1"/>
  <c r="S128" i="1"/>
  <c r="S79" i="1"/>
  <c r="S56" i="1"/>
  <c r="S181" i="1"/>
  <c r="S182" i="1"/>
  <c r="S189" i="1"/>
  <c r="S168" i="1"/>
  <c r="S149" i="1"/>
  <c r="S138" i="1"/>
  <c r="S57" i="1"/>
  <c r="S135" i="1"/>
  <c r="S262" i="1"/>
  <c r="S151" i="1"/>
  <c r="S271" i="1"/>
  <c r="S130" i="1"/>
  <c r="S160" i="1"/>
  <c r="S229" i="1"/>
  <c r="S133" i="1"/>
  <c r="S206" i="1"/>
  <c r="S15" i="1"/>
  <c r="S69" i="1"/>
  <c r="S258" i="1"/>
  <c r="S44" i="1"/>
  <c r="S59" i="1"/>
  <c r="S105" i="1"/>
  <c r="S221" i="1"/>
  <c r="S68" i="1"/>
  <c r="S248" i="1"/>
  <c r="S140" i="1"/>
  <c r="S179" i="1"/>
  <c r="S20" i="1"/>
  <c r="S146" i="1"/>
  <c r="S240" i="1"/>
  <c r="S153" i="1"/>
  <c r="S114" i="1"/>
  <c r="S234" i="1"/>
  <c r="S134" i="1"/>
  <c r="S36" i="1"/>
  <c r="S26" i="1"/>
  <c r="S232" i="1"/>
  <c r="S115" i="1"/>
  <c r="S52" i="1"/>
  <c r="S16" i="1"/>
  <c r="S265" i="1"/>
  <c r="S58" i="1"/>
  <c r="S243" i="1"/>
  <c r="S85" i="1"/>
  <c r="S98" i="1"/>
  <c r="S255" i="1"/>
  <c r="S173" i="1"/>
  <c r="S163" i="1"/>
  <c r="M273" i="1" l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324" i="1"/>
  <c r="U353" i="1"/>
  <c r="U321" i="1"/>
  <c r="U289" i="1"/>
  <c r="U361" i="1"/>
  <c r="U345" i="1"/>
  <c r="U329" i="1"/>
  <c r="U313" i="1"/>
  <c r="U297" i="1"/>
  <c r="U281" i="1"/>
  <c r="T364" i="1"/>
  <c r="T348" i="1"/>
  <c r="T332" i="1"/>
  <c r="T316" i="1"/>
  <c r="T300" i="1"/>
  <c r="T284" i="1"/>
  <c r="U357" i="1"/>
  <c r="U341" i="1"/>
  <c r="U325" i="1"/>
  <c r="U309" i="1"/>
  <c r="U293" i="1"/>
  <c r="T360" i="1"/>
  <c r="T344" i="1"/>
  <c r="T328" i="1"/>
  <c r="T312" i="1"/>
  <c r="T296" i="1"/>
  <c r="U369" i="1"/>
  <c r="U337" i="1"/>
  <c r="U305" i="1"/>
  <c r="U365" i="1"/>
  <c r="U349" i="1"/>
  <c r="U333" i="1"/>
  <c r="U317" i="1"/>
  <c r="U301" i="1"/>
  <c r="U285" i="1"/>
  <c r="T368" i="1"/>
  <c r="T352" i="1"/>
  <c r="T336" i="1"/>
  <c r="T320" i="1"/>
  <c r="T304" i="1"/>
  <c r="T288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T275" i="1"/>
  <c r="T276" i="1" s="1"/>
  <c r="T277" i="1" s="1"/>
  <c r="T278" i="1" s="1"/>
  <c r="T279" i="1" s="1"/>
  <c r="T280" i="1" s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80" i="1" l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<sst xmlns="http://schemas.openxmlformats.org/spreadsheetml/2006/main" count="512" uniqueCount="337">
  <si>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</si>
  <si>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</si>
  <si>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</si>
  <si>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</si>
  <si>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</si>
  <si>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</si>
  <si>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</si>
  <si>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</si>
  <si>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</si>
  <si>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</si>
  <si>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</si>
  <si>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</si>
  <si>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</si>
  <si>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</si>
  <si>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</si>
  <si>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</si>
  <si>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</si>
  <si>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</si>
  <si>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</si>
  <si>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</si>
  <si>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</si>
  <si>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</si>
  <si>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</si>
  <si>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</si>
  <si>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</si>
  <si>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</si>
  <si>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</si>
  <si>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</si>
  <si>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</si>
  <si>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</si>
  <si>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</si>
  <si>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</si>
  <si>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</si>
  <si>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</si>
  <si>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</si>
  <si>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</si>
  <si>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</si>
  <si>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</si>
  <si>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</si>
  <si>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</si>
  <si>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</si>
  <si>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</si>
  <si>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</si>
  <si>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</si>
  <si>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</si>
  <si>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</si>
  <si>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</si>
  <si>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</si>
  <si>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</si>
  <si>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</si>
  <si>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</si>
  <si>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</si>
  <si>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</si>
  <si>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</si>
  <si>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</si>
  <si>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</si>
  <si>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</si>
  <si>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</si>
  <si>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</si>
  <si>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</si>
  <si>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</si>
  <si>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</si>
  <si>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</si>
  <si>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</si>
  <si>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</si>
  <si>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</si>
  <si>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</si>
  <si>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</si>
  <si>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</si>
  <si>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</si>
  <si>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</si>
  <si>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</si>
  <si>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</si>
  <si>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</si>
  <si>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</si>
  <si>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</si>
  <si>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</si>
  <si>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</si>
  <si>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</si>
  <si>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</si>
  <si>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</si>
  <si>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</si>
  <si>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</si>
  <si>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</si>
  <si>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</si>
  <si>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</si>
  <si>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</si>
  <si>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</si>
  <si>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</si>
  <si>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</si>
  <si>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</si>
  <si>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</si>
  <si>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</si>
  <si>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</si>
  <si>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</si>
  <si>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</si>
  <si>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</si>
  <si>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</si>
  <si>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</si>
  <si>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</si>
  <si>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</si>
  <si>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</si>
  <si>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</si>
  <si>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</si>
  <si>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</si>
  <si>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</si>
  <si>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</si>
  <si>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</si>
  <si>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</si>
  <si>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</si>
  <si>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</si>
  <si>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</si>
  <si>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</si>
  <si>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</si>
  <si>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</si>
  <si>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</si>
  <si>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</si>
  <si>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</si>
  <si>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</si>
  <si>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</si>
  <si>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</si>
  <si>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</si>
  <si>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</si>
  <si>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</si>
  <si>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</si>
  <si>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</si>
  <si>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</si>
  <si>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</si>
  <si>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</si>
  <si>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</si>
  <si>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</si>
  <si>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</si>
  <si>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</si>
  <si>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</si>
  <si>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</si>
  <si>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</si>
  <si>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</si>
  <si>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</si>
  <si>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</si>
  <si>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</si>
  <si>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</si>
  <si>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</si>
  <si>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</si>
  <si>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</si>
  <si>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</si>
  <si>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</si>
  <si>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</si>
  <si>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</si>
  <si>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</si>
  <si>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</si>
  <si>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</si>
  <si>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</si>
  <si>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</si>
  <si>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</si>
  <si>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</si>
  <si>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</si>
  <si>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</si>
  <si>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</si>
  <si>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</si>
  <si>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</si>
  <si>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</si>
  <si>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</si>
  <si>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</si>
  <si>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</si>
  <si>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</si>
  <si>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</si>
  <si>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</si>
  <si>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</si>
  <si>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</si>
  <si>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</si>
  <si>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</si>
  <si>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</si>
  <si>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</si>
  <si>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</si>
  <si>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</si>
  <si>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</si>
  <si>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</si>
  <si>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</si>
  <si>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</si>
  <si>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</si>
  <si>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</si>
  <si>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</si>
  <si>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</si>
  <si>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</si>
  <si>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</si>
  <si>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</si>
  <si>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</si>
  <si>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</si>
  <si>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</si>
  <si>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</si>
  <si>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</si>
  <si>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</si>
  <si>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</si>
  <si>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</si>
  <si>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</si>
  <si>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</si>
  <si>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</si>
  <si>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</si>
  <si>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</si>
  <si>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</si>
  <si>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</si>
  <si>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</si>
  <si>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</si>
  <si>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</si>
  <si>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</si>
  <si>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</si>
  <si>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</si>
  <si>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</si>
  <si>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</si>
  <si>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</si>
  <si>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</si>
  <si>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</si>
  <si>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</si>
  <si>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</si>
  <si>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</si>
  <si>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</si>
  <si>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</si>
  <si>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</si>
  <si>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</si>
  <si>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</si>
  <si>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</si>
  <si>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</si>
  <si>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</si>
  <si>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</si>
  <si>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</si>
  <si>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</si>
  <si>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</si>
  <si>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</si>
  <si>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</si>
  <si>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</si>
  <si>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</si>
  <si>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</si>
  <si>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</si>
  <si>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</si>
  <si>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</si>
  <si>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</si>
  <si>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</si>
  <si>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</si>
  <si>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</si>
  <si>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</si>
  <si>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</si>
  <si>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</si>
  <si>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</si>
  <si>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</si>
  <si>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</si>
  <si>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</si>
  <si>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</si>
  <si>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</si>
  <si>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</si>
  <si>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</si>
  <si>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</si>
  <si>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</si>
  <si>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</si>
  <si>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</si>
  <si>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</si>
  <si>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</si>
  <si>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</si>
  <si>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</si>
  <si>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</si>
  <si>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</si>
  <si>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</si>
  <si>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</si>
  <si>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</si>
  <si>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</si>
  <si>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</si>
  <si>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</si>
  <si>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</si>
  <si>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</si>
  <si>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</si>
  <si>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</si>
  <si>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</si>
  <si>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</si>
  <si>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</si>
  <si>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</si>
  <si>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</si>
  <si>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</si>
  <si>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</si>
  <si>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</si>
  <si>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</si>
  <si>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</si>
  <si>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</si>
  <si>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</si>
  <si>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</si>
  <si>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</si>
  <si>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</si>
  <si>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</si>
  <si>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</si>
  <si>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</si>
  <si>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</si>
  <si>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</si>
  <si>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</si>
  <si>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</si>
  <si>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</si>
  <si>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</si>
  <si>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</si>
  <si>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</si>
  <si>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</si>
  <si>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</si>
  <si>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</si>
  <si>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</si>
  <si>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</si>
  <si>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</si>
  <si>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</si>
  <si>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</si>
  <si>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</si>
  <si>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</si>
  <si>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</si>
  <si>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</si>
  <si>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</si>
  <si>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</si>
  <si>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</si>
  <si>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</si>
  <si>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</si>
  <si>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</si>
  <si>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</si>
  <si>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</si>
  <si>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</si>
  <si>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有色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</si>
  <si>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</si>
  <si>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</si>
  <si>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</si>
  <si>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金融</t>
    <phoneticPr fontId="1" type="noConversion"/>
  </si>
  <si>
    <t>贵金属</t>
    <phoneticPr fontId="1" type="noConversion"/>
  </si>
  <si>
    <t>实际仓位</t>
    <phoneticPr fontId="1" type="noConversion"/>
  </si>
  <si>
    <t>理论手数</t>
    <phoneticPr fontId="1" type="noConversion"/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</si>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</sst>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14" fontId="8" fillId="0" borderId="0" xfId="0" applyNumberFormat="1" applyFont="1" applyBorder="1"/>
    <xf numFmtId="20" fontId="8" fillId="0" borderId="0" xfId="0" applyNumberFormat="1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195792"/>
        <c:axId val="297196912"/>
      </c:lineChart>
      <c:dateAx>
        <c:axId val="29719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7196912"/>
        <c:crosses val="autoZero"/>
        <c:auto val="1"/>
        <c:lblOffset val="100"/>
        <c:baseTimeUnit val="days"/>
      </c:dateAx>
      <c:valAx>
        <c:axId val="29719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719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权益!$A$19:$A$48</c:f>
              <c:numCache>
                <c:formatCode>m/d/yyyy</c:formatCode>
                <c:ptCount val="30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</c:numCache>
            </c:numRef>
          </c:cat>
          <c:val>
            <c:numRef>
              <c:f>权益!$B$19:$B$48</c:f>
              <c:numCache>
                <c:formatCode>_ * #,##0_ ;_ * \-#,##0_ ;_ * "-"??_ ;_ @_ </c:formatCode>
                <c:ptCount val="30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200832"/>
        <c:axId val="297201392"/>
      </c:lineChart>
      <c:dateAx>
        <c:axId val="297200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7201392"/>
        <c:crosses val="autoZero"/>
        <c:auto val="1"/>
        <c:lblOffset val="100"/>
        <c:baseTimeUnit val="days"/>
      </c:dateAx>
      <c:valAx>
        <c:axId val="29720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720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tabSelected="1" workbookViewId="0">
      <pane ySplit="1" topLeftCell="A23" activePane="bottomLeft" state="frozen"/>
      <selection pane="bottomLeft" activeCell="E26" sqref="E2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0.25096525096525096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0.82955166554092041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8">
        <f t="shared" si="1"/>
        <v>0.96463829999999995</v>
      </c>
    </row>
    <row r="44" spans="1:3">
      <c r="A44" s="2">
        <v>43159</v>
      </c>
      <c r="B44" s="25">
        <v>9645561</v>
      </c>
      <c r="C44" s="88">
        <f t="shared" si="1"/>
        <v>0.96455610000000003</v>
      </c>
    </row>
    <row r="45" spans="1:3">
      <c r="A45" s="2">
        <v>43160</v>
      </c>
      <c r="B45" s="25">
        <v>9644799</v>
      </c>
      <c r="C45" s="88">
        <f t="shared" si="1"/>
        <v>0.96447989999999995</v>
      </c>
    </row>
    <row r="46" spans="1:3">
      <c r="A46" s="19">
        <v>43161</v>
      </c>
      <c r="B46" s="41">
        <v>9631738</v>
      </c>
      <c r="C46" s="88">
        <f t="shared" si="1"/>
        <v>0.96317379999999997</v>
      </c>
    </row>
    <row r="47" spans="1:3">
      <c r="A47" s="2">
        <v>43164</v>
      </c>
      <c r="B47" s="25">
        <v>9596808</v>
      </c>
      <c r="C47" s="88">
        <f t="shared" si="1"/>
        <v>0.9596808</v>
      </c>
    </row>
    <row r="48" spans="1:3">
      <c r="A48" s="2">
        <v>43165</v>
      </c>
      <c r="B48" s="25">
        <v>9571733</v>
      </c>
      <c r="C48" s="88">
        <f t="shared" si="1"/>
        <v>0.9571733</v>
      </c>
    </row>
    <row r="49" spans="1:3">
      <c r="A49" s="2">
        <v>43166</v>
      </c>
      <c r="C49" s="88">
        <f t="shared" si="1"/>
        <v>0</v>
      </c>
    </row>
    <row r="50" spans="1:3">
      <c r="A50" s="2">
        <v>43167</v>
      </c>
      <c r="C50" s="88">
        <f t="shared" si="1"/>
        <v>0</v>
      </c>
    </row>
    <row r="51" spans="1:3">
      <c r="A51" s="19">
        <v>43168</v>
      </c>
      <c r="B51" s="41"/>
      <c r="C51" s="88">
        <f t="shared" si="1"/>
        <v>0</v>
      </c>
    </row>
    <row r="52" spans="1:3">
      <c r="A52" s="2">
        <v>43171</v>
      </c>
      <c r="C52" s="88">
        <f t="shared" si="1"/>
        <v>0</v>
      </c>
    </row>
    <row r="53" spans="1:3">
      <c r="A53" s="2">
        <v>43172</v>
      </c>
      <c r="C53" s="88">
        <f t="shared" si="1"/>
        <v>0</v>
      </c>
    </row>
    <row r="54" spans="1:3">
      <c r="A54" s="2">
        <v>43173</v>
      </c>
      <c r="C54" s="88">
        <f t="shared" si="1"/>
        <v>0</v>
      </c>
    </row>
    <row r="55" spans="1:3">
      <c r="A55" s="2">
        <v>43174</v>
      </c>
      <c r="C55" s="88">
        <f t="shared" si="1"/>
        <v>0</v>
      </c>
    </row>
    <row r="56" spans="1:3">
      <c r="A56" s="19">
        <v>43175</v>
      </c>
      <c r="B56" s="41"/>
      <c r="C56" s="88">
        <f t="shared" si="1"/>
        <v>0</v>
      </c>
    </row>
    <row r="57" spans="1:3">
      <c r="A57" s="2">
        <v>43178</v>
      </c>
      <c r="C57" s="88">
        <f t="shared" si="1"/>
        <v>0</v>
      </c>
    </row>
    <row r="58" spans="1:3">
      <c r="A58" s="2">
        <v>43179</v>
      </c>
      <c r="C58" s="88">
        <f t="shared" si="1"/>
        <v>0</v>
      </c>
    </row>
    <row r="59" spans="1:3">
      <c r="A59" s="2">
        <v>43180</v>
      </c>
      <c r="C59" s="88">
        <f t="shared" si="1"/>
        <v>0</v>
      </c>
    </row>
    <row r="60" spans="1:3">
      <c r="A60" s="2">
        <v>43181</v>
      </c>
      <c r="C60" s="88">
        <f t="shared" si="1"/>
        <v>0</v>
      </c>
    </row>
    <row r="61" spans="1:3">
      <c r="A61" s="2">
        <v>43182</v>
      </c>
      <c r="C61" s="88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workbookViewId="0">
      <pane ySplit="1" topLeftCell="A262" activePane="bottomLeft" state="frozen"/>
      <selection pane="bottomLeft" activeCell="K279" sqref="K279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89</v>
      </c>
      <c r="F1" s="58" t="s">
        <v>41</v>
      </c>
      <c r="G1" s="59" t="s">
        <v>182</v>
      </c>
      <c r="H1" s="60" t="s">
        <v>190</v>
      </c>
      <c r="I1" s="59" t="s">
        <v>181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183</v>
      </c>
      <c r="O1" s="58" t="s">
        <v>186</v>
      </c>
      <c r="P1" s="62" t="s">
        <v>184</v>
      </c>
      <c r="Q1" s="62" t="s">
        <v>185</v>
      </c>
      <c r="S1" s="63" t="s">
        <v>6</v>
      </c>
      <c r="T1" s="64"/>
      <c r="U1" s="65">
        <f>COUNT(M2:M9987)</f>
        <v>259</v>
      </c>
      <c r="V1" s="64">
        <f>COUNTIF(M2:M9987,"&gt;0")</f>
        <v>65</v>
      </c>
      <c r="W1" s="64">
        <f>COUNTIF(M2:M9987,"&lt;0")</f>
        <v>189</v>
      </c>
      <c r="X1" s="64">
        <f>SUMIF(M2:M9987,"&gt;0")</f>
        <v>920696.04999999993</v>
      </c>
      <c r="Y1" s="64">
        <f>ABS(SUMIF(M2:M9987,"&lt;0"))</f>
        <v>1109871.8600000008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284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285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286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287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288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290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291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292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293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294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295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296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297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298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300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301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302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303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304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305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306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307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308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310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311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M263" s="16" t="str">
        <f t="shared" si="103"/>
        <v/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312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313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314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315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325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326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327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328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/>
      <c r="K271" s="34"/>
      <c r="L271" s="34"/>
      <c r="M271" s="40" t="str">
        <f t="shared" si="103"/>
        <v/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329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330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331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332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8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333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39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334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335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M278" s="16" t="str">
        <f t="shared" si="119"/>
        <v/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336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2">
        <v>43165</v>
      </c>
      <c r="B280" s="1" t="s">
        <v>23</v>
      </c>
      <c r="C280" s="1">
        <v>-15</v>
      </c>
      <c r="D280" s="1">
        <v>101930</v>
      </c>
      <c r="E280" s="2">
        <v>43164</v>
      </c>
      <c r="F280" s="26">
        <v>0.88263888888888886</v>
      </c>
      <c r="G280" s="17">
        <v>2.4E-2</v>
      </c>
      <c r="H280" s="52">
        <v>1</v>
      </c>
      <c r="I280" s="17">
        <f t="shared" si="118"/>
        <v>2.4E-2</v>
      </c>
      <c r="M280" s="16" t="str">
        <f t="shared" si="119"/>
        <v/>
      </c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I281" s="17" t="str">
        <f t="shared" si="118"/>
        <v/>
      </c>
      <c r="M281" s="16" t="str">
        <f t="shared" si="119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1:23">
      <c r="I282" s="17" t="str">
        <f t="shared" si="118"/>
        <v/>
      </c>
      <c r="M282" s="16" t="str">
        <f t="shared" si="119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1:23">
      <c r="I283" s="17" t="str">
        <f t="shared" si="118"/>
        <v/>
      </c>
      <c r="M283" s="16" t="str">
        <f t="shared" si="119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1:23">
      <c r="I284" s="17" t="str">
        <f t="shared" si="118"/>
        <v/>
      </c>
      <c r="M284" s="16" t="str">
        <f t="shared" si="119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20">IF(S284="","",T284*I284/(D284*S284*0.15))</f>
        <v/>
      </c>
      <c r="W284" s="11"/>
    </row>
    <row r="285" spans="1:23">
      <c r="I285" s="17" t="str">
        <f t="shared" si="118"/>
        <v/>
      </c>
      <c r="M285" s="16" t="str">
        <f t="shared" si="119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20"/>
        <v/>
      </c>
      <c r="W285" s="11"/>
    </row>
    <row r="286" spans="1:23">
      <c r="I286" s="17" t="str">
        <f t="shared" si="118"/>
        <v/>
      </c>
      <c r="M286" s="16" t="str">
        <f t="shared" si="119"/>
        <v/>
      </c>
      <c r="S286" t="str">
        <f>IF(B286="","",VLOOKUP(Cmt(B286),Sheet2!A:B,2,FALSE))</f>
        <v/>
      </c>
      <c r="T286" s="39" t="str">
        <f t="shared" ref="T286:T349" si="121">IF(S286="","",T285)</f>
        <v/>
      </c>
      <c r="U286" s="13" t="str">
        <f t="shared" si="120"/>
        <v/>
      </c>
      <c r="W286" s="11"/>
    </row>
    <row r="287" spans="1:23">
      <c r="I287" s="17" t="str">
        <f t="shared" si="118"/>
        <v/>
      </c>
      <c r="M287" s="16" t="str">
        <f t="shared" si="119"/>
        <v/>
      </c>
      <c r="S287" t="str">
        <f>IF(B287="","",VLOOKUP(Cmt(B287),Sheet2!A:B,2,FALSE))</f>
        <v/>
      </c>
      <c r="T287" s="39" t="str">
        <f t="shared" si="121"/>
        <v/>
      </c>
      <c r="U287" s="13" t="str">
        <f t="shared" si="120"/>
        <v/>
      </c>
      <c r="W287" s="11"/>
    </row>
    <row r="288" spans="1:23">
      <c r="I288" s="17" t="str">
        <f t="shared" si="118"/>
        <v/>
      </c>
      <c r="M288" s="16" t="str">
        <f t="shared" si="119"/>
        <v/>
      </c>
      <c r="S288" t="str">
        <f>IF(B288="","",VLOOKUP(Cmt(B288),Sheet2!A:B,2,FALSE))</f>
        <v/>
      </c>
      <c r="T288" s="39" t="str">
        <f t="shared" si="121"/>
        <v/>
      </c>
      <c r="U288" s="13" t="str">
        <f t="shared" si="120"/>
        <v/>
      </c>
      <c r="W288" s="11"/>
    </row>
    <row r="289" spans="9:23">
      <c r="I289" s="17" t="str">
        <f t="shared" si="118"/>
        <v/>
      </c>
      <c r="M289" s="16" t="str">
        <f t="shared" si="119"/>
        <v/>
      </c>
      <c r="S289" t="str">
        <f>IF(B289="","",VLOOKUP(Cmt(B289),Sheet2!A:B,2,FALSE))</f>
        <v/>
      </c>
      <c r="T289" s="39" t="str">
        <f t="shared" si="121"/>
        <v/>
      </c>
      <c r="U289" s="13" t="str">
        <f t="shared" si="120"/>
        <v/>
      </c>
      <c r="W289" s="11"/>
    </row>
    <row r="290" spans="9:23">
      <c r="I290" s="17" t="str">
        <f t="shared" si="118"/>
        <v/>
      </c>
      <c r="M290" s="16" t="str">
        <f t="shared" si="119"/>
        <v/>
      </c>
      <c r="S290" t="str">
        <f>IF(B290="","",VLOOKUP(Cmt(B290),Sheet2!A:B,2,FALSE))</f>
        <v/>
      </c>
      <c r="T290" s="39" t="str">
        <f t="shared" si="121"/>
        <v/>
      </c>
      <c r="U290" s="13" t="str">
        <f t="shared" si="120"/>
        <v/>
      </c>
      <c r="W290" s="11"/>
    </row>
    <row r="291" spans="9:23">
      <c r="I291" s="17" t="str">
        <f t="shared" si="118"/>
        <v/>
      </c>
      <c r="M291" s="16" t="str">
        <f t="shared" si="119"/>
        <v/>
      </c>
      <c r="S291" t="str">
        <f>IF(B291="","",VLOOKUP(Cmt(B291),Sheet2!A:B,2,FALSE))</f>
        <v/>
      </c>
      <c r="T291" s="39" t="str">
        <f t="shared" si="121"/>
        <v/>
      </c>
      <c r="U291" s="13" t="str">
        <f t="shared" si="120"/>
        <v/>
      </c>
      <c r="W291" s="11"/>
    </row>
    <row r="292" spans="9:23">
      <c r="I292" s="17" t="str">
        <f t="shared" si="118"/>
        <v/>
      </c>
      <c r="M292" s="16" t="str">
        <f t="shared" si="119"/>
        <v/>
      </c>
      <c r="S292" t="str">
        <f>IF(B292="","",VLOOKUP(Cmt(B292),Sheet2!A:B,2,FALSE))</f>
        <v/>
      </c>
      <c r="T292" s="39" t="str">
        <f t="shared" si="121"/>
        <v/>
      </c>
      <c r="U292" s="13" t="str">
        <f t="shared" si="120"/>
        <v/>
      </c>
      <c r="W292" s="11"/>
    </row>
    <row r="293" spans="9:23">
      <c r="I293" s="17" t="str">
        <f t="shared" si="118"/>
        <v/>
      </c>
      <c r="M293" s="16" t="str">
        <f t="shared" si="119"/>
        <v/>
      </c>
      <c r="S293" t="str">
        <f>IF(B293="","",VLOOKUP(Cmt(B293),Sheet2!A:B,2,FALSE))</f>
        <v/>
      </c>
      <c r="T293" s="39" t="str">
        <f t="shared" si="121"/>
        <v/>
      </c>
      <c r="U293" s="13" t="str">
        <f t="shared" si="120"/>
        <v/>
      </c>
      <c r="W293" s="11"/>
    </row>
    <row r="294" spans="9:23">
      <c r="I294" s="17" t="str">
        <f t="shared" si="118"/>
        <v/>
      </c>
      <c r="M294" s="16" t="str">
        <f t="shared" si="119"/>
        <v/>
      </c>
      <c r="S294" t="str">
        <f>IF(B294="","",VLOOKUP(Cmt(B294),Sheet2!A:B,2,FALSE))</f>
        <v/>
      </c>
      <c r="T294" s="39" t="str">
        <f t="shared" si="121"/>
        <v/>
      </c>
      <c r="U294" s="13" t="str">
        <f t="shared" si="120"/>
        <v/>
      </c>
      <c r="W294" s="11"/>
    </row>
    <row r="295" spans="9:23">
      <c r="I295" s="17" t="str">
        <f t="shared" si="118"/>
        <v/>
      </c>
      <c r="M295" s="16" t="str">
        <f t="shared" si="119"/>
        <v/>
      </c>
      <c r="S295" t="str">
        <f>IF(B295="","",VLOOKUP(Cmt(B295),Sheet2!A:B,2,FALSE))</f>
        <v/>
      </c>
      <c r="T295" s="39" t="str">
        <f t="shared" si="121"/>
        <v/>
      </c>
      <c r="U295" s="13" t="str">
        <f t="shared" si="120"/>
        <v/>
      </c>
      <c r="W295" s="11"/>
    </row>
    <row r="296" spans="9:23">
      <c r="I296" s="17" t="str">
        <f t="shared" si="118"/>
        <v/>
      </c>
      <c r="M296" s="16" t="str">
        <f t="shared" si="119"/>
        <v/>
      </c>
      <c r="S296" t="str">
        <f>IF(B296="","",VLOOKUP(Cmt(B296),Sheet2!A:B,2,FALSE))</f>
        <v/>
      </c>
      <c r="T296" s="39" t="str">
        <f t="shared" si="121"/>
        <v/>
      </c>
      <c r="U296" s="13" t="str">
        <f t="shared" si="120"/>
        <v/>
      </c>
      <c r="W296" s="11"/>
    </row>
    <row r="297" spans="9:23">
      <c r="I297" s="17" t="str">
        <f t="shared" si="118"/>
        <v/>
      </c>
      <c r="M297" s="16" t="str">
        <f t="shared" si="119"/>
        <v/>
      </c>
      <c r="S297" t="str">
        <f>IF(B297="","",VLOOKUP(Cmt(B297),Sheet2!A:B,2,FALSE))</f>
        <v/>
      </c>
      <c r="T297" s="39" t="str">
        <f t="shared" si="121"/>
        <v/>
      </c>
      <c r="U297" s="13" t="str">
        <f t="shared" si="120"/>
        <v/>
      </c>
      <c r="W297" s="11"/>
    </row>
    <row r="298" spans="9:23">
      <c r="I298" s="17" t="str">
        <f t="shared" si="118"/>
        <v/>
      </c>
      <c r="M298" s="16" t="str">
        <f t="shared" si="119"/>
        <v/>
      </c>
      <c r="S298" t="str">
        <f>IF(B298="","",VLOOKUP(Cmt(B298),Sheet2!A:B,2,FALSE))</f>
        <v/>
      </c>
      <c r="T298" s="39" t="str">
        <f t="shared" si="121"/>
        <v/>
      </c>
      <c r="U298" s="13" t="str">
        <f t="shared" si="120"/>
        <v/>
      </c>
      <c r="W298" s="11"/>
    </row>
    <row r="299" spans="9:23">
      <c r="I299" s="17" t="str">
        <f t="shared" si="118"/>
        <v/>
      </c>
      <c r="M299" s="16" t="str">
        <f t="shared" si="119"/>
        <v/>
      </c>
      <c r="S299" t="str">
        <f>IF(B299="","",VLOOKUP(Cmt(B299),Sheet2!A:B,2,FALSE))</f>
        <v/>
      </c>
      <c r="T299" s="39" t="str">
        <f t="shared" si="121"/>
        <v/>
      </c>
      <c r="U299" s="13" t="str">
        <f t="shared" si="120"/>
        <v/>
      </c>
      <c r="W299" s="11"/>
    </row>
    <row r="300" spans="9:23">
      <c r="I300" s="17" t="str">
        <f t="shared" si="118"/>
        <v/>
      </c>
      <c r="M300" s="16" t="str">
        <f t="shared" si="119"/>
        <v/>
      </c>
      <c r="S300" t="str">
        <f>IF(B300="","",VLOOKUP(Cmt(B300),Sheet2!A:B,2,FALSE))</f>
        <v/>
      </c>
      <c r="T300" s="39" t="str">
        <f t="shared" si="121"/>
        <v/>
      </c>
      <c r="U300" s="13" t="str">
        <f t="shared" si="120"/>
        <v/>
      </c>
      <c r="W300" s="11"/>
    </row>
    <row r="301" spans="9:23"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1"/>
        <v/>
      </c>
      <c r="U301" s="13" t="str">
        <f t="shared" si="120"/>
        <v/>
      </c>
      <c r="W301" s="11"/>
    </row>
    <row r="302" spans="9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1"/>
        <v/>
      </c>
      <c r="U302" s="13" t="str">
        <f t="shared" si="120"/>
        <v/>
      </c>
      <c r="W302" s="11"/>
    </row>
    <row r="303" spans="9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1"/>
        <v/>
      </c>
      <c r="U303" s="13" t="str">
        <f t="shared" si="120"/>
        <v/>
      </c>
      <c r="W303" s="11"/>
    </row>
    <row r="304" spans="9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1"/>
        <v/>
      </c>
      <c r="U304" s="13" t="str">
        <f t="shared" si="120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1"/>
        <v/>
      </c>
      <c r="U305" s="13" t="str">
        <f t="shared" si="120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1"/>
        <v/>
      </c>
      <c r="U306" s="13" t="str">
        <f t="shared" si="120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1"/>
        <v/>
      </c>
      <c r="U307" s="13" t="str">
        <f t="shared" si="120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1"/>
        <v/>
      </c>
      <c r="U308" s="13" t="str">
        <f t="shared" si="120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1"/>
        <v/>
      </c>
      <c r="U309" s="13" t="str">
        <f t="shared" si="120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1"/>
        <v/>
      </c>
      <c r="U310" s="13" t="str">
        <f t="shared" si="120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1"/>
        <v/>
      </c>
      <c r="U311" s="13" t="str">
        <f t="shared" si="120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1"/>
        <v/>
      </c>
      <c r="U312" s="13" t="str">
        <f t="shared" si="120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1"/>
        <v/>
      </c>
      <c r="U313" s="13" t="str">
        <f t="shared" si="120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1"/>
        <v/>
      </c>
      <c r="U314" s="13" t="str">
        <f t="shared" si="120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1"/>
        <v/>
      </c>
      <c r="U315" s="13" t="str">
        <f t="shared" si="120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1"/>
        <v/>
      </c>
      <c r="U316" s="13" t="str">
        <f t="shared" si="120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1"/>
        <v/>
      </c>
      <c r="U317" s="13" t="str">
        <f t="shared" si="120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1"/>
        <v/>
      </c>
      <c r="U318" s="13" t="str">
        <f t="shared" si="120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1"/>
        <v/>
      </c>
      <c r="U319" s="13" t="str">
        <f t="shared" si="120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1"/>
        <v/>
      </c>
      <c r="U320" s="13" t="str">
        <f t="shared" si="120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1"/>
        <v/>
      </c>
      <c r="U321" s="13" t="str">
        <f t="shared" si="120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1"/>
        <v/>
      </c>
      <c r="U322" s="13" t="str">
        <f t="shared" si="120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1"/>
        <v/>
      </c>
      <c r="U323" s="13" t="str">
        <f t="shared" si="120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1"/>
        <v/>
      </c>
      <c r="U324" s="13" t="str">
        <f t="shared" si="120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1"/>
        <v/>
      </c>
      <c r="U325" s="13" t="str">
        <f t="shared" si="120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1"/>
        <v/>
      </c>
      <c r="U326" s="13" t="str">
        <f t="shared" si="120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1"/>
        <v/>
      </c>
      <c r="U327" s="13" t="str">
        <f t="shared" si="120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1"/>
        <v/>
      </c>
      <c r="U328" s="13" t="str">
        <f t="shared" si="120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1"/>
        <v/>
      </c>
      <c r="U329" s="13" t="str">
        <f t="shared" si="120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1"/>
        <v/>
      </c>
      <c r="U330" s="13" t="str">
        <f t="shared" si="120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1"/>
        <v/>
      </c>
      <c r="U331" s="13" t="str">
        <f t="shared" si="120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1"/>
        <v/>
      </c>
      <c r="U332" s="13" t="str">
        <f t="shared" si="120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1"/>
        <v/>
      </c>
      <c r="U333" s="13" t="str">
        <f t="shared" si="120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1"/>
        <v/>
      </c>
      <c r="U334" s="13" t="str">
        <f t="shared" si="120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1"/>
        <v/>
      </c>
      <c r="U335" s="13" t="str">
        <f t="shared" si="120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1"/>
        <v/>
      </c>
      <c r="U336" s="13" t="str">
        <f t="shared" si="120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1"/>
        <v/>
      </c>
      <c r="U337" s="13" t="str">
        <f t="shared" si="120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1"/>
        <v/>
      </c>
      <c r="U338" s="13" t="str">
        <f t="shared" si="120"/>
        <v/>
      </c>
      <c r="W338" s="11"/>
    </row>
    <row r="339" spans="9:23">
      <c r="I339" s="17" t="str">
        <f t="shared" ref="I339:I370" si="122">IF(G339="","",G339*H339)</f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1"/>
        <v/>
      </c>
      <c r="U339" s="13" t="str">
        <f t="shared" si="120"/>
        <v/>
      </c>
      <c r="W339" s="11"/>
    </row>
    <row r="340" spans="9:23">
      <c r="I340" s="17" t="str">
        <f t="shared" si="122"/>
        <v/>
      </c>
      <c r="M340" s="16" t="str">
        <f t="shared" ref="M340:M370" si="123">IF(J340="","",C340*(J340-D340)*S340)</f>
        <v/>
      </c>
      <c r="S340" t="str">
        <f>IF(B340="","",VLOOKUP(Cmt(B340),Sheet2!A:B,2,FALSE))</f>
        <v/>
      </c>
      <c r="T340" s="39" t="str">
        <f t="shared" si="121"/>
        <v/>
      </c>
      <c r="U340" s="13" t="str">
        <f t="shared" si="120"/>
        <v/>
      </c>
      <c r="W340" s="11"/>
    </row>
    <row r="341" spans="9:23">
      <c r="I341" s="17" t="str">
        <f t="shared" si="122"/>
        <v/>
      </c>
      <c r="M341" s="16" t="str">
        <f t="shared" si="123"/>
        <v/>
      </c>
      <c r="S341" t="str">
        <f>IF(B341="","",VLOOKUP(Cmt(B341),Sheet2!A:B,2,FALSE))</f>
        <v/>
      </c>
      <c r="T341" s="39" t="str">
        <f t="shared" si="121"/>
        <v/>
      </c>
      <c r="U341" s="13" t="str">
        <f t="shared" si="120"/>
        <v/>
      </c>
      <c r="W341" s="11"/>
    </row>
    <row r="342" spans="9:23">
      <c r="I342" s="17" t="str">
        <f t="shared" si="122"/>
        <v/>
      </c>
      <c r="M342" s="16" t="str">
        <f t="shared" si="123"/>
        <v/>
      </c>
      <c r="S342" t="str">
        <f>IF(B342="","",VLOOKUP(Cmt(B342),Sheet2!A:B,2,FALSE))</f>
        <v/>
      </c>
      <c r="T342" s="39" t="str">
        <f t="shared" si="121"/>
        <v/>
      </c>
      <c r="U342" s="13" t="str">
        <f t="shared" si="120"/>
        <v/>
      </c>
      <c r="W342" s="11"/>
    </row>
    <row r="343" spans="9:23">
      <c r="I343" s="17" t="str">
        <f t="shared" si="122"/>
        <v/>
      </c>
      <c r="M343" s="16" t="str">
        <f t="shared" si="123"/>
        <v/>
      </c>
      <c r="S343" t="str">
        <f>IF(B343="","",VLOOKUP(Cmt(B343),Sheet2!A:B,2,FALSE))</f>
        <v/>
      </c>
      <c r="T343" s="39" t="str">
        <f t="shared" si="121"/>
        <v/>
      </c>
      <c r="U343" s="13" t="str">
        <f t="shared" si="120"/>
        <v/>
      </c>
      <c r="W343" s="11"/>
    </row>
    <row r="344" spans="9:23">
      <c r="I344" s="17" t="str">
        <f t="shared" si="122"/>
        <v/>
      </c>
      <c r="M344" s="16" t="str">
        <f t="shared" si="123"/>
        <v/>
      </c>
      <c r="S344" t="str">
        <f>IF(B344="","",VLOOKUP(Cmt(B344),Sheet2!A:B,2,FALSE))</f>
        <v/>
      </c>
      <c r="T344" s="39" t="str">
        <f t="shared" si="121"/>
        <v/>
      </c>
      <c r="U344" s="13" t="str">
        <f t="shared" si="120"/>
        <v/>
      </c>
      <c r="W344" s="11"/>
    </row>
    <row r="345" spans="9:23">
      <c r="I345" s="17" t="str">
        <f t="shared" si="122"/>
        <v/>
      </c>
      <c r="M345" s="16" t="str">
        <f t="shared" si="123"/>
        <v/>
      </c>
      <c r="S345" t="str">
        <f>IF(B345="","",VLOOKUP(Cmt(B345),Sheet2!A:B,2,FALSE))</f>
        <v/>
      </c>
      <c r="T345" s="39" t="str">
        <f t="shared" si="121"/>
        <v/>
      </c>
      <c r="U345" s="13" t="str">
        <f t="shared" si="120"/>
        <v/>
      </c>
      <c r="W345" s="11"/>
    </row>
    <row r="346" spans="9:23">
      <c r="I346" s="17" t="str">
        <f t="shared" si="122"/>
        <v/>
      </c>
      <c r="M346" s="16" t="str">
        <f t="shared" si="123"/>
        <v/>
      </c>
      <c r="S346" t="str">
        <f>IF(B346="","",VLOOKUP(Cmt(B346),Sheet2!A:B,2,FALSE))</f>
        <v/>
      </c>
      <c r="T346" s="39" t="str">
        <f t="shared" si="121"/>
        <v/>
      </c>
      <c r="U346" s="13" t="str">
        <f t="shared" si="120"/>
        <v/>
      </c>
      <c r="W346" s="11"/>
    </row>
    <row r="347" spans="9:23">
      <c r="I347" s="17" t="str">
        <f t="shared" si="122"/>
        <v/>
      </c>
      <c r="M347" s="16" t="str">
        <f t="shared" si="123"/>
        <v/>
      </c>
      <c r="S347" t="str">
        <f>IF(B347="","",VLOOKUP(Cmt(B347),Sheet2!A:B,2,FALSE))</f>
        <v/>
      </c>
      <c r="T347" s="39" t="str">
        <f t="shared" si="121"/>
        <v/>
      </c>
      <c r="U347" s="13" t="str">
        <f t="shared" si="120"/>
        <v/>
      </c>
      <c r="W347" s="11"/>
    </row>
    <row r="348" spans="9:23">
      <c r="I348" s="17" t="str">
        <f t="shared" si="122"/>
        <v/>
      </c>
      <c r="M348" s="16" t="str">
        <f t="shared" si="123"/>
        <v/>
      </c>
      <c r="S348" t="str">
        <f>IF(B348="","",VLOOKUP(Cmt(B348),Sheet2!A:B,2,FALSE))</f>
        <v/>
      </c>
      <c r="T348" s="39" t="str">
        <f t="shared" si="121"/>
        <v/>
      </c>
      <c r="U348" s="13" t="str">
        <f t="shared" ref="U348:U370" si="124">IF(S348="","",T348*I348/(D348*S348*0.15))</f>
        <v/>
      </c>
      <c r="W348" s="11"/>
    </row>
    <row r="349" spans="9:23">
      <c r="I349" s="17" t="str">
        <f t="shared" si="122"/>
        <v/>
      </c>
      <c r="M349" s="16" t="str">
        <f t="shared" si="123"/>
        <v/>
      </c>
      <c r="S349" t="str">
        <f>IF(B349="","",VLOOKUP(Cmt(B349),Sheet2!A:B,2,FALSE))</f>
        <v/>
      </c>
      <c r="T349" s="39" t="str">
        <f t="shared" si="121"/>
        <v/>
      </c>
      <c r="U349" s="13" t="str">
        <f t="shared" si="124"/>
        <v/>
      </c>
      <c r="W349" s="11"/>
    </row>
    <row r="350" spans="9:23">
      <c r="I350" s="17" t="str">
        <f t="shared" si="122"/>
        <v/>
      </c>
      <c r="M350" s="16" t="str">
        <f t="shared" si="123"/>
        <v/>
      </c>
      <c r="S350" t="str">
        <f>IF(B350="","",VLOOKUP(Cmt(B350),Sheet2!A:B,2,FALSE))</f>
        <v/>
      </c>
      <c r="T350" s="39" t="str">
        <f t="shared" ref="T350:T370" si="125">IF(S350="","",T349)</f>
        <v/>
      </c>
      <c r="U350" s="13" t="str">
        <f t="shared" si="124"/>
        <v/>
      </c>
      <c r="W350" s="11"/>
    </row>
    <row r="351" spans="9:23">
      <c r="I351" s="17" t="str">
        <f t="shared" si="122"/>
        <v/>
      </c>
      <c r="M351" s="16" t="str">
        <f t="shared" si="123"/>
        <v/>
      </c>
      <c r="S351" t="str">
        <f>IF(B351="","",VLOOKUP(Cmt(B351),Sheet2!A:B,2,FALSE))</f>
        <v/>
      </c>
      <c r="T351" s="39" t="str">
        <f t="shared" si="125"/>
        <v/>
      </c>
      <c r="U351" s="13" t="str">
        <f t="shared" si="124"/>
        <v/>
      </c>
      <c r="W351" s="11"/>
    </row>
    <row r="352" spans="9:23">
      <c r="I352" s="17" t="str">
        <f t="shared" si="122"/>
        <v/>
      </c>
      <c r="M352" s="16" t="str">
        <f t="shared" si="123"/>
        <v/>
      </c>
      <c r="S352" t="str">
        <f>IF(B352="","",VLOOKUP(Cmt(B352),Sheet2!A:B,2,FALSE))</f>
        <v/>
      </c>
      <c r="T352" s="39" t="str">
        <f t="shared" si="125"/>
        <v/>
      </c>
      <c r="U352" s="13" t="str">
        <f t="shared" si="124"/>
        <v/>
      </c>
      <c r="W352" s="11"/>
    </row>
    <row r="353" spans="9:23">
      <c r="I353" s="17" t="str">
        <f t="shared" si="122"/>
        <v/>
      </c>
      <c r="M353" s="16" t="str">
        <f t="shared" si="123"/>
        <v/>
      </c>
      <c r="S353" t="str">
        <f>IF(B353="","",VLOOKUP(Cmt(B353),Sheet2!A:B,2,FALSE))</f>
        <v/>
      </c>
      <c r="T353" s="39" t="str">
        <f t="shared" si="125"/>
        <v/>
      </c>
      <c r="U353" s="13" t="str">
        <f t="shared" si="124"/>
        <v/>
      </c>
      <c r="W353" s="11"/>
    </row>
    <row r="354" spans="9:23">
      <c r="I354" s="17" t="str">
        <f t="shared" si="122"/>
        <v/>
      </c>
      <c r="M354" s="16" t="str">
        <f t="shared" si="123"/>
        <v/>
      </c>
      <c r="S354" t="str">
        <f>IF(B354="","",VLOOKUP(Cmt(B354),Sheet2!A:B,2,FALSE))</f>
        <v/>
      </c>
      <c r="T354" s="39" t="str">
        <f t="shared" si="125"/>
        <v/>
      </c>
      <c r="U354" s="13" t="str">
        <f t="shared" si="124"/>
        <v/>
      </c>
      <c r="W354" s="11"/>
    </row>
    <row r="355" spans="9:23">
      <c r="I355" s="17" t="str">
        <f t="shared" si="122"/>
        <v/>
      </c>
      <c r="M355" s="16" t="str">
        <f t="shared" si="123"/>
        <v/>
      </c>
      <c r="S355" t="str">
        <f>IF(B355="","",VLOOKUP(Cmt(B355),Sheet2!A:B,2,FALSE))</f>
        <v/>
      </c>
      <c r="T355" s="39" t="str">
        <f t="shared" si="125"/>
        <v/>
      </c>
      <c r="U355" s="13" t="str">
        <f t="shared" si="124"/>
        <v/>
      </c>
      <c r="W355" s="11"/>
    </row>
    <row r="356" spans="9:23">
      <c r="I356" s="17" t="str">
        <f t="shared" si="122"/>
        <v/>
      </c>
      <c r="M356" s="16" t="str">
        <f t="shared" si="123"/>
        <v/>
      </c>
      <c r="S356" t="str">
        <f>IF(B356="","",VLOOKUP(Cmt(B356),Sheet2!A:B,2,FALSE))</f>
        <v/>
      </c>
      <c r="T356" s="39" t="str">
        <f t="shared" si="125"/>
        <v/>
      </c>
      <c r="U356" s="13" t="str">
        <f t="shared" si="124"/>
        <v/>
      </c>
      <c r="W356" s="11"/>
    </row>
    <row r="357" spans="9:23">
      <c r="I357" s="17" t="str">
        <f t="shared" si="122"/>
        <v/>
      </c>
      <c r="M357" s="16" t="str">
        <f t="shared" si="123"/>
        <v/>
      </c>
      <c r="S357" t="str">
        <f>IF(B357="","",VLOOKUP(Cmt(B357),Sheet2!A:B,2,FALSE))</f>
        <v/>
      </c>
      <c r="T357" s="39" t="str">
        <f t="shared" si="125"/>
        <v/>
      </c>
      <c r="U357" s="13" t="str">
        <f t="shared" si="124"/>
        <v/>
      </c>
      <c r="W357" s="11"/>
    </row>
    <row r="358" spans="9:23">
      <c r="I358" s="17" t="str">
        <f t="shared" si="122"/>
        <v/>
      </c>
      <c r="M358" s="16" t="str">
        <f t="shared" si="123"/>
        <v/>
      </c>
      <c r="S358" t="str">
        <f>IF(B358="","",VLOOKUP(Cmt(B358),Sheet2!A:B,2,FALSE))</f>
        <v/>
      </c>
      <c r="T358" s="39" t="str">
        <f t="shared" si="125"/>
        <v/>
      </c>
      <c r="U358" s="13" t="str">
        <f t="shared" si="124"/>
        <v/>
      </c>
      <c r="W358" s="11"/>
    </row>
    <row r="359" spans="9:23">
      <c r="I359" s="17" t="str">
        <f t="shared" si="122"/>
        <v/>
      </c>
      <c r="M359" s="16" t="str">
        <f t="shared" si="123"/>
        <v/>
      </c>
      <c r="S359" t="str">
        <f>IF(B359="","",VLOOKUP(Cmt(B359),Sheet2!A:B,2,FALSE))</f>
        <v/>
      </c>
      <c r="T359" s="39" t="str">
        <f t="shared" si="125"/>
        <v/>
      </c>
      <c r="U359" s="13" t="str">
        <f t="shared" si="124"/>
        <v/>
      </c>
      <c r="W359" s="11"/>
    </row>
    <row r="360" spans="9:23">
      <c r="I360" s="17" t="str">
        <f t="shared" si="122"/>
        <v/>
      </c>
      <c r="M360" s="16" t="str">
        <f t="shared" si="123"/>
        <v/>
      </c>
      <c r="S360" t="str">
        <f>IF(B360="","",VLOOKUP(Cmt(B360),Sheet2!A:B,2,FALSE))</f>
        <v/>
      </c>
      <c r="T360" s="39" t="str">
        <f t="shared" si="125"/>
        <v/>
      </c>
      <c r="U360" s="13" t="str">
        <f t="shared" si="124"/>
        <v/>
      </c>
      <c r="W360" s="11"/>
    </row>
    <row r="361" spans="9:23">
      <c r="I361" s="17" t="str">
        <f t="shared" si="122"/>
        <v/>
      </c>
      <c r="M361" s="16" t="str">
        <f t="shared" si="123"/>
        <v/>
      </c>
      <c r="S361" t="str">
        <f>IF(B361="","",VLOOKUP(Cmt(B361),Sheet2!A:B,2,FALSE))</f>
        <v/>
      </c>
      <c r="T361" s="39" t="str">
        <f t="shared" si="125"/>
        <v/>
      </c>
      <c r="U361" s="13" t="str">
        <f t="shared" si="124"/>
        <v/>
      </c>
      <c r="W361" s="11"/>
    </row>
    <row r="362" spans="9:23">
      <c r="I362" s="17" t="str">
        <f t="shared" si="122"/>
        <v/>
      </c>
      <c r="M362" s="16" t="str">
        <f t="shared" si="123"/>
        <v/>
      </c>
      <c r="S362" t="str">
        <f>IF(B362="","",VLOOKUP(Cmt(B362),Sheet2!A:B,2,FALSE))</f>
        <v/>
      </c>
      <c r="T362" s="39" t="str">
        <f t="shared" si="125"/>
        <v/>
      </c>
      <c r="U362" s="13" t="str">
        <f t="shared" si="124"/>
        <v/>
      </c>
      <c r="W362" s="11"/>
    </row>
    <row r="363" spans="9:23">
      <c r="I363" s="17" t="str">
        <f t="shared" si="122"/>
        <v/>
      </c>
      <c r="M363" s="16" t="str">
        <f t="shared" si="123"/>
        <v/>
      </c>
      <c r="S363" t="str">
        <f>IF(B363="","",VLOOKUP(Cmt(B363),Sheet2!A:B,2,FALSE))</f>
        <v/>
      </c>
      <c r="T363" s="39" t="str">
        <f t="shared" si="125"/>
        <v/>
      </c>
      <c r="U363" s="13" t="str">
        <f t="shared" si="124"/>
        <v/>
      </c>
      <c r="W363" s="11"/>
    </row>
    <row r="364" spans="9:23">
      <c r="I364" s="17" t="str">
        <f t="shared" si="122"/>
        <v/>
      </c>
      <c r="M364" s="16" t="str">
        <f t="shared" si="123"/>
        <v/>
      </c>
      <c r="S364" t="str">
        <f>IF(B364="","",VLOOKUP(Cmt(B364),Sheet2!A:B,2,FALSE))</f>
        <v/>
      </c>
      <c r="T364" s="39" t="str">
        <f t="shared" si="125"/>
        <v/>
      </c>
      <c r="U364" s="13" t="str">
        <f t="shared" si="124"/>
        <v/>
      </c>
      <c r="W364" s="11"/>
    </row>
    <row r="365" spans="9:23">
      <c r="I365" s="17" t="str">
        <f t="shared" si="122"/>
        <v/>
      </c>
      <c r="M365" s="16" t="str">
        <f t="shared" si="123"/>
        <v/>
      </c>
      <c r="S365" t="str">
        <f>IF(B365="","",VLOOKUP(Cmt(B365),Sheet2!A:B,2,FALSE))</f>
        <v/>
      </c>
      <c r="T365" s="39" t="str">
        <f t="shared" si="125"/>
        <v/>
      </c>
      <c r="U365" s="13" t="str">
        <f t="shared" si="124"/>
        <v/>
      </c>
      <c r="W365" s="11"/>
    </row>
    <row r="366" spans="9:23">
      <c r="I366" s="17" t="str">
        <f t="shared" si="122"/>
        <v/>
      </c>
      <c r="M366" s="16" t="str">
        <f t="shared" si="123"/>
        <v/>
      </c>
      <c r="S366" t="str">
        <f>IF(B366="","",VLOOKUP(Cmt(B366),Sheet2!A:B,2,FALSE))</f>
        <v/>
      </c>
      <c r="T366" s="39" t="str">
        <f t="shared" si="125"/>
        <v/>
      </c>
      <c r="U366" s="13" t="str">
        <f t="shared" si="124"/>
        <v/>
      </c>
      <c r="W366" s="11"/>
    </row>
    <row r="367" spans="9:23">
      <c r="I367" s="17" t="str">
        <f t="shared" si="122"/>
        <v/>
      </c>
      <c r="M367" s="16" t="str">
        <f t="shared" si="123"/>
        <v/>
      </c>
      <c r="S367" t="str">
        <f>IF(B367="","",VLOOKUP(Cmt(B367),Sheet2!A:B,2,FALSE))</f>
        <v/>
      </c>
      <c r="T367" s="39" t="str">
        <f t="shared" si="125"/>
        <v/>
      </c>
      <c r="U367" s="13" t="str">
        <f t="shared" si="124"/>
        <v/>
      </c>
      <c r="W367" s="11"/>
    </row>
    <row r="368" spans="9:23">
      <c r="I368" s="17" t="str">
        <f t="shared" si="122"/>
        <v/>
      </c>
      <c r="M368" s="16" t="str">
        <f t="shared" si="123"/>
        <v/>
      </c>
      <c r="S368" t="str">
        <f>IF(B368="","",VLOOKUP(Cmt(B368),Sheet2!A:B,2,FALSE))</f>
        <v/>
      </c>
      <c r="T368" s="39" t="str">
        <f t="shared" si="125"/>
        <v/>
      </c>
      <c r="U368" s="13" t="str">
        <f t="shared" si="124"/>
        <v/>
      </c>
      <c r="W368" s="11"/>
    </row>
    <row r="369" spans="9:23">
      <c r="I369" s="17" t="str">
        <f t="shared" si="122"/>
        <v/>
      </c>
      <c r="M369" s="16" t="str">
        <f t="shared" si="123"/>
        <v/>
      </c>
      <c r="S369" t="str">
        <f>IF(B369="","",VLOOKUP(Cmt(B369),Sheet2!A:B,2,FALSE))</f>
        <v/>
      </c>
      <c r="T369" s="39" t="str">
        <f t="shared" si="125"/>
        <v/>
      </c>
      <c r="U369" s="13" t="str">
        <f t="shared" si="124"/>
        <v/>
      </c>
      <c r="W369" s="11"/>
    </row>
    <row r="370" spans="9:23">
      <c r="I370" s="17" t="str">
        <f t="shared" si="122"/>
        <v/>
      </c>
      <c r="M370" s="16" t="str">
        <f t="shared" si="123"/>
        <v/>
      </c>
      <c r="S370" t="str">
        <f>IF(B370="","",VLOOKUP(Cmt(B370),Sheet2!A:B,2,FALSE))</f>
        <v/>
      </c>
      <c r="T370" s="39" t="str">
        <f t="shared" si="125"/>
        <v/>
      </c>
      <c r="U370" s="13" t="str">
        <f t="shared" si="124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1"/>
  <sheetViews>
    <sheetView workbookViewId="0">
      <pane ySplit="1" topLeftCell="A58" activePane="bottomLeft" state="frozen"/>
      <selection pane="bottomLeft" activeCell="A64" sqref="A64:K90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7" width="10.5" style="67" customWidth="1"/>
    <col min="8" max="8" width="9.5" bestFit="1" customWidth="1"/>
    <col min="9" max="9" width="10.625" bestFit="1" customWidth="1"/>
    <col min="10" max="10" width="13.125" bestFit="1" customWidth="1"/>
    <col min="11" max="11" width="13.25" customWidth="1"/>
    <col min="12" max="15" width="9" hidden="1" customWidth="1"/>
    <col min="17" max="17" width="9.125" bestFit="1" customWidth="1"/>
  </cols>
  <sheetData>
    <row r="1" spans="1:17">
      <c r="A1" s="66" t="s">
        <v>1</v>
      </c>
      <c r="B1" s="66" t="s">
        <v>2</v>
      </c>
      <c r="C1" s="66" t="s">
        <v>3</v>
      </c>
      <c r="D1" s="66" t="s">
        <v>89</v>
      </c>
      <c r="E1" s="76" t="s">
        <v>280</v>
      </c>
      <c r="F1" s="77" t="s">
        <v>323</v>
      </c>
      <c r="G1" s="77" t="s">
        <v>324</v>
      </c>
      <c r="H1" s="66" t="s">
        <v>5</v>
      </c>
      <c r="I1" s="66" t="s">
        <v>19</v>
      </c>
      <c r="J1" s="78" t="s">
        <v>281</v>
      </c>
      <c r="K1" s="78" t="s">
        <v>282</v>
      </c>
      <c r="L1" s="66" t="s">
        <v>183</v>
      </c>
      <c r="M1" s="66" t="s">
        <v>186</v>
      </c>
      <c r="N1" s="79" t="s">
        <v>184</v>
      </c>
      <c r="O1" s="79" t="s">
        <v>185</v>
      </c>
      <c r="P1" s="80" t="s">
        <v>277</v>
      </c>
      <c r="Q1" s="80" t="s">
        <v>283</v>
      </c>
    </row>
    <row r="2" spans="1:17">
      <c r="A2" s="78" t="s">
        <v>52</v>
      </c>
      <c r="B2" s="78">
        <v>-19</v>
      </c>
      <c r="C2" s="78">
        <v>3865</v>
      </c>
      <c r="D2" s="81">
        <v>43153</v>
      </c>
      <c r="E2" s="76">
        <v>2.3E-2</v>
      </c>
      <c r="F2" s="76">
        <v>1.15E-2</v>
      </c>
      <c r="G2" s="77">
        <f>E2/F2*B2</f>
        <v>-38</v>
      </c>
      <c r="H2" s="78">
        <v>3926</v>
      </c>
      <c r="I2" s="81">
        <v>43154</v>
      </c>
      <c r="J2" s="80">
        <v>-11590</v>
      </c>
      <c r="K2" s="80">
        <f>(H2-C2)*G2*Q2</f>
        <v>-23180</v>
      </c>
      <c r="L2" s="78"/>
      <c r="M2" s="78"/>
      <c r="N2" s="82"/>
      <c r="O2" s="83"/>
      <c r="P2" s="79" t="s">
        <v>320</v>
      </c>
      <c r="Q2" s="79">
        <f>VLOOKUP(Cmt(A2),Sheet2!A:B,2,FALSE)</f>
        <v>10</v>
      </c>
    </row>
    <row r="3" spans="1:17">
      <c r="A3" s="85" t="s">
        <v>93</v>
      </c>
      <c r="B3" s="85">
        <v>1</v>
      </c>
      <c r="C3" s="85">
        <v>3175.2</v>
      </c>
      <c r="D3" s="86">
        <v>43138</v>
      </c>
      <c r="E3" s="87">
        <v>1.9E-2</v>
      </c>
      <c r="F3" s="87">
        <v>1.9E-2</v>
      </c>
      <c r="G3" s="85">
        <v>1</v>
      </c>
      <c r="H3" s="85">
        <v>3107.2</v>
      </c>
      <c r="I3" s="86">
        <v>43138</v>
      </c>
      <c r="J3" s="85">
        <v>-20400</v>
      </c>
      <c r="K3" s="85">
        <v>-20400</v>
      </c>
      <c r="L3" s="78"/>
      <c r="M3" s="78"/>
      <c r="N3" s="79"/>
      <c r="O3" s="79"/>
      <c r="P3" s="79"/>
      <c r="Q3" s="79"/>
    </row>
    <row r="4" spans="1:17">
      <c r="A4" s="85" t="s">
        <v>151</v>
      </c>
      <c r="B4" s="85">
        <v>13</v>
      </c>
      <c r="C4" s="85">
        <v>1373</v>
      </c>
      <c r="D4" s="86">
        <v>43138</v>
      </c>
      <c r="E4" s="87">
        <v>3.3000000000000002E-2</v>
      </c>
      <c r="F4" s="87">
        <v>1.7000000000000001E-2</v>
      </c>
      <c r="G4" s="85">
        <v>26</v>
      </c>
      <c r="H4" s="85">
        <v>1360</v>
      </c>
      <c r="I4" s="86">
        <v>43139</v>
      </c>
      <c r="J4" s="85">
        <v>-14820</v>
      </c>
      <c r="K4" s="85">
        <v>-20280</v>
      </c>
      <c r="L4" s="79"/>
      <c r="M4" s="79"/>
      <c r="N4" s="79"/>
      <c r="O4" s="79"/>
      <c r="P4" s="79"/>
      <c r="Q4" s="79"/>
    </row>
    <row r="5" spans="1:17">
      <c r="A5" s="85" t="s">
        <v>64</v>
      </c>
      <c r="B5" s="85">
        <v>29</v>
      </c>
      <c r="C5" s="85">
        <v>4032.14</v>
      </c>
      <c r="D5" s="86">
        <v>43139</v>
      </c>
      <c r="E5" s="87">
        <v>3.5999999999999997E-2</v>
      </c>
      <c r="F5" s="87">
        <v>1.7999999999999999E-2</v>
      </c>
      <c r="G5" s="85">
        <v>58</v>
      </c>
      <c r="H5" s="85">
        <v>3998</v>
      </c>
      <c r="I5" s="86">
        <v>43140</v>
      </c>
      <c r="J5" s="85">
        <v>-16860.599999999999</v>
      </c>
      <c r="K5" s="85">
        <v>-19801.2</v>
      </c>
      <c r="L5" s="78"/>
      <c r="M5" s="78"/>
      <c r="N5" s="82"/>
      <c r="O5" s="83"/>
      <c r="P5" s="79"/>
      <c r="Q5" s="79"/>
    </row>
    <row r="6" spans="1:17">
      <c r="A6" s="85" t="s">
        <v>59</v>
      </c>
      <c r="B6" s="85">
        <v>20</v>
      </c>
      <c r="C6" s="85">
        <v>6778</v>
      </c>
      <c r="D6" s="86">
        <v>43138</v>
      </c>
      <c r="E6" s="87">
        <v>2.1000000000000001E-2</v>
      </c>
      <c r="F6" s="87">
        <v>1.0999999999999999E-2</v>
      </c>
      <c r="G6" s="85">
        <v>40</v>
      </c>
      <c r="H6" s="85">
        <v>6684</v>
      </c>
      <c r="I6" s="86">
        <v>43139</v>
      </c>
      <c r="J6" s="85">
        <v>-14000</v>
      </c>
      <c r="K6" s="85">
        <v>-18800</v>
      </c>
      <c r="L6" s="78"/>
      <c r="M6" s="78"/>
      <c r="N6" s="79"/>
      <c r="O6" s="79"/>
      <c r="P6" s="79"/>
      <c r="Q6" s="79"/>
    </row>
    <row r="7" spans="1:17">
      <c r="A7" s="78" t="s">
        <v>93</v>
      </c>
      <c r="B7" s="78">
        <v>-1</v>
      </c>
      <c r="C7" s="78">
        <v>2846.8</v>
      </c>
      <c r="D7" s="81">
        <v>43144</v>
      </c>
      <c r="E7" s="76">
        <v>1.7000000000000001E-2</v>
      </c>
      <c r="F7" s="76">
        <v>1.7000000000000001E-2</v>
      </c>
      <c r="G7" s="77">
        <f>E7/F7*B7</f>
        <v>-1</v>
      </c>
      <c r="H7" s="78">
        <v>2907.8</v>
      </c>
      <c r="I7" s="81">
        <v>43153</v>
      </c>
      <c r="J7" s="80">
        <v>-18300</v>
      </c>
      <c r="K7" s="80">
        <f>(H7-C7)*G7*Q7</f>
        <v>-18300</v>
      </c>
      <c r="L7" s="78"/>
      <c r="M7" s="78"/>
      <c r="N7" s="79"/>
      <c r="O7" s="79"/>
      <c r="P7" s="79" t="s">
        <v>321</v>
      </c>
      <c r="Q7" s="79">
        <f>VLOOKUP(Cmt(A7),Sheet2!A:B,2,FALSE)</f>
        <v>300</v>
      </c>
    </row>
    <row r="8" spans="1:17">
      <c r="A8" s="78" t="s">
        <v>151</v>
      </c>
      <c r="B8" s="78">
        <v>18</v>
      </c>
      <c r="C8" s="78">
        <v>1382</v>
      </c>
      <c r="D8" s="81">
        <v>43153</v>
      </c>
      <c r="E8" s="76">
        <v>2.4E-2</v>
      </c>
      <c r="F8" s="76">
        <v>2.4E-2</v>
      </c>
      <c r="G8" s="77">
        <f>E8/F8*B8</f>
        <v>18</v>
      </c>
      <c r="H8" s="78">
        <v>1366.5</v>
      </c>
      <c r="I8" s="81">
        <v>43153</v>
      </c>
      <c r="J8" s="80">
        <v>-16740</v>
      </c>
      <c r="K8" s="80">
        <f>(H8-C8)*G8*Q8</f>
        <v>-16740</v>
      </c>
      <c r="L8" s="78"/>
      <c r="M8" s="78"/>
      <c r="N8" s="82"/>
      <c r="O8" s="83"/>
      <c r="P8" s="79" t="s">
        <v>320</v>
      </c>
      <c r="Q8" s="79">
        <f>VLOOKUP(Cmt(A8),Sheet2!A:B,2,FALSE)</f>
        <v>60</v>
      </c>
    </row>
    <row r="9" spans="1:17">
      <c r="A9" s="85" t="s">
        <v>273</v>
      </c>
      <c r="B9" s="85">
        <v>20</v>
      </c>
      <c r="C9" s="85">
        <v>527.5</v>
      </c>
      <c r="D9" s="86">
        <v>43138</v>
      </c>
      <c r="E9" s="87">
        <v>3.2000000000000001E-2</v>
      </c>
      <c r="F9" s="87">
        <v>1.6E-2</v>
      </c>
      <c r="G9" s="85">
        <v>40</v>
      </c>
      <c r="H9" s="85">
        <v>523.5</v>
      </c>
      <c r="I9" s="86">
        <v>43139</v>
      </c>
      <c r="J9" s="85">
        <v>-12000</v>
      </c>
      <c r="K9" s="85">
        <v>-16000</v>
      </c>
      <c r="L9" s="79"/>
      <c r="M9" s="79"/>
      <c r="N9" s="79"/>
      <c r="O9" s="79"/>
      <c r="P9" s="79"/>
      <c r="Q9" s="79"/>
    </row>
    <row r="10" spans="1:17">
      <c r="A10" s="85" t="s">
        <v>57</v>
      </c>
      <c r="B10" s="85">
        <v>8</v>
      </c>
      <c r="C10" s="85">
        <v>105220</v>
      </c>
      <c r="D10" s="86">
        <v>43133</v>
      </c>
      <c r="E10" s="87">
        <v>2.5999999999999999E-2</v>
      </c>
      <c r="F10" s="87">
        <v>1.2999999999999999E-2</v>
      </c>
      <c r="G10" s="85">
        <v>16</v>
      </c>
      <c r="H10" s="85">
        <v>104320</v>
      </c>
      <c r="I10" s="86">
        <v>43133</v>
      </c>
      <c r="J10" s="85">
        <v>-7200</v>
      </c>
      <c r="K10" s="85">
        <v>-14400</v>
      </c>
      <c r="L10" s="78"/>
      <c r="M10" s="78"/>
      <c r="N10" s="79"/>
      <c r="O10" s="79"/>
      <c r="P10" s="79"/>
      <c r="Q10" s="79"/>
    </row>
    <row r="11" spans="1:17">
      <c r="A11" s="85" t="s">
        <v>87</v>
      </c>
      <c r="B11" s="85">
        <v>-8</v>
      </c>
      <c r="C11" s="85">
        <v>5082</v>
      </c>
      <c r="D11" s="86">
        <v>43139</v>
      </c>
      <c r="E11" s="87">
        <v>1.7999999999999999E-2</v>
      </c>
      <c r="F11" s="87">
        <v>6.0000000000000001E-3</v>
      </c>
      <c r="G11" s="85">
        <v>-24</v>
      </c>
      <c r="H11" s="85">
        <v>5140</v>
      </c>
      <c r="I11" s="86">
        <v>43139</v>
      </c>
      <c r="J11" s="85">
        <v>-4640</v>
      </c>
      <c r="K11" s="85">
        <v>-13920</v>
      </c>
      <c r="L11" s="78"/>
      <c r="M11" s="78"/>
      <c r="N11" s="79"/>
      <c r="O11" s="79"/>
      <c r="P11" s="79"/>
      <c r="Q11" s="79"/>
    </row>
    <row r="12" spans="1:17">
      <c r="A12" s="85" t="s">
        <v>163</v>
      </c>
      <c r="B12" s="85">
        <v>2</v>
      </c>
      <c r="C12" s="85">
        <v>2157</v>
      </c>
      <c r="D12" s="86">
        <v>43139</v>
      </c>
      <c r="E12" s="87">
        <v>1.4E-2</v>
      </c>
      <c r="F12" s="87">
        <v>7.0000000000000001E-3</v>
      </c>
      <c r="G12" s="85">
        <v>4</v>
      </c>
      <c r="H12" s="85">
        <v>2122.5</v>
      </c>
      <c r="I12" s="86">
        <v>43140</v>
      </c>
      <c r="J12" s="85">
        <v>-6900</v>
      </c>
      <c r="K12" s="85">
        <v>-13800</v>
      </c>
      <c r="L12" s="79"/>
      <c r="M12" s="79"/>
      <c r="N12" s="79"/>
      <c r="O12" s="79"/>
      <c r="P12" s="79"/>
      <c r="Q12" s="79"/>
    </row>
    <row r="13" spans="1:17">
      <c r="A13" s="85" t="s">
        <v>64</v>
      </c>
      <c r="B13" s="85">
        <v>30</v>
      </c>
      <c r="C13" s="85">
        <v>4035</v>
      </c>
      <c r="D13" s="86">
        <v>43136</v>
      </c>
      <c r="E13" s="87">
        <v>3.7999999999999999E-2</v>
      </c>
      <c r="F13" s="87">
        <v>1.9E-2</v>
      </c>
      <c r="G13" s="85">
        <v>60</v>
      </c>
      <c r="H13" s="85">
        <v>4012.3330000000001</v>
      </c>
      <c r="I13" s="86">
        <v>43137</v>
      </c>
      <c r="J13" s="85">
        <v>-11200.2</v>
      </c>
      <c r="K13" s="85">
        <v>-13600.2</v>
      </c>
      <c r="L13" s="78"/>
      <c r="M13" s="78"/>
      <c r="N13" s="82"/>
      <c r="O13" s="83"/>
      <c r="P13" s="79"/>
      <c r="Q13" s="79"/>
    </row>
    <row r="14" spans="1:17">
      <c r="A14" s="85" t="s">
        <v>52</v>
      </c>
      <c r="B14" s="85">
        <v>18</v>
      </c>
      <c r="C14" s="85">
        <v>3965</v>
      </c>
      <c r="D14" s="86">
        <v>43133</v>
      </c>
      <c r="E14" s="87">
        <v>2.1999999999999999E-2</v>
      </c>
      <c r="F14" s="87">
        <v>1.0999999999999999E-2</v>
      </c>
      <c r="G14" s="85">
        <v>36</v>
      </c>
      <c r="H14" s="85">
        <v>3928</v>
      </c>
      <c r="I14" s="86">
        <v>43133</v>
      </c>
      <c r="J14" s="85">
        <v>-6660</v>
      </c>
      <c r="K14" s="85">
        <v>-13320</v>
      </c>
      <c r="L14" s="78"/>
      <c r="M14" s="78"/>
      <c r="N14" s="79"/>
      <c r="O14" s="79"/>
      <c r="P14" s="79"/>
      <c r="Q14" s="79"/>
    </row>
    <row r="15" spans="1:17">
      <c r="A15" s="85" t="s">
        <v>273</v>
      </c>
      <c r="B15" s="85">
        <v>12</v>
      </c>
      <c r="C15" s="85">
        <v>533.5</v>
      </c>
      <c r="D15" s="86">
        <v>43139</v>
      </c>
      <c r="E15" s="87">
        <v>0.02</v>
      </c>
      <c r="F15" s="87">
        <v>0.01</v>
      </c>
      <c r="G15" s="85">
        <v>24</v>
      </c>
      <c r="H15" s="85">
        <v>528.5</v>
      </c>
      <c r="I15" s="86">
        <v>43140</v>
      </c>
      <c r="J15" s="85">
        <v>-6000</v>
      </c>
      <c r="K15" s="85">
        <v>-12000</v>
      </c>
      <c r="L15" s="78"/>
      <c r="M15" s="78"/>
      <c r="N15" s="79"/>
      <c r="O15" s="79"/>
      <c r="P15" s="79"/>
      <c r="Q15" s="79"/>
    </row>
    <row r="16" spans="1:17">
      <c r="A16" s="85" t="s">
        <v>53</v>
      </c>
      <c r="B16" s="85">
        <v>-4</v>
      </c>
      <c r="C16" s="85">
        <v>52800</v>
      </c>
      <c r="D16" s="86">
        <v>43137</v>
      </c>
      <c r="E16" s="87">
        <v>0.03</v>
      </c>
      <c r="F16" s="87">
        <v>1.4999999999999999E-2</v>
      </c>
      <c r="G16" s="85">
        <v>-8</v>
      </c>
      <c r="H16" s="85">
        <v>53090</v>
      </c>
      <c r="I16" s="86">
        <v>43138</v>
      </c>
      <c r="J16" s="85">
        <v>-13400</v>
      </c>
      <c r="K16" s="85">
        <v>-11600</v>
      </c>
      <c r="L16" s="78"/>
      <c r="M16" s="78"/>
      <c r="N16" s="82"/>
      <c r="O16" s="83"/>
      <c r="P16" s="79"/>
      <c r="Q16" s="79"/>
    </row>
    <row r="17" spans="1:17">
      <c r="A17" s="85" t="s">
        <v>161</v>
      </c>
      <c r="B17" s="85">
        <v>-14</v>
      </c>
      <c r="C17" s="85">
        <v>3612</v>
      </c>
      <c r="D17" s="86">
        <v>43133</v>
      </c>
      <c r="E17" s="87">
        <v>2.4E-2</v>
      </c>
      <c r="F17" s="87">
        <v>8.0000000000000002E-3</v>
      </c>
      <c r="G17" s="85">
        <v>-42</v>
      </c>
      <c r="H17" s="85">
        <v>3665</v>
      </c>
      <c r="I17" s="86">
        <v>43136</v>
      </c>
      <c r="J17" s="85">
        <v>-3710</v>
      </c>
      <c r="K17" s="85">
        <v>-11130</v>
      </c>
      <c r="L17" s="78"/>
      <c r="M17" s="78"/>
      <c r="N17" s="79"/>
      <c r="O17" s="79"/>
      <c r="P17" s="79"/>
      <c r="Q17" s="79"/>
    </row>
    <row r="18" spans="1:17">
      <c r="A18" s="78" t="s">
        <v>151</v>
      </c>
      <c r="B18" s="78">
        <v>9</v>
      </c>
      <c r="C18" s="78">
        <v>1419</v>
      </c>
      <c r="D18" s="81">
        <v>43154</v>
      </c>
      <c r="E18" s="76">
        <v>2.4E-2</v>
      </c>
      <c r="F18" s="76">
        <v>1.2E-2</v>
      </c>
      <c r="G18" s="77">
        <f>E18/F18*B18</f>
        <v>18</v>
      </c>
      <c r="H18" s="78">
        <v>1409</v>
      </c>
      <c r="I18" s="81">
        <v>43157</v>
      </c>
      <c r="J18" s="80">
        <v>-5400</v>
      </c>
      <c r="K18" s="80">
        <f>(H18-C18)*G18*Q18</f>
        <v>-10800</v>
      </c>
      <c r="L18" s="78"/>
      <c r="M18" s="78"/>
      <c r="N18" s="79"/>
      <c r="O18" s="79"/>
      <c r="P18" s="79" t="s">
        <v>320</v>
      </c>
      <c r="Q18" s="79">
        <f>VLOOKUP(Cmt(A18),Sheet2!A:B,2,FALSE)</f>
        <v>60</v>
      </c>
    </row>
    <row r="19" spans="1:17">
      <c r="A19" s="85" t="s">
        <v>164</v>
      </c>
      <c r="B19" s="85">
        <v>1</v>
      </c>
      <c r="C19" s="85">
        <v>4282</v>
      </c>
      <c r="D19" s="86">
        <v>43133</v>
      </c>
      <c r="E19" s="87">
        <v>1.2999999999999999E-2</v>
      </c>
      <c r="F19" s="87">
        <v>1.2999999999999999E-2</v>
      </c>
      <c r="G19" s="85">
        <v>1</v>
      </c>
      <c r="H19" s="85">
        <v>4247.2</v>
      </c>
      <c r="I19" s="86">
        <v>43136</v>
      </c>
      <c r="J19" s="85">
        <v>-10440</v>
      </c>
      <c r="K19" s="85">
        <v>-10440</v>
      </c>
      <c r="L19" s="79"/>
      <c r="M19" s="79"/>
      <c r="N19" s="79"/>
      <c r="O19" s="79"/>
      <c r="P19" s="79"/>
      <c r="Q19" s="79"/>
    </row>
    <row r="20" spans="1:17">
      <c r="A20" s="78" t="s">
        <v>151</v>
      </c>
      <c r="B20" s="78">
        <v>10</v>
      </c>
      <c r="C20" s="78">
        <v>1360.5</v>
      </c>
      <c r="D20" s="81">
        <v>43143</v>
      </c>
      <c r="E20" s="76">
        <v>2.4E-2</v>
      </c>
      <c r="F20" s="76">
        <v>1.2E-2</v>
      </c>
      <c r="G20" s="77">
        <f>E20/F20*B20</f>
        <v>20</v>
      </c>
      <c r="H20" s="78">
        <v>1353.5</v>
      </c>
      <c r="I20" s="81">
        <v>43143</v>
      </c>
      <c r="J20" s="80">
        <v>-4200</v>
      </c>
      <c r="K20" s="80">
        <f>(H20-C20)*G20*Q20</f>
        <v>-8400</v>
      </c>
      <c r="L20" s="78"/>
      <c r="M20" s="78"/>
      <c r="N20" s="82"/>
      <c r="O20" s="83"/>
      <c r="P20" s="79" t="s">
        <v>320</v>
      </c>
      <c r="Q20" s="79">
        <f>VLOOKUP(Cmt(A20),Sheet2!A:B,2,FALSE)</f>
        <v>60</v>
      </c>
    </row>
    <row r="21" spans="1:17">
      <c r="A21" s="85" t="s">
        <v>273</v>
      </c>
      <c r="B21" s="85">
        <v>20</v>
      </c>
      <c r="C21" s="85">
        <v>518.5</v>
      </c>
      <c r="D21" s="86">
        <v>43133</v>
      </c>
      <c r="E21" s="87">
        <v>3.2000000000000001E-2</v>
      </c>
      <c r="F21" s="87">
        <v>1.6E-2</v>
      </c>
      <c r="G21" s="85">
        <v>40</v>
      </c>
      <c r="H21" s="85">
        <v>516.5</v>
      </c>
      <c r="I21" s="86">
        <v>43136</v>
      </c>
      <c r="J21" s="85">
        <v>-4000</v>
      </c>
      <c r="K21" s="85">
        <v>-8000</v>
      </c>
      <c r="L21" s="79"/>
      <c r="M21" s="79"/>
      <c r="N21" s="79"/>
      <c r="O21" s="79"/>
      <c r="P21" s="79"/>
      <c r="Q21" s="79"/>
    </row>
    <row r="22" spans="1:17">
      <c r="A22" s="85" t="s">
        <v>59</v>
      </c>
      <c r="B22" s="85">
        <v>20</v>
      </c>
      <c r="C22" s="85">
        <v>6694</v>
      </c>
      <c r="D22" s="86">
        <v>43136</v>
      </c>
      <c r="E22" s="87">
        <v>2.1000000000000001E-2</v>
      </c>
      <c r="F22" s="87">
        <v>1.0999999999999999E-2</v>
      </c>
      <c r="G22" s="85">
        <v>40</v>
      </c>
      <c r="H22" s="85">
        <v>6654</v>
      </c>
      <c r="I22" s="86">
        <v>43137</v>
      </c>
      <c r="J22" s="85">
        <v>-16000</v>
      </c>
      <c r="K22" s="85">
        <v>-8000</v>
      </c>
      <c r="L22" s="79"/>
      <c r="M22" s="79"/>
      <c r="N22" s="79"/>
      <c r="O22" s="79"/>
      <c r="P22" s="79"/>
      <c r="Q22" s="79"/>
    </row>
    <row r="23" spans="1:17">
      <c r="A23" s="78" t="s">
        <v>52</v>
      </c>
      <c r="B23" s="78">
        <v>21</v>
      </c>
      <c r="C23" s="78">
        <v>4038</v>
      </c>
      <c r="D23" s="81">
        <v>43157</v>
      </c>
      <c r="E23" s="76">
        <v>2.7E-2</v>
      </c>
      <c r="F23" s="76">
        <v>1.35E-2</v>
      </c>
      <c r="G23" s="77">
        <f>E23/F23*B23</f>
        <v>42</v>
      </c>
      <c r="H23" s="78">
        <v>4019</v>
      </c>
      <c r="I23" s="81">
        <v>43158</v>
      </c>
      <c r="J23" s="80">
        <v>-3990</v>
      </c>
      <c r="K23" s="80">
        <f>(H23-C23)*G23*Q23</f>
        <v>-7980</v>
      </c>
      <c r="L23" s="79"/>
      <c r="M23" s="79"/>
      <c r="N23" s="79"/>
      <c r="O23" s="79"/>
      <c r="P23" s="79" t="s">
        <v>320</v>
      </c>
      <c r="Q23" s="79">
        <f>VLOOKUP(Cmt(A23),Sheet2!A:B,2,FALSE)</f>
        <v>10</v>
      </c>
    </row>
    <row r="24" spans="1:17">
      <c r="A24" s="85" t="s">
        <v>87</v>
      </c>
      <c r="B24" s="85">
        <v>-7</v>
      </c>
      <c r="C24" s="85">
        <v>5096</v>
      </c>
      <c r="D24" s="86">
        <v>43137</v>
      </c>
      <c r="E24" s="87">
        <v>1.7999999999999999E-2</v>
      </c>
      <c r="F24" s="87">
        <v>6.0000000000000001E-3</v>
      </c>
      <c r="G24" s="85">
        <v>-21</v>
      </c>
      <c r="H24" s="85">
        <v>5134</v>
      </c>
      <c r="I24" s="86">
        <v>43138</v>
      </c>
      <c r="J24" s="85">
        <v>-2660</v>
      </c>
      <c r="K24" s="85">
        <v>-7980</v>
      </c>
      <c r="L24" s="79"/>
      <c r="M24" s="79"/>
      <c r="N24" s="79"/>
      <c r="O24" s="79"/>
      <c r="P24" s="79"/>
      <c r="Q24" s="79"/>
    </row>
    <row r="25" spans="1:17">
      <c r="A25" s="85" t="s">
        <v>57</v>
      </c>
      <c r="B25" s="85">
        <v>-7</v>
      </c>
      <c r="C25" s="85">
        <v>100340</v>
      </c>
      <c r="D25" s="86">
        <v>43139</v>
      </c>
      <c r="E25" s="87">
        <v>2.1000000000000001E-2</v>
      </c>
      <c r="F25" s="87">
        <v>1.0999999999999999E-2</v>
      </c>
      <c r="G25" s="85">
        <v>-14</v>
      </c>
      <c r="H25" s="85">
        <v>100874.3</v>
      </c>
      <c r="I25" s="86">
        <v>43139</v>
      </c>
      <c r="J25" s="85">
        <v>-3740</v>
      </c>
      <c r="K25" s="85">
        <v>-7480</v>
      </c>
      <c r="L25" s="79"/>
      <c r="M25" s="79"/>
      <c r="N25" s="79"/>
      <c r="O25" s="79"/>
      <c r="P25" s="79"/>
      <c r="Q25" s="79"/>
    </row>
    <row r="26" spans="1:17">
      <c r="A26" s="78" t="s">
        <v>64</v>
      </c>
      <c r="B26" s="78">
        <v>20</v>
      </c>
      <c r="C26" s="78">
        <v>4074</v>
      </c>
      <c r="D26" s="81">
        <v>43157</v>
      </c>
      <c r="E26" s="76">
        <v>2.5999999999999999E-2</v>
      </c>
      <c r="F26" s="76">
        <v>1.2999999999999999E-2</v>
      </c>
      <c r="G26" s="77">
        <f>E26/F26*B26</f>
        <v>40</v>
      </c>
      <c r="H26" s="78">
        <v>4056</v>
      </c>
      <c r="I26" s="81">
        <v>43158</v>
      </c>
      <c r="J26" s="80">
        <v>-3600</v>
      </c>
      <c r="K26" s="80">
        <f>(H26-C26)*G26*Q26</f>
        <v>-7200</v>
      </c>
      <c r="L26" s="78"/>
      <c r="M26" s="78"/>
      <c r="N26" s="79"/>
      <c r="O26" s="79"/>
      <c r="P26" s="79" t="s">
        <v>320</v>
      </c>
      <c r="Q26" s="79">
        <f>VLOOKUP(Cmt(A26),Sheet2!A:B,2,FALSE)</f>
        <v>10</v>
      </c>
    </row>
    <row r="27" spans="1:17">
      <c r="A27" s="85" t="s">
        <v>156</v>
      </c>
      <c r="B27" s="85">
        <v>9</v>
      </c>
      <c r="C27" s="85">
        <v>26745</v>
      </c>
      <c r="D27" s="86">
        <v>43133</v>
      </c>
      <c r="E27" s="87">
        <v>3.6999999999999998E-2</v>
      </c>
      <c r="F27" s="87">
        <v>1.9E-2</v>
      </c>
      <c r="G27" s="85">
        <v>18</v>
      </c>
      <c r="H27" s="85">
        <v>26665</v>
      </c>
      <c r="I27" s="86">
        <v>43136</v>
      </c>
      <c r="J27" s="85">
        <v>-3600</v>
      </c>
      <c r="K27" s="85">
        <v>-7200</v>
      </c>
      <c r="L27" s="79"/>
      <c r="M27" s="79"/>
      <c r="N27" s="79"/>
      <c r="O27" s="79"/>
      <c r="P27" s="79"/>
      <c r="Q27" s="79"/>
    </row>
    <row r="28" spans="1:17">
      <c r="A28" s="85" t="s">
        <v>52</v>
      </c>
      <c r="B28" s="85">
        <v>27</v>
      </c>
      <c r="C28" s="85">
        <v>3957</v>
      </c>
      <c r="D28" s="86">
        <v>43136</v>
      </c>
      <c r="E28" s="87">
        <v>3.3000000000000002E-2</v>
      </c>
      <c r="F28" s="87">
        <v>1.7000000000000001E-2</v>
      </c>
      <c r="G28" s="85">
        <v>54</v>
      </c>
      <c r="H28" s="85">
        <v>3944</v>
      </c>
      <c r="I28" s="86">
        <v>43137</v>
      </c>
      <c r="J28" s="85">
        <v>-8910</v>
      </c>
      <c r="K28" s="85">
        <v>-7020</v>
      </c>
      <c r="L28" s="79"/>
      <c r="M28" s="79"/>
      <c r="N28" s="79"/>
      <c r="O28" s="79"/>
      <c r="P28" s="79"/>
      <c r="Q28" s="79"/>
    </row>
    <row r="29" spans="1:17">
      <c r="A29" s="78" t="s">
        <v>165</v>
      </c>
      <c r="B29" s="78">
        <v>-10</v>
      </c>
      <c r="C29" s="78">
        <v>14345</v>
      </c>
      <c r="D29" s="81">
        <v>43140</v>
      </c>
      <c r="E29" s="76">
        <v>2.3E-2</v>
      </c>
      <c r="F29" s="76">
        <v>1.15E-2</v>
      </c>
      <c r="G29" s="77">
        <f>E29/F29*B29</f>
        <v>-20</v>
      </c>
      <c r="H29" s="78">
        <v>14415</v>
      </c>
      <c r="I29" s="81">
        <v>43143</v>
      </c>
      <c r="J29" s="80">
        <v>-3500</v>
      </c>
      <c r="K29" s="80">
        <f>(H29-C29)*G29*Q29</f>
        <v>-7000</v>
      </c>
      <c r="L29" s="78">
        <v>14360</v>
      </c>
      <c r="M29" s="82">
        <v>43140</v>
      </c>
      <c r="N29" s="83">
        <v>0.66388888888888886</v>
      </c>
      <c r="O29" s="83"/>
      <c r="P29" s="79" t="s">
        <v>317</v>
      </c>
      <c r="Q29" s="79">
        <f>VLOOKUP(Cmt(A29),Sheet2!A:B,2,FALSE)</f>
        <v>5</v>
      </c>
    </row>
    <row r="30" spans="1:17">
      <c r="A30" s="78" t="s">
        <v>54</v>
      </c>
      <c r="B30" s="78">
        <v>-11</v>
      </c>
      <c r="C30" s="78">
        <v>5622</v>
      </c>
      <c r="D30" s="81">
        <v>43140</v>
      </c>
      <c r="E30" s="76">
        <v>1.4E-2</v>
      </c>
      <c r="F30" s="76">
        <v>4.6666666666666662E-3</v>
      </c>
      <c r="G30" s="77">
        <f>E30/F30*B30</f>
        <v>-33.000000000000007</v>
      </c>
      <c r="H30" s="78">
        <v>5662</v>
      </c>
      <c r="I30" s="81">
        <v>43153</v>
      </c>
      <c r="J30" s="80">
        <v>-9020</v>
      </c>
      <c r="K30" s="80">
        <f>(H30-C30)*G30*Q30</f>
        <v>-6600.0000000000009</v>
      </c>
      <c r="L30" s="78">
        <v>5600</v>
      </c>
      <c r="M30" s="82">
        <v>43140</v>
      </c>
      <c r="N30" s="83">
        <v>0.66388888888888886</v>
      </c>
      <c r="O30" s="79"/>
      <c r="P30" s="79" t="s">
        <v>318</v>
      </c>
      <c r="Q30" s="79">
        <f>VLOOKUP(Cmt(A30),Sheet2!A:B,2,FALSE)</f>
        <v>5</v>
      </c>
    </row>
    <row r="31" spans="1:17">
      <c r="A31" s="78" t="s">
        <v>165</v>
      </c>
      <c r="B31" s="78">
        <v>-10</v>
      </c>
      <c r="C31" s="78">
        <v>14250</v>
      </c>
      <c r="D31" s="81">
        <v>43153</v>
      </c>
      <c r="E31" s="76">
        <v>2.3E-2</v>
      </c>
      <c r="F31" s="76">
        <v>1.15E-2</v>
      </c>
      <c r="G31" s="77">
        <f>E31/F31*B31</f>
        <v>-20</v>
      </c>
      <c r="H31" s="78">
        <v>14315</v>
      </c>
      <c r="I31" s="81">
        <v>43153</v>
      </c>
      <c r="J31" s="80">
        <v>-3250</v>
      </c>
      <c r="K31" s="80">
        <f>(H31-C31)*G31*Q31</f>
        <v>-6500</v>
      </c>
      <c r="L31" s="78"/>
      <c r="M31" s="78"/>
      <c r="N31" s="79"/>
      <c r="O31" s="79"/>
      <c r="P31" s="79" t="s">
        <v>317</v>
      </c>
      <c r="Q31" s="79">
        <f>VLOOKUP(Cmt(A31),Sheet2!A:B,2,FALSE)</f>
        <v>5</v>
      </c>
    </row>
    <row r="32" spans="1:17">
      <c r="A32" s="78" t="s">
        <v>316</v>
      </c>
      <c r="B32" s="78">
        <v>4</v>
      </c>
      <c r="C32" s="78">
        <v>53550</v>
      </c>
      <c r="D32" s="81">
        <v>43157</v>
      </c>
      <c r="E32" s="76">
        <v>3.1E-2</v>
      </c>
      <c r="F32" s="76">
        <v>1.55E-2</v>
      </c>
      <c r="G32" s="77">
        <f>E32/F32*B32</f>
        <v>8</v>
      </c>
      <c r="H32" s="78">
        <v>53390</v>
      </c>
      <c r="I32" s="81">
        <v>43158</v>
      </c>
      <c r="J32" s="80">
        <v>-3200</v>
      </c>
      <c r="K32" s="80">
        <f>(H32-C32)*G32*Q32</f>
        <v>-6400</v>
      </c>
      <c r="L32" s="78"/>
      <c r="M32" s="78"/>
      <c r="N32" s="79"/>
      <c r="O32" s="79"/>
      <c r="P32" s="84" t="s">
        <v>317</v>
      </c>
      <c r="Q32" s="79">
        <f>VLOOKUP(Cmt(A32),Sheet2!A:B,2,FALSE)</f>
        <v>5</v>
      </c>
    </row>
    <row r="33" spans="1:17">
      <c r="A33" s="85" t="s">
        <v>64</v>
      </c>
      <c r="B33" s="85">
        <v>29</v>
      </c>
      <c r="C33" s="85">
        <v>4019</v>
      </c>
      <c r="D33" s="86">
        <v>43138</v>
      </c>
      <c r="E33" s="87">
        <v>3.5999999999999997E-2</v>
      </c>
      <c r="F33" s="87">
        <v>1.7999999999999999E-2</v>
      </c>
      <c r="G33" s="85">
        <v>58</v>
      </c>
      <c r="H33" s="85">
        <v>4008</v>
      </c>
      <c r="I33" s="86">
        <v>43138</v>
      </c>
      <c r="J33" s="85">
        <v>-3480</v>
      </c>
      <c r="K33" s="85">
        <v>-6380</v>
      </c>
      <c r="L33" s="79"/>
      <c r="M33" s="79"/>
      <c r="N33" s="79"/>
      <c r="O33" s="79"/>
      <c r="P33" s="79"/>
      <c r="Q33" s="79"/>
    </row>
    <row r="34" spans="1:17">
      <c r="A34" s="78" t="s">
        <v>61</v>
      </c>
      <c r="B34" s="78">
        <v>-15</v>
      </c>
      <c r="C34" s="78">
        <v>2708.13</v>
      </c>
      <c r="D34" s="81">
        <v>43143</v>
      </c>
      <c r="E34" s="76">
        <v>1.7000000000000001E-2</v>
      </c>
      <c r="F34" s="76">
        <v>5.6666666666666671E-3</v>
      </c>
      <c r="G34" s="77">
        <f>E34/F34*B34</f>
        <v>-45</v>
      </c>
      <c r="H34" s="78">
        <v>2722</v>
      </c>
      <c r="I34" s="81">
        <v>43153</v>
      </c>
      <c r="J34" s="80">
        <v>-9880</v>
      </c>
      <c r="K34" s="80">
        <f>(H34-C34)*G34*Q34</f>
        <v>-6241.4999999999509</v>
      </c>
      <c r="L34" s="78"/>
      <c r="M34" s="78"/>
      <c r="N34" s="79"/>
      <c r="O34" s="79"/>
      <c r="P34" s="84" t="s">
        <v>318</v>
      </c>
      <c r="Q34" s="79">
        <f>VLOOKUP(Cmt(A34),Sheet2!A:B,2,FALSE)</f>
        <v>10</v>
      </c>
    </row>
    <row r="35" spans="1:17">
      <c r="A35" s="85" t="s">
        <v>62</v>
      </c>
      <c r="B35" s="85">
        <v>-12</v>
      </c>
      <c r="C35" s="85">
        <v>2769</v>
      </c>
      <c r="D35" s="86">
        <v>43139</v>
      </c>
      <c r="E35" s="87">
        <v>1.4999999999999999E-2</v>
      </c>
      <c r="F35" s="87">
        <v>5.0000000000000001E-3</v>
      </c>
      <c r="G35" s="85">
        <v>-36</v>
      </c>
      <c r="H35" s="85">
        <v>2785</v>
      </c>
      <c r="I35" s="86">
        <v>43139</v>
      </c>
      <c r="J35" s="85">
        <v>-1920</v>
      </c>
      <c r="K35" s="85">
        <v>-5760</v>
      </c>
      <c r="L35" s="79"/>
      <c r="M35" s="79"/>
      <c r="N35" s="79"/>
      <c r="O35" s="79"/>
      <c r="P35" s="79"/>
      <c r="Q35" s="79"/>
    </row>
    <row r="36" spans="1:17">
      <c r="A36" s="85" t="s">
        <v>163</v>
      </c>
      <c r="B36" s="85">
        <v>4</v>
      </c>
      <c r="C36" s="85">
        <v>2148.5</v>
      </c>
      <c r="D36" s="86">
        <v>43139</v>
      </c>
      <c r="E36" s="87">
        <v>2.5000000000000001E-2</v>
      </c>
      <c r="F36" s="87">
        <v>1.2999999999999999E-2</v>
      </c>
      <c r="G36" s="85">
        <v>8</v>
      </c>
      <c r="H36" s="85">
        <v>2141.5</v>
      </c>
      <c r="I36" s="86">
        <v>43139</v>
      </c>
      <c r="J36" s="85">
        <v>-4600</v>
      </c>
      <c r="K36" s="85">
        <v>-5600</v>
      </c>
      <c r="L36" s="79"/>
      <c r="M36" s="79"/>
      <c r="N36" s="79"/>
      <c r="O36" s="79"/>
      <c r="P36" s="79"/>
      <c r="Q36" s="79"/>
    </row>
    <row r="37" spans="1:17">
      <c r="A37" s="78" t="s">
        <v>166</v>
      </c>
      <c r="B37" s="78">
        <v>-6</v>
      </c>
      <c r="C37" s="78">
        <v>9510</v>
      </c>
      <c r="D37" s="81">
        <v>43143</v>
      </c>
      <c r="E37" s="76">
        <v>1.4E-2</v>
      </c>
      <c r="F37" s="76">
        <v>4.6666666666666662E-3</v>
      </c>
      <c r="G37" s="77">
        <f>E37/F37*B37</f>
        <v>-18.000000000000004</v>
      </c>
      <c r="H37" s="78">
        <v>9570</v>
      </c>
      <c r="I37" s="81">
        <v>43153</v>
      </c>
      <c r="J37" s="80">
        <v>-8700</v>
      </c>
      <c r="K37" s="80">
        <f>(H37-C37)*G37*Q37</f>
        <v>-5400.0000000000009</v>
      </c>
      <c r="L37" s="78"/>
      <c r="M37" s="78"/>
      <c r="N37" s="79"/>
      <c r="O37" s="79"/>
      <c r="P37" s="84" t="s">
        <v>318</v>
      </c>
      <c r="Q37" s="79">
        <f>VLOOKUP(Cmt(A37),Sheet2!A:B,2,FALSE)</f>
        <v>5</v>
      </c>
    </row>
    <row r="38" spans="1:17">
      <c r="A38" s="85" t="s">
        <v>151</v>
      </c>
      <c r="B38" s="85">
        <v>10</v>
      </c>
      <c r="C38" s="85">
        <v>1365.5</v>
      </c>
      <c r="D38" s="86">
        <v>43139</v>
      </c>
      <c r="E38" s="87">
        <v>2.4E-2</v>
      </c>
      <c r="F38" s="87">
        <v>1.2E-2</v>
      </c>
      <c r="G38" s="85">
        <v>20</v>
      </c>
      <c r="H38" s="85">
        <v>1361</v>
      </c>
      <c r="I38" s="86">
        <v>43140</v>
      </c>
      <c r="J38" s="85">
        <v>-2700</v>
      </c>
      <c r="K38" s="85">
        <v>-5400</v>
      </c>
      <c r="L38" s="79"/>
      <c r="M38" s="79"/>
      <c r="N38" s="79"/>
      <c r="O38" s="79"/>
      <c r="P38" s="79"/>
      <c r="Q38" s="79"/>
    </row>
    <row r="39" spans="1:17">
      <c r="A39" s="85" t="s">
        <v>165</v>
      </c>
      <c r="B39" s="85">
        <v>-14</v>
      </c>
      <c r="C39" s="85">
        <v>14370</v>
      </c>
      <c r="D39" s="86">
        <v>43138</v>
      </c>
      <c r="E39" s="87">
        <v>3.2000000000000001E-2</v>
      </c>
      <c r="F39" s="87">
        <v>1.6E-2</v>
      </c>
      <c r="G39" s="85">
        <v>-28</v>
      </c>
      <c r="H39" s="85">
        <v>14405</v>
      </c>
      <c r="I39" s="86">
        <v>43138</v>
      </c>
      <c r="J39" s="85">
        <v>-2450</v>
      </c>
      <c r="K39" s="85">
        <v>-4900</v>
      </c>
      <c r="L39" s="79"/>
      <c r="M39" s="79"/>
      <c r="N39" s="79"/>
      <c r="O39" s="79"/>
      <c r="P39" s="79"/>
      <c r="Q39" s="79"/>
    </row>
    <row r="40" spans="1:17">
      <c r="A40" s="78" t="s">
        <v>63</v>
      </c>
      <c r="B40" s="78">
        <v>12</v>
      </c>
      <c r="C40" s="78">
        <v>2984</v>
      </c>
      <c r="D40" s="81">
        <v>43154</v>
      </c>
      <c r="E40" s="76">
        <v>1.7000000000000001E-2</v>
      </c>
      <c r="F40" s="76">
        <v>5.6666666666666671E-3</v>
      </c>
      <c r="G40" s="77">
        <f>E40/F40*B40</f>
        <v>36</v>
      </c>
      <c r="H40" s="78">
        <v>2971</v>
      </c>
      <c r="I40" s="81">
        <v>43158</v>
      </c>
      <c r="J40" s="80">
        <v>-1560</v>
      </c>
      <c r="K40" s="80">
        <f>(H40-C40)*G40*Q40</f>
        <v>-4680</v>
      </c>
      <c r="L40" s="78"/>
      <c r="M40" s="78"/>
      <c r="N40" s="79"/>
      <c r="O40" s="79"/>
      <c r="P40" s="84" t="s">
        <v>319</v>
      </c>
      <c r="Q40" s="79">
        <f>VLOOKUP(Cmt(A40),Sheet2!A:B,2,FALSE)</f>
        <v>10</v>
      </c>
    </row>
    <row r="41" spans="1:17">
      <c r="A41" s="78" t="s">
        <v>93</v>
      </c>
      <c r="B41" s="78">
        <v>-1</v>
      </c>
      <c r="C41" s="78">
        <v>2850</v>
      </c>
      <c r="D41" s="81">
        <v>43140</v>
      </c>
      <c r="E41" s="76">
        <v>1.7000000000000001E-2</v>
      </c>
      <c r="F41" s="76">
        <v>1.7000000000000001E-2</v>
      </c>
      <c r="G41" s="77">
        <f>E41/F41*B41</f>
        <v>-1</v>
      </c>
      <c r="H41" s="78">
        <v>2863</v>
      </c>
      <c r="I41" s="81">
        <v>43144</v>
      </c>
      <c r="J41" s="80">
        <v>-3900</v>
      </c>
      <c r="K41" s="80">
        <f>(H41-C41)*G41*Q41</f>
        <v>-3900</v>
      </c>
      <c r="L41" s="78"/>
      <c r="M41" s="79"/>
      <c r="N41" s="79"/>
      <c r="O41" s="83"/>
      <c r="P41" s="79" t="s">
        <v>321</v>
      </c>
      <c r="Q41" s="79">
        <f>VLOOKUP(Cmt(A41),Sheet2!A:B,2,FALSE)</f>
        <v>300</v>
      </c>
    </row>
    <row r="42" spans="1:17">
      <c r="A42" s="78" t="s">
        <v>55</v>
      </c>
      <c r="B42" s="78">
        <v>20</v>
      </c>
      <c r="C42" s="78">
        <v>2479</v>
      </c>
      <c r="D42" s="81">
        <v>43154</v>
      </c>
      <c r="E42" s="76">
        <v>8.0000000000000002E-3</v>
      </c>
      <c r="F42" s="76">
        <v>8.0000000000000002E-3</v>
      </c>
      <c r="G42" s="77">
        <f>E42/F42*B42</f>
        <v>20</v>
      </c>
      <c r="H42" s="78">
        <v>2461</v>
      </c>
      <c r="I42" s="81">
        <v>43158</v>
      </c>
      <c r="J42" s="80">
        <v>-3600</v>
      </c>
      <c r="K42" s="80">
        <f>(H42-C42)*G42*Q42</f>
        <v>-3600</v>
      </c>
      <c r="L42" s="78"/>
      <c r="M42" s="78"/>
      <c r="N42" s="82"/>
      <c r="O42" s="83"/>
      <c r="P42" s="79" t="s">
        <v>319</v>
      </c>
      <c r="Q42" s="79">
        <f>VLOOKUP(Cmt(A42),Sheet2!A:B,2,FALSE)</f>
        <v>10</v>
      </c>
    </row>
    <row r="43" spans="1:17">
      <c r="A43" s="85" t="s">
        <v>54</v>
      </c>
      <c r="B43" s="85">
        <v>-11</v>
      </c>
      <c r="C43" s="85">
        <v>5625.82</v>
      </c>
      <c r="D43" s="86">
        <v>43139</v>
      </c>
      <c r="E43" s="87">
        <v>1.4E-2</v>
      </c>
      <c r="F43" s="87">
        <v>5.0000000000000001E-3</v>
      </c>
      <c r="G43" s="85">
        <v>-33</v>
      </c>
      <c r="H43" s="85">
        <v>5646</v>
      </c>
      <c r="I43" s="86">
        <v>43139</v>
      </c>
      <c r="J43" s="85">
        <v>-1109.9000000000001</v>
      </c>
      <c r="K43" s="85">
        <v>-3329.7</v>
      </c>
      <c r="L43" s="79"/>
      <c r="M43" s="79"/>
      <c r="N43" s="79"/>
      <c r="O43" s="79"/>
      <c r="P43" s="79"/>
      <c r="Q43" s="79"/>
    </row>
    <row r="44" spans="1:17">
      <c r="A44" s="85" t="s">
        <v>56</v>
      </c>
      <c r="B44" s="85">
        <v>27</v>
      </c>
      <c r="C44" s="85">
        <v>2121</v>
      </c>
      <c r="D44" s="86">
        <v>43136</v>
      </c>
      <c r="E44" s="87">
        <v>2.7E-2</v>
      </c>
      <c r="F44" s="87">
        <v>8.9999999999999993E-3</v>
      </c>
      <c r="G44" s="85">
        <v>81</v>
      </c>
      <c r="H44" s="85">
        <v>2117</v>
      </c>
      <c r="I44" s="86">
        <v>43137</v>
      </c>
      <c r="J44" s="85">
        <v>-1080</v>
      </c>
      <c r="K44" s="85">
        <v>-3240</v>
      </c>
      <c r="L44" s="79"/>
      <c r="M44" s="79"/>
      <c r="N44" s="79"/>
      <c r="O44" s="79"/>
      <c r="P44" s="79"/>
      <c r="Q44" s="79"/>
    </row>
    <row r="45" spans="1:17">
      <c r="A45" s="78" t="s">
        <v>60</v>
      </c>
      <c r="B45" s="78">
        <v>-2</v>
      </c>
      <c r="C45" s="78">
        <v>271.89999999999998</v>
      </c>
      <c r="D45" s="81">
        <v>43140</v>
      </c>
      <c r="E45" s="76">
        <v>1.2999999999999999E-2</v>
      </c>
      <c r="F45" s="76">
        <v>6.4999999999999997E-3</v>
      </c>
      <c r="G45" s="77">
        <f>E45/F45*B45</f>
        <v>-4</v>
      </c>
      <c r="H45" s="78">
        <v>272.7</v>
      </c>
      <c r="I45" s="81">
        <v>43143</v>
      </c>
      <c r="J45" s="80">
        <v>-1600.0000000000227</v>
      </c>
      <c r="K45" s="80">
        <f>(H45-C45)*G45*Q45</f>
        <v>-3200.0000000000455</v>
      </c>
      <c r="L45" s="78"/>
      <c r="M45" s="78"/>
      <c r="N45" s="82"/>
      <c r="O45" s="83"/>
      <c r="P45" s="79" t="s">
        <v>322</v>
      </c>
      <c r="Q45" s="79">
        <f>VLOOKUP(Cmt(A45),Sheet2!A:B,2,FALSE)</f>
        <v>1000</v>
      </c>
    </row>
    <row r="46" spans="1:17">
      <c r="A46" s="78" t="s">
        <v>59</v>
      </c>
      <c r="B46" s="78">
        <v>43</v>
      </c>
      <c r="C46" s="78">
        <v>6782</v>
      </c>
      <c r="D46" s="81">
        <v>43153</v>
      </c>
      <c r="E46" s="76">
        <v>2.3E-2</v>
      </c>
      <c r="F46" s="76">
        <v>2.3E-2</v>
      </c>
      <c r="G46" s="77">
        <f>E46/F46*B46</f>
        <v>43</v>
      </c>
      <c r="H46" s="78">
        <v>6768</v>
      </c>
      <c r="I46" s="81">
        <v>43154</v>
      </c>
      <c r="J46" s="80">
        <v>-3010</v>
      </c>
      <c r="K46" s="80">
        <f>(H46-C46)*G46*Q46</f>
        <v>-3010</v>
      </c>
      <c r="L46" s="78"/>
      <c r="M46" s="78"/>
      <c r="N46" s="79"/>
      <c r="O46" s="79"/>
      <c r="P46" s="79" t="s">
        <v>320</v>
      </c>
      <c r="Q46" s="79">
        <f>VLOOKUP(Cmt(A46),Sheet2!A:B,2,FALSE)</f>
        <v>5</v>
      </c>
    </row>
    <row r="47" spans="1:17">
      <c r="A47" s="85" t="s">
        <v>63</v>
      </c>
      <c r="B47" s="85">
        <v>-13</v>
      </c>
      <c r="C47" s="85">
        <v>2768</v>
      </c>
      <c r="D47" s="86">
        <v>43136</v>
      </c>
      <c r="E47" s="87">
        <v>1.7000000000000001E-2</v>
      </c>
      <c r="F47" s="87">
        <v>6.0000000000000001E-3</v>
      </c>
      <c r="G47" s="85">
        <v>-39</v>
      </c>
      <c r="H47" s="85">
        <v>2775</v>
      </c>
      <c r="I47" s="86">
        <v>43137</v>
      </c>
      <c r="J47" s="85">
        <v>-4030</v>
      </c>
      <c r="K47" s="85">
        <v>-2730</v>
      </c>
      <c r="L47" s="79"/>
      <c r="M47" s="79"/>
      <c r="N47" s="79"/>
      <c r="O47" s="79"/>
      <c r="P47" s="79"/>
      <c r="Q47" s="79"/>
    </row>
    <row r="48" spans="1:17">
      <c r="A48" s="85" t="s">
        <v>61</v>
      </c>
      <c r="B48" s="85">
        <v>4</v>
      </c>
      <c r="C48" s="85">
        <v>2912</v>
      </c>
      <c r="D48" s="86">
        <v>43133</v>
      </c>
      <c r="E48" s="87">
        <v>4.0000000000000001E-3</v>
      </c>
      <c r="F48" s="87">
        <v>2E-3</v>
      </c>
      <c r="G48" s="85">
        <v>8</v>
      </c>
      <c r="H48" s="85">
        <v>2878</v>
      </c>
      <c r="I48" s="86">
        <v>43133</v>
      </c>
      <c r="J48" s="85">
        <v>-1360</v>
      </c>
      <c r="K48" s="85">
        <v>-2720</v>
      </c>
      <c r="L48" s="79"/>
      <c r="M48" s="79"/>
      <c r="N48" s="79"/>
      <c r="O48" s="79"/>
      <c r="P48" s="79"/>
      <c r="Q48" s="79"/>
    </row>
    <row r="49" spans="1:17">
      <c r="A49" s="85" t="s">
        <v>63</v>
      </c>
      <c r="B49" s="85">
        <v>17</v>
      </c>
      <c r="C49" s="85">
        <v>2807</v>
      </c>
      <c r="D49" s="86">
        <v>43139</v>
      </c>
      <c r="E49" s="87">
        <v>2.1999999999999999E-2</v>
      </c>
      <c r="F49" s="87">
        <v>7.0000000000000001E-3</v>
      </c>
      <c r="G49" s="85">
        <v>51</v>
      </c>
      <c r="H49" s="85">
        <v>2802</v>
      </c>
      <c r="I49" s="86">
        <v>43140</v>
      </c>
      <c r="J49" s="85">
        <v>-2550</v>
      </c>
      <c r="K49" s="85">
        <v>-2550</v>
      </c>
      <c r="L49" s="79"/>
      <c r="M49" s="79"/>
      <c r="N49" s="79"/>
      <c r="O49" s="79"/>
      <c r="P49" s="79"/>
      <c r="Q49" s="79"/>
    </row>
    <row r="50" spans="1:17">
      <c r="A50" s="78" t="s">
        <v>56</v>
      </c>
      <c r="B50" s="78">
        <v>21</v>
      </c>
      <c r="C50" s="78">
        <v>2136</v>
      </c>
      <c r="D50" s="81">
        <v>43143</v>
      </c>
      <c r="E50" s="76">
        <v>2.1000000000000001E-2</v>
      </c>
      <c r="F50" s="76">
        <v>7.0000000000000001E-3</v>
      </c>
      <c r="G50" s="77">
        <f>E50/F50*B50</f>
        <v>63</v>
      </c>
      <c r="H50" s="78">
        <v>2132</v>
      </c>
      <c r="I50" s="81">
        <v>43143</v>
      </c>
      <c r="J50" s="80">
        <v>-840</v>
      </c>
      <c r="K50" s="80">
        <f>(H50-C50)*G50*Q50</f>
        <v>-2520</v>
      </c>
      <c r="L50" s="78"/>
      <c r="M50" s="78"/>
      <c r="N50" s="82"/>
      <c r="O50" s="83"/>
      <c r="P50" s="84" t="s">
        <v>319</v>
      </c>
      <c r="Q50" s="79">
        <f>VLOOKUP(Cmt(A50),Sheet2!A:B,2,FALSE)</f>
        <v>10</v>
      </c>
    </row>
    <row r="51" spans="1:17">
      <c r="A51" s="85" t="s">
        <v>93</v>
      </c>
      <c r="B51" s="85">
        <v>1</v>
      </c>
      <c r="C51" s="85">
        <v>3171</v>
      </c>
      <c r="D51" s="86">
        <v>43136</v>
      </c>
      <c r="E51" s="87">
        <v>1.7999999999999999E-2</v>
      </c>
      <c r="F51" s="87">
        <v>1.7999999999999999E-2</v>
      </c>
      <c r="G51" s="85">
        <v>1</v>
      </c>
      <c r="H51" s="85">
        <v>3162.8</v>
      </c>
      <c r="I51" s="86">
        <v>43137</v>
      </c>
      <c r="J51" s="85">
        <v>-2460</v>
      </c>
      <c r="K51" s="85">
        <v>-2460</v>
      </c>
      <c r="L51" s="79"/>
      <c r="M51" s="79"/>
      <c r="N51" s="79"/>
      <c r="O51" s="79"/>
      <c r="P51" s="79"/>
      <c r="Q51" s="79"/>
    </row>
    <row r="52" spans="1:17">
      <c r="A52" s="85" t="s">
        <v>165</v>
      </c>
      <c r="B52" s="85">
        <v>-15</v>
      </c>
      <c r="C52" s="85">
        <v>14430</v>
      </c>
      <c r="D52" s="86">
        <v>43137</v>
      </c>
      <c r="E52" s="87">
        <v>3.3000000000000002E-2</v>
      </c>
      <c r="F52" s="87">
        <v>1.7000000000000001E-2</v>
      </c>
      <c r="G52" s="85">
        <v>-30</v>
      </c>
      <c r="H52" s="85">
        <v>14445</v>
      </c>
      <c r="I52" s="86">
        <v>43138</v>
      </c>
      <c r="J52" s="85">
        <v>-9375</v>
      </c>
      <c r="K52" s="85">
        <v>-2250</v>
      </c>
      <c r="L52" s="79"/>
      <c r="M52" s="79"/>
      <c r="N52" s="79"/>
      <c r="O52" s="79"/>
      <c r="P52" s="79"/>
      <c r="Q52" s="79"/>
    </row>
    <row r="53" spans="1:17">
      <c r="A53" s="78" t="s">
        <v>53</v>
      </c>
      <c r="B53" s="78">
        <v>-2</v>
      </c>
      <c r="C53" s="78">
        <v>51550</v>
      </c>
      <c r="D53" s="81">
        <v>43144</v>
      </c>
      <c r="E53" s="76">
        <v>1.6E-2</v>
      </c>
      <c r="F53" s="76">
        <v>8.0000000000000002E-3</v>
      </c>
      <c r="G53" s="77">
        <f>E53/F53*B53</f>
        <v>-4</v>
      </c>
      <c r="H53" s="78">
        <v>51640</v>
      </c>
      <c r="I53" s="81">
        <v>43144</v>
      </c>
      <c r="J53" s="80">
        <v>-900</v>
      </c>
      <c r="K53" s="80">
        <f>(H53-C53)*G53*Q53</f>
        <v>-1800</v>
      </c>
      <c r="L53" s="78"/>
      <c r="M53" s="78"/>
      <c r="N53" s="82"/>
      <c r="O53" s="83"/>
      <c r="P53" s="84" t="s">
        <v>317</v>
      </c>
      <c r="Q53" s="79">
        <f>VLOOKUP(Cmt(A53),Sheet2!A:B,2,FALSE)</f>
        <v>5</v>
      </c>
    </row>
    <row r="54" spans="1:17">
      <c r="A54" s="85" t="s">
        <v>62</v>
      </c>
      <c r="B54" s="85">
        <v>-9</v>
      </c>
      <c r="C54" s="85">
        <v>2783</v>
      </c>
      <c r="D54" s="86">
        <v>43133</v>
      </c>
      <c r="E54" s="87">
        <v>1.2E-2</v>
      </c>
      <c r="F54" s="87">
        <v>4.0000000000000001E-3</v>
      </c>
      <c r="G54" s="85">
        <v>-27</v>
      </c>
      <c r="H54" s="85">
        <v>2789</v>
      </c>
      <c r="I54" s="86">
        <v>43136</v>
      </c>
      <c r="J54" s="85">
        <v>-540</v>
      </c>
      <c r="K54" s="85">
        <v>-1620</v>
      </c>
      <c r="L54" s="79"/>
      <c r="M54" s="79"/>
      <c r="N54" s="79"/>
      <c r="O54" s="79"/>
      <c r="P54" s="79"/>
      <c r="Q54" s="79"/>
    </row>
    <row r="55" spans="1:17">
      <c r="A55" s="85" t="s">
        <v>59</v>
      </c>
      <c r="B55" s="85">
        <v>20</v>
      </c>
      <c r="C55" s="85">
        <v>6696</v>
      </c>
      <c r="D55" s="86">
        <v>43137</v>
      </c>
      <c r="E55" s="87">
        <v>2.1000000000000001E-2</v>
      </c>
      <c r="F55" s="87">
        <v>1.0999999999999999E-2</v>
      </c>
      <c r="G55" s="85">
        <v>40</v>
      </c>
      <c r="H55" s="85">
        <v>6688</v>
      </c>
      <c r="I55" s="86">
        <v>43137</v>
      </c>
      <c r="J55" s="85">
        <v>-800</v>
      </c>
      <c r="K55" s="85">
        <v>-1600</v>
      </c>
      <c r="L55" s="79"/>
      <c r="M55" s="79"/>
      <c r="N55" s="79"/>
      <c r="O55" s="79"/>
      <c r="P55" s="79"/>
      <c r="Q55" s="79"/>
    </row>
    <row r="56" spans="1:17">
      <c r="A56" s="78" t="s">
        <v>57</v>
      </c>
      <c r="B56" s="78">
        <v>7</v>
      </c>
      <c r="C56" s="78">
        <v>105400</v>
      </c>
      <c r="D56" s="81">
        <v>43157</v>
      </c>
      <c r="E56" s="76">
        <v>2.5000000000000001E-2</v>
      </c>
      <c r="F56" s="76">
        <v>1.2500000000000001E-2</v>
      </c>
      <c r="G56" s="77">
        <f>E56/F56*B56</f>
        <v>14</v>
      </c>
      <c r="H56" s="78">
        <v>105290</v>
      </c>
      <c r="I56" s="81">
        <v>43158</v>
      </c>
      <c r="J56" s="80">
        <v>-770</v>
      </c>
      <c r="K56" s="80">
        <f>(H56-C56)*G56*Q56</f>
        <v>-1540</v>
      </c>
      <c r="L56" s="78"/>
      <c r="M56" s="78"/>
      <c r="N56" s="79"/>
      <c r="O56" s="79"/>
      <c r="P56" s="79" t="s">
        <v>317</v>
      </c>
      <c r="Q56" s="79">
        <f>VLOOKUP(Cmt(A56),Sheet2!A:B,2,FALSE)</f>
        <v>1</v>
      </c>
    </row>
    <row r="57" spans="1:17">
      <c r="A57" s="78" t="s">
        <v>57</v>
      </c>
      <c r="B57" s="78">
        <v>8</v>
      </c>
      <c r="C57" s="78">
        <v>105100</v>
      </c>
      <c r="D57" s="81">
        <v>43154</v>
      </c>
      <c r="E57" s="76">
        <v>2.7E-2</v>
      </c>
      <c r="F57" s="76">
        <v>1.35E-2</v>
      </c>
      <c r="G57" s="77">
        <f>E57/F57*B57</f>
        <v>16</v>
      </c>
      <c r="H57" s="78">
        <v>105010</v>
      </c>
      <c r="I57" s="81">
        <v>43157</v>
      </c>
      <c r="J57" s="80">
        <v>-720</v>
      </c>
      <c r="K57" s="80">
        <f>(H57-C57)*G57*Q57</f>
        <v>-1440</v>
      </c>
      <c r="L57" s="78"/>
      <c r="M57" s="78"/>
      <c r="N57" s="82"/>
      <c r="O57" s="83"/>
      <c r="P57" s="79" t="s">
        <v>317</v>
      </c>
      <c r="Q57" s="79">
        <f>VLOOKUP(Cmt(A57),Sheet2!A:B,2,FALSE)</f>
        <v>1</v>
      </c>
    </row>
    <row r="58" spans="1:17">
      <c r="A58" s="78" t="s">
        <v>59</v>
      </c>
      <c r="B58" s="78">
        <v>22</v>
      </c>
      <c r="C58" s="78">
        <v>6774</v>
      </c>
      <c r="D58" s="81">
        <v>43154</v>
      </c>
      <c r="E58" s="76">
        <v>2.3E-2</v>
      </c>
      <c r="F58" s="76">
        <v>1.15E-2</v>
      </c>
      <c r="G58" s="77">
        <f>E58/F58*B58</f>
        <v>44</v>
      </c>
      <c r="H58" s="78">
        <v>6768</v>
      </c>
      <c r="I58" s="81">
        <v>43158</v>
      </c>
      <c r="J58" s="80">
        <v>-660</v>
      </c>
      <c r="K58" s="80">
        <f>(H58-C58)*G58*Q58</f>
        <v>-1320</v>
      </c>
      <c r="L58" s="78"/>
      <c r="M58" s="78"/>
      <c r="N58" s="82"/>
      <c r="O58" s="83"/>
      <c r="P58" s="79" t="s">
        <v>320</v>
      </c>
      <c r="Q58" s="79">
        <f>VLOOKUP(Cmt(A58),Sheet2!A:B,2,FALSE)</f>
        <v>5</v>
      </c>
    </row>
    <row r="59" spans="1:17">
      <c r="A59" s="85" t="s">
        <v>166</v>
      </c>
      <c r="B59" s="85">
        <v>-8</v>
      </c>
      <c r="C59" s="85">
        <v>9545</v>
      </c>
      <c r="D59" s="86">
        <v>43139</v>
      </c>
      <c r="E59" s="87">
        <v>1.9E-2</v>
      </c>
      <c r="F59" s="87">
        <v>6.0000000000000001E-3</v>
      </c>
      <c r="G59" s="85">
        <v>-24</v>
      </c>
      <c r="H59" s="85">
        <v>9555</v>
      </c>
      <c r="I59" s="86">
        <v>43140</v>
      </c>
      <c r="J59" s="85">
        <v>400</v>
      </c>
      <c r="K59" s="85">
        <v>-1200</v>
      </c>
      <c r="L59" s="79"/>
      <c r="M59" s="79"/>
      <c r="N59" s="79"/>
      <c r="O59" s="79"/>
      <c r="P59" s="79"/>
      <c r="Q59" s="79"/>
    </row>
    <row r="60" spans="1:17">
      <c r="A60" s="85" t="s">
        <v>55</v>
      </c>
      <c r="B60" s="85">
        <v>29</v>
      </c>
      <c r="C60" s="85">
        <v>2327</v>
      </c>
      <c r="D60" s="86">
        <v>43138</v>
      </c>
      <c r="E60" s="87">
        <v>2.1000000000000001E-2</v>
      </c>
      <c r="F60" s="87">
        <v>1.0999999999999999E-2</v>
      </c>
      <c r="G60" s="85">
        <v>58</v>
      </c>
      <c r="H60" s="85">
        <v>2325</v>
      </c>
      <c r="I60" s="86">
        <v>43139</v>
      </c>
      <c r="J60" s="85">
        <v>-580</v>
      </c>
      <c r="K60" s="85">
        <v>-1160</v>
      </c>
      <c r="L60" s="79"/>
      <c r="M60" s="79"/>
      <c r="N60" s="79"/>
      <c r="O60" s="79"/>
      <c r="P60" s="79"/>
      <c r="Q60" s="79"/>
    </row>
    <row r="61" spans="1:17">
      <c r="A61" s="78" t="s">
        <v>60</v>
      </c>
      <c r="B61" s="78">
        <v>-2</v>
      </c>
      <c r="C61" s="78">
        <v>272.3</v>
      </c>
      <c r="D61" s="81">
        <v>43159</v>
      </c>
      <c r="E61" s="76">
        <v>1.2E-2</v>
      </c>
      <c r="F61" s="76">
        <v>6.0000000000000001E-3</v>
      </c>
      <c r="G61" s="77">
        <f>E61/F61*B61</f>
        <v>-4</v>
      </c>
      <c r="H61" s="78">
        <v>272.3</v>
      </c>
      <c r="I61" s="81">
        <v>43159</v>
      </c>
      <c r="J61" s="80">
        <v>0</v>
      </c>
      <c r="K61" s="80">
        <f>(H61-C61)*G61*Q61</f>
        <v>0</v>
      </c>
      <c r="L61" s="78"/>
      <c r="M61" s="78"/>
      <c r="N61" s="79"/>
      <c r="O61" s="79"/>
      <c r="P61" s="79" t="s">
        <v>322</v>
      </c>
      <c r="Q61" s="79">
        <f>VLOOKUP(Cmt(A61),Sheet2!A:B,2,FALSE)</f>
        <v>1000</v>
      </c>
    </row>
    <row r="62" spans="1:17">
      <c r="A62" s="85" t="s">
        <v>63</v>
      </c>
      <c r="B62" s="85">
        <v>25</v>
      </c>
      <c r="C62" s="85">
        <v>2796</v>
      </c>
      <c r="D62" s="86">
        <v>43138</v>
      </c>
      <c r="E62" s="87">
        <v>2.1999999999999999E-2</v>
      </c>
      <c r="F62" s="87">
        <v>1.0999999999999999E-2</v>
      </c>
      <c r="G62" s="85">
        <v>50</v>
      </c>
      <c r="H62" s="85">
        <v>2796</v>
      </c>
      <c r="I62" s="86">
        <v>43139</v>
      </c>
      <c r="J62" s="85">
        <v>0</v>
      </c>
      <c r="K62" s="85">
        <v>0</v>
      </c>
      <c r="L62" s="79"/>
      <c r="M62" s="79"/>
      <c r="N62" s="79"/>
      <c r="O62" s="79"/>
      <c r="P62" s="79"/>
      <c r="Q62" s="79"/>
    </row>
    <row r="63" spans="1:17">
      <c r="A63" s="85" t="s">
        <v>55</v>
      </c>
      <c r="B63" s="85">
        <v>19</v>
      </c>
      <c r="C63" s="85">
        <v>2338</v>
      </c>
      <c r="D63" s="86">
        <v>43139</v>
      </c>
      <c r="E63" s="87">
        <v>2.1000000000000001E-2</v>
      </c>
      <c r="F63" s="87">
        <v>7.0000000000000001E-3</v>
      </c>
      <c r="G63" s="85">
        <v>57</v>
      </c>
      <c r="H63" s="85">
        <v>2338</v>
      </c>
      <c r="I63" s="86">
        <v>43140</v>
      </c>
      <c r="J63" s="85">
        <v>0</v>
      </c>
      <c r="K63" s="85">
        <v>0</v>
      </c>
      <c r="L63" s="79"/>
      <c r="M63" s="79"/>
      <c r="N63" s="79"/>
      <c r="O63" s="79"/>
      <c r="P63" s="79"/>
      <c r="Q63" s="79"/>
    </row>
    <row r="64" spans="1:17">
      <c r="A64" s="85" t="s">
        <v>64</v>
      </c>
      <c r="B64" s="85">
        <v>21</v>
      </c>
      <c r="C64" s="85">
        <v>4015</v>
      </c>
      <c r="D64" s="86">
        <v>43133</v>
      </c>
      <c r="E64" s="87">
        <v>3.9E-2</v>
      </c>
      <c r="F64" s="87">
        <v>1.2999999999999999E-2</v>
      </c>
      <c r="G64" s="85">
        <v>63</v>
      </c>
      <c r="H64" s="85">
        <v>4016</v>
      </c>
      <c r="I64" s="86">
        <v>43136</v>
      </c>
      <c r="J64" s="85">
        <v>210</v>
      </c>
      <c r="K64" s="85">
        <v>630</v>
      </c>
      <c r="L64" s="79"/>
      <c r="M64" s="79"/>
      <c r="N64" s="79"/>
      <c r="O64" s="79"/>
      <c r="P64" s="79"/>
      <c r="Q64" s="79"/>
    </row>
    <row r="65" spans="1:17">
      <c r="A65" s="85" t="s">
        <v>60</v>
      </c>
      <c r="B65" s="85">
        <v>-2</v>
      </c>
      <c r="C65" s="85">
        <v>275.75</v>
      </c>
      <c r="D65" s="86">
        <v>43133</v>
      </c>
      <c r="E65" s="87">
        <v>1.7999999999999999E-2</v>
      </c>
      <c r="F65" s="87">
        <v>8.9999999999999993E-3</v>
      </c>
      <c r="G65" s="85">
        <v>-4</v>
      </c>
      <c r="H65" s="85">
        <v>275.55</v>
      </c>
      <c r="I65" s="86">
        <v>43137</v>
      </c>
      <c r="J65" s="85">
        <v>400</v>
      </c>
      <c r="K65" s="85">
        <v>800</v>
      </c>
      <c r="L65" s="79"/>
      <c r="M65" s="79"/>
      <c r="N65" s="79"/>
      <c r="O65" s="79"/>
      <c r="P65" s="79"/>
      <c r="Q65" s="79"/>
    </row>
    <row r="66" spans="1:17">
      <c r="A66" s="78" t="s">
        <v>55</v>
      </c>
      <c r="B66" s="78">
        <v>31</v>
      </c>
      <c r="C66" s="78">
        <v>2455</v>
      </c>
      <c r="D66" s="81">
        <v>43153</v>
      </c>
      <c r="E66" s="76">
        <v>1.2E-2</v>
      </c>
      <c r="F66" s="76">
        <v>1.2E-2</v>
      </c>
      <c r="G66" s="77">
        <f>E66/F66*B66</f>
        <v>31</v>
      </c>
      <c r="H66" s="78">
        <v>2458</v>
      </c>
      <c r="I66" s="81">
        <v>43154</v>
      </c>
      <c r="J66" s="80">
        <v>930</v>
      </c>
      <c r="K66" s="80">
        <f>(H66-C66)*G66*Q66</f>
        <v>930</v>
      </c>
      <c r="L66" s="78"/>
      <c r="M66" s="78"/>
      <c r="N66" s="82"/>
      <c r="O66" s="83"/>
      <c r="P66" s="79" t="s">
        <v>319</v>
      </c>
      <c r="Q66" s="79">
        <f>VLOOKUP(Cmt(A66),Sheet2!A:B,2,FALSE)</f>
        <v>10</v>
      </c>
    </row>
    <row r="67" spans="1:17">
      <c r="A67" s="78" t="s">
        <v>62</v>
      </c>
      <c r="B67" s="78">
        <v>-8</v>
      </c>
      <c r="C67" s="78">
        <v>2728</v>
      </c>
      <c r="D67" s="81">
        <v>43153</v>
      </c>
      <c r="E67" s="76">
        <v>0.01</v>
      </c>
      <c r="F67" s="76">
        <v>3.3333333333333331E-3</v>
      </c>
      <c r="G67" s="77">
        <f>E67/F67*B67</f>
        <v>-24.000000000000004</v>
      </c>
      <c r="H67" s="78">
        <v>2723</v>
      </c>
      <c r="I67" s="81">
        <v>43153</v>
      </c>
      <c r="J67" s="80">
        <v>400</v>
      </c>
      <c r="K67" s="80">
        <f>(H67-C67)*G67*Q67</f>
        <v>1200.0000000000002</v>
      </c>
      <c r="L67" s="78"/>
      <c r="M67" s="78"/>
      <c r="N67" s="82"/>
      <c r="O67" s="83"/>
      <c r="P67" s="79" t="s">
        <v>318</v>
      </c>
      <c r="Q67" s="79">
        <f>VLOOKUP(Cmt(A67),Sheet2!A:B,2,FALSE)</f>
        <v>10</v>
      </c>
    </row>
    <row r="68" spans="1:17">
      <c r="A68" s="78" t="s">
        <v>55</v>
      </c>
      <c r="B68" s="78">
        <v>15</v>
      </c>
      <c r="C68" s="78">
        <v>2364</v>
      </c>
      <c r="D68" s="81">
        <v>43143</v>
      </c>
      <c r="E68" s="76">
        <v>1.7000000000000001E-2</v>
      </c>
      <c r="F68" s="76">
        <v>5.6666666666666671E-3</v>
      </c>
      <c r="G68" s="77">
        <f>E68/F68*B68</f>
        <v>45</v>
      </c>
      <c r="H68" s="78">
        <v>2371</v>
      </c>
      <c r="I68" s="81">
        <v>43144</v>
      </c>
      <c r="J68" s="80">
        <v>1050</v>
      </c>
      <c r="K68" s="80">
        <f>(H68-C68)*G68*Q68</f>
        <v>3150</v>
      </c>
      <c r="L68" s="78"/>
      <c r="M68" s="78"/>
      <c r="N68" s="82"/>
      <c r="O68" s="83"/>
      <c r="P68" s="79" t="s">
        <v>319</v>
      </c>
      <c r="Q68" s="79">
        <f>VLOOKUP(Cmt(A68),Sheet2!A:B,2,FALSE)</f>
        <v>10</v>
      </c>
    </row>
    <row r="69" spans="1:17">
      <c r="A69" s="78" t="s">
        <v>63</v>
      </c>
      <c r="B69" s="78">
        <v>40</v>
      </c>
      <c r="C69" s="78">
        <v>2941</v>
      </c>
      <c r="D69" s="81">
        <v>43153</v>
      </c>
      <c r="E69" s="76">
        <v>1.7999999999999999E-2</v>
      </c>
      <c r="F69" s="76">
        <v>1.7999999999999999E-2</v>
      </c>
      <c r="G69" s="77">
        <f>E69/F69*B69</f>
        <v>40</v>
      </c>
      <c r="H69" s="78">
        <v>2949</v>
      </c>
      <c r="I69" s="81">
        <v>43154</v>
      </c>
      <c r="J69" s="80">
        <v>3200</v>
      </c>
      <c r="K69" s="80">
        <f>(H69-C69)*G69*Q69</f>
        <v>3200</v>
      </c>
      <c r="L69" s="78"/>
      <c r="M69" s="78"/>
      <c r="N69" s="82"/>
      <c r="O69" s="83"/>
      <c r="P69" s="84" t="s">
        <v>319</v>
      </c>
      <c r="Q69" s="79">
        <f>VLOOKUP(Cmt(A69),Sheet2!A:B,2,FALSE)</f>
        <v>10</v>
      </c>
    </row>
    <row r="70" spans="1:17">
      <c r="A70" s="78" t="s">
        <v>53</v>
      </c>
      <c r="B70" s="78">
        <v>-2</v>
      </c>
      <c r="C70" s="78">
        <v>51680</v>
      </c>
      <c r="D70" s="81">
        <v>43140</v>
      </c>
      <c r="E70" s="76">
        <v>1.9E-2</v>
      </c>
      <c r="F70" s="76">
        <v>9.4999999999999998E-3</v>
      </c>
      <c r="G70" s="77">
        <f>E70/F70*B70</f>
        <v>-4</v>
      </c>
      <c r="H70" s="78">
        <v>51420</v>
      </c>
      <c r="I70" s="81">
        <v>43143</v>
      </c>
      <c r="J70" s="80">
        <v>2600</v>
      </c>
      <c r="K70" s="80">
        <f>(H70-C70)*G70*Q70</f>
        <v>5200</v>
      </c>
      <c r="L70" s="78">
        <v>51340</v>
      </c>
      <c r="M70" s="82">
        <v>43140</v>
      </c>
      <c r="N70" s="83">
        <v>0.66388888888888886</v>
      </c>
      <c r="O70" s="79"/>
      <c r="P70" s="84" t="s">
        <v>317</v>
      </c>
      <c r="Q70" s="79">
        <f>VLOOKUP(Cmt(A70),Sheet2!A:B,2,FALSE)</f>
        <v>5</v>
      </c>
    </row>
    <row r="71" spans="1:17">
      <c r="A71" s="85" t="s">
        <v>163</v>
      </c>
      <c r="B71" s="85">
        <v>4</v>
      </c>
      <c r="C71" s="85">
        <v>2136.5</v>
      </c>
      <c r="D71" s="86">
        <v>43138</v>
      </c>
      <c r="E71" s="87">
        <v>2.5000000000000001E-2</v>
      </c>
      <c r="F71" s="87">
        <v>1.2999999999999999E-2</v>
      </c>
      <c r="G71" s="85">
        <v>8</v>
      </c>
      <c r="H71" s="85">
        <v>2143</v>
      </c>
      <c r="I71" s="86">
        <v>43139</v>
      </c>
      <c r="J71" s="85">
        <v>-2600</v>
      </c>
      <c r="K71" s="85">
        <v>5200</v>
      </c>
      <c r="L71" s="79"/>
      <c r="M71" s="79"/>
      <c r="N71" s="79"/>
      <c r="O71" s="79"/>
      <c r="P71" s="79"/>
      <c r="Q71" s="79"/>
    </row>
    <row r="72" spans="1:17">
      <c r="A72" s="78" t="s">
        <v>57</v>
      </c>
      <c r="B72" s="78">
        <v>-7</v>
      </c>
      <c r="C72" s="78">
        <v>100210</v>
      </c>
      <c r="D72" s="81">
        <v>43140</v>
      </c>
      <c r="E72" s="76">
        <v>2.1000000000000001E-2</v>
      </c>
      <c r="F72" s="76">
        <v>1.0500000000000001E-2</v>
      </c>
      <c r="G72" s="77">
        <f>E72/F72*B72</f>
        <v>-14</v>
      </c>
      <c r="H72" s="78">
        <v>99790</v>
      </c>
      <c r="I72" s="81">
        <v>43143</v>
      </c>
      <c r="J72" s="80">
        <v>-4130</v>
      </c>
      <c r="K72" s="80">
        <f>(H72-C72)*G72*Q72</f>
        <v>5880</v>
      </c>
      <c r="L72" s="78">
        <v>98780</v>
      </c>
      <c r="M72" s="82">
        <v>43140</v>
      </c>
      <c r="N72" s="83">
        <v>0.66388888888888886</v>
      </c>
      <c r="O72" s="79"/>
      <c r="P72" s="79" t="s">
        <v>317</v>
      </c>
      <c r="Q72" s="79">
        <f>VLOOKUP(Cmt(A72),Sheet2!A:B,2,FALSE)</f>
        <v>1</v>
      </c>
    </row>
    <row r="73" spans="1:17">
      <c r="A73" s="78" t="s">
        <v>161</v>
      </c>
      <c r="B73" s="78">
        <v>13</v>
      </c>
      <c r="C73" s="78">
        <v>3746</v>
      </c>
      <c r="D73" s="81">
        <v>43154</v>
      </c>
      <c r="E73" s="76">
        <v>1.0999999999999999E-2</v>
      </c>
      <c r="F73" s="76">
        <v>3.6666666666666662E-3</v>
      </c>
      <c r="G73" s="77">
        <f>E73/F73*B73</f>
        <v>39.000000000000007</v>
      </c>
      <c r="H73" s="78">
        <v>3778</v>
      </c>
      <c r="I73" s="81">
        <v>43158</v>
      </c>
      <c r="J73" s="80">
        <v>2080</v>
      </c>
      <c r="K73" s="80">
        <f>(H73-C73)*G73*Q73</f>
        <v>6240.0000000000009</v>
      </c>
      <c r="L73" s="78"/>
      <c r="M73" s="78"/>
      <c r="N73" s="79"/>
      <c r="O73" s="79"/>
      <c r="P73" s="79" t="s">
        <v>319</v>
      </c>
      <c r="Q73" s="79">
        <f>VLOOKUP(Cmt(A73),Sheet2!A:B,2,FALSE)</f>
        <v>5</v>
      </c>
    </row>
    <row r="74" spans="1:17">
      <c r="A74" s="85" t="s">
        <v>87</v>
      </c>
      <c r="B74" s="85">
        <v>-9</v>
      </c>
      <c r="C74" s="85">
        <v>5132</v>
      </c>
      <c r="D74" s="86">
        <v>43133</v>
      </c>
      <c r="E74" s="87">
        <v>2.1000000000000001E-2</v>
      </c>
      <c r="F74" s="87">
        <v>7.0000000000000001E-3</v>
      </c>
      <c r="G74" s="85">
        <v>-27</v>
      </c>
      <c r="H74" s="85">
        <v>5102</v>
      </c>
      <c r="I74" s="86">
        <v>43136</v>
      </c>
      <c r="J74" s="85">
        <v>2700</v>
      </c>
      <c r="K74" s="85">
        <v>8100</v>
      </c>
      <c r="L74" s="79"/>
      <c r="M74" s="79"/>
      <c r="N74" s="79"/>
      <c r="O74" s="79"/>
      <c r="P74" s="79"/>
      <c r="Q74" s="79"/>
    </row>
    <row r="75" spans="1:17">
      <c r="A75" s="85" t="s">
        <v>56</v>
      </c>
      <c r="B75" s="85">
        <v>73</v>
      </c>
      <c r="C75" s="85">
        <v>2132</v>
      </c>
      <c r="D75" s="86">
        <v>43137</v>
      </c>
      <c r="E75" s="87">
        <v>2.4E-2</v>
      </c>
      <c r="F75" s="87">
        <v>2.4E-2</v>
      </c>
      <c r="G75" s="85">
        <v>73</v>
      </c>
      <c r="H75" s="85">
        <v>2144</v>
      </c>
      <c r="I75" s="86">
        <v>43139</v>
      </c>
      <c r="J75" s="85">
        <v>8760</v>
      </c>
      <c r="K75" s="85">
        <v>8760</v>
      </c>
      <c r="L75" s="79"/>
      <c r="M75" s="79"/>
      <c r="N75" s="79"/>
      <c r="O75" s="79"/>
      <c r="P75" s="79"/>
      <c r="Q75" s="79"/>
    </row>
    <row r="76" spans="1:17">
      <c r="A76" s="85" t="s">
        <v>60</v>
      </c>
      <c r="B76" s="85">
        <v>-2</v>
      </c>
      <c r="C76" s="85">
        <v>274.35000000000002</v>
      </c>
      <c r="D76" s="86">
        <v>43137</v>
      </c>
      <c r="E76" s="87">
        <v>1.7999999999999999E-2</v>
      </c>
      <c r="F76" s="87">
        <v>8.9999999999999993E-3</v>
      </c>
      <c r="G76" s="85">
        <v>-4</v>
      </c>
      <c r="H76" s="85">
        <v>272</v>
      </c>
      <c r="I76" s="86">
        <v>43139</v>
      </c>
      <c r="J76" s="85">
        <v>5200</v>
      </c>
      <c r="K76" s="85">
        <v>9400</v>
      </c>
      <c r="L76" s="79"/>
      <c r="M76" s="79"/>
      <c r="N76" s="79"/>
      <c r="O76" s="79"/>
      <c r="P76" s="79"/>
      <c r="Q76" s="79"/>
    </row>
    <row r="77" spans="1:17">
      <c r="A77" s="78" t="s">
        <v>273</v>
      </c>
      <c r="B77" s="78">
        <v>11</v>
      </c>
      <c r="C77" s="78">
        <v>542</v>
      </c>
      <c r="D77" s="81">
        <v>43153</v>
      </c>
      <c r="E77" s="76">
        <v>1.9E-2</v>
      </c>
      <c r="F77" s="76">
        <v>9.4999999999999998E-3</v>
      </c>
      <c r="G77" s="77">
        <f>E77/F77*B77</f>
        <v>22</v>
      </c>
      <c r="H77" s="78">
        <v>547</v>
      </c>
      <c r="I77" s="81">
        <v>43157</v>
      </c>
      <c r="J77" s="80">
        <v>5500</v>
      </c>
      <c r="K77" s="80">
        <f>(H77-C77)*G77*Q77</f>
        <v>11000</v>
      </c>
      <c r="L77" s="78"/>
      <c r="M77" s="78"/>
      <c r="N77" s="79"/>
      <c r="O77" s="79"/>
      <c r="P77" s="79" t="s">
        <v>320</v>
      </c>
      <c r="Q77" s="79">
        <f>VLOOKUP(Cmt(A77),Sheet2!A:B,2,FALSE)</f>
        <v>100</v>
      </c>
    </row>
    <row r="78" spans="1:17">
      <c r="A78" s="85" t="s">
        <v>273</v>
      </c>
      <c r="B78" s="85">
        <v>20</v>
      </c>
      <c r="C78" s="85">
        <v>518.5</v>
      </c>
      <c r="D78" s="86">
        <v>43136</v>
      </c>
      <c r="E78" s="87">
        <v>3.2000000000000001E-2</v>
      </c>
      <c r="F78" s="87">
        <v>1.6E-2</v>
      </c>
      <c r="G78" s="85">
        <v>40</v>
      </c>
      <c r="H78" s="85">
        <v>521.5</v>
      </c>
      <c r="I78" s="86">
        <v>43137</v>
      </c>
      <c r="J78" s="85">
        <v>-4000</v>
      </c>
      <c r="K78" s="85">
        <v>12000</v>
      </c>
      <c r="L78" s="79"/>
      <c r="M78" s="79"/>
      <c r="N78" s="79"/>
      <c r="O78" s="79"/>
      <c r="P78" s="79"/>
      <c r="Q78" s="79"/>
    </row>
    <row r="79" spans="1:17">
      <c r="A79" s="78" t="s">
        <v>63</v>
      </c>
      <c r="B79" s="78">
        <v>14</v>
      </c>
      <c r="C79" s="78">
        <v>2826</v>
      </c>
      <c r="D79" s="81">
        <v>43143</v>
      </c>
      <c r="E79" s="76">
        <v>1.7999999999999999E-2</v>
      </c>
      <c r="F79" s="76">
        <v>5.9999999999999993E-3</v>
      </c>
      <c r="G79" s="77">
        <f>E79/F79*B79</f>
        <v>42</v>
      </c>
      <c r="H79" s="78">
        <v>2855</v>
      </c>
      <c r="I79" s="81">
        <v>43144</v>
      </c>
      <c r="J79" s="80">
        <v>4060</v>
      </c>
      <c r="K79" s="80">
        <f>(H79-C79)*G79*Q79</f>
        <v>12180</v>
      </c>
      <c r="L79" s="78"/>
      <c r="M79" s="78"/>
      <c r="N79" s="82"/>
      <c r="O79" s="83"/>
      <c r="P79" s="84" t="s">
        <v>319</v>
      </c>
      <c r="Q79" s="79">
        <f>VLOOKUP(Cmt(A79),Sheet2!A:B,2,FALSE)</f>
        <v>10</v>
      </c>
    </row>
    <row r="80" spans="1:17">
      <c r="A80" s="78" t="s">
        <v>62</v>
      </c>
      <c r="B80" s="78">
        <v>-13</v>
      </c>
      <c r="C80" s="78">
        <v>2708</v>
      </c>
      <c r="D80" s="81">
        <v>43157</v>
      </c>
      <c r="E80" s="76">
        <v>1.7000000000000001E-2</v>
      </c>
      <c r="F80" s="76">
        <v>5.6666666666666671E-3</v>
      </c>
      <c r="G80" s="77">
        <f>E80/F80*B80</f>
        <v>-39</v>
      </c>
      <c r="H80" s="78">
        <v>2676</v>
      </c>
      <c r="I80" s="81">
        <v>43159</v>
      </c>
      <c r="J80" s="80">
        <v>4160</v>
      </c>
      <c r="K80" s="80">
        <f>(H80-C80)*G80*Q80</f>
        <v>12480</v>
      </c>
      <c r="L80" s="78"/>
      <c r="M80" s="78"/>
      <c r="N80" s="82"/>
      <c r="O80" s="83"/>
      <c r="P80" s="79" t="s">
        <v>318</v>
      </c>
      <c r="Q80" s="79">
        <f>VLOOKUP(Cmt(A80),Sheet2!A:B,2,FALSE)</f>
        <v>10</v>
      </c>
    </row>
    <row r="81" spans="1:17">
      <c r="A81" s="78" t="s">
        <v>273</v>
      </c>
      <c r="B81" s="78">
        <v>12</v>
      </c>
      <c r="C81" s="78">
        <v>529</v>
      </c>
      <c r="D81" s="81">
        <v>43144</v>
      </c>
      <c r="E81" s="76">
        <v>0.02</v>
      </c>
      <c r="F81" s="76">
        <v>0.01</v>
      </c>
      <c r="G81" s="77">
        <f>E81/F81*B81</f>
        <v>24</v>
      </c>
      <c r="H81" s="78">
        <v>534.5</v>
      </c>
      <c r="I81" s="81">
        <v>43153</v>
      </c>
      <c r="J81" s="80">
        <v>6600</v>
      </c>
      <c r="K81" s="80">
        <f>(H81-C81)*G81*Q81</f>
        <v>13200</v>
      </c>
      <c r="L81" s="78"/>
      <c r="M81" s="78"/>
      <c r="N81" s="82"/>
      <c r="O81" s="83"/>
      <c r="P81" s="79" t="s">
        <v>320</v>
      </c>
      <c r="Q81" s="79">
        <f>VLOOKUP(Cmt(A81),Sheet2!A:B,2,FALSE)</f>
        <v>100</v>
      </c>
    </row>
    <row r="82" spans="1:17">
      <c r="A82" s="78" t="s">
        <v>56</v>
      </c>
      <c r="B82" s="78">
        <v>21</v>
      </c>
      <c r="C82" s="78">
        <v>2143</v>
      </c>
      <c r="D82" s="81">
        <v>43157</v>
      </c>
      <c r="E82" s="76">
        <v>2.1000000000000001E-2</v>
      </c>
      <c r="F82" s="76">
        <v>7.0000000000000001E-3</v>
      </c>
      <c r="G82" s="77">
        <f>E82/F82*B82</f>
        <v>63</v>
      </c>
      <c r="H82" s="78">
        <v>2170</v>
      </c>
      <c r="I82" s="81">
        <v>43158</v>
      </c>
      <c r="J82" s="80">
        <v>5670</v>
      </c>
      <c r="K82" s="80">
        <f>(H82-C82)*G82*Q82</f>
        <v>17010</v>
      </c>
      <c r="L82" s="78"/>
      <c r="M82" s="78"/>
      <c r="N82" s="79"/>
      <c r="O82" s="79"/>
      <c r="P82" s="84" t="s">
        <v>319</v>
      </c>
      <c r="Q82" s="79">
        <f>VLOOKUP(Cmt(A82),Sheet2!A:B,2,FALSE)</f>
        <v>10</v>
      </c>
    </row>
    <row r="83" spans="1:17">
      <c r="A83" s="85" t="s">
        <v>53</v>
      </c>
      <c r="B83" s="85">
        <v>-7</v>
      </c>
      <c r="C83" s="85">
        <v>52690</v>
      </c>
      <c r="D83" s="86">
        <v>43138</v>
      </c>
      <c r="E83" s="87">
        <v>2.9000000000000001E-2</v>
      </c>
      <c r="F83" s="87">
        <v>2.9000000000000001E-2</v>
      </c>
      <c r="G83" s="85">
        <v>-7</v>
      </c>
      <c r="H83" s="85">
        <v>52080</v>
      </c>
      <c r="I83" s="86">
        <v>43139</v>
      </c>
      <c r="J83" s="85">
        <v>21350</v>
      </c>
      <c r="K83" s="85">
        <v>21350</v>
      </c>
      <c r="L83" s="79"/>
      <c r="M83" s="79"/>
      <c r="N83" s="79"/>
      <c r="O83" s="79"/>
      <c r="P83" s="79"/>
      <c r="Q83" s="79"/>
    </row>
    <row r="84" spans="1:17">
      <c r="A84" s="85" t="s">
        <v>165</v>
      </c>
      <c r="B84" s="85">
        <v>-14</v>
      </c>
      <c r="C84" s="85">
        <v>14570</v>
      </c>
      <c r="D84" s="86">
        <v>43136</v>
      </c>
      <c r="E84" s="87">
        <v>3.2000000000000001E-2</v>
      </c>
      <c r="F84" s="87">
        <v>1.6E-2</v>
      </c>
      <c r="G84" s="85">
        <v>-28</v>
      </c>
      <c r="H84" s="85">
        <v>14400</v>
      </c>
      <c r="I84" s="86">
        <v>43137</v>
      </c>
      <c r="J84" s="85">
        <v>11900</v>
      </c>
      <c r="K84" s="85">
        <v>23800</v>
      </c>
      <c r="L84" s="79"/>
      <c r="M84" s="79"/>
      <c r="N84" s="79"/>
      <c r="O84" s="79"/>
      <c r="P84" s="79"/>
      <c r="Q84" s="79"/>
    </row>
    <row r="85" spans="1:17">
      <c r="A85" s="78" t="s">
        <v>62</v>
      </c>
      <c r="B85" s="78">
        <v>-15</v>
      </c>
      <c r="C85" s="78">
        <v>2774.33</v>
      </c>
      <c r="D85" s="81">
        <v>43140</v>
      </c>
      <c r="E85" s="76">
        <v>6.0000000000000001E-3</v>
      </c>
      <c r="F85" s="76">
        <v>2E-3</v>
      </c>
      <c r="G85" s="77">
        <f>E85/F85*B85</f>
        <v>-45</v>
      </c>
      <c r="H85" s="78">
        <v>2714</v>
      </c>
      <c r="I85" s="81">
        <v>43144</v>
      </c>
      <c r="J85" s="80">
        <v>9049.4999999999891</v>
      </c>
      <c r="K85" s="80">
        <f>(H85-C85)*G85*Q85</f>
        <v>27148.499999999967</v>
      </c>
      <c r="L85" s="78"/>
      <c r="M85" s="79"/>
      <c r="N85" s="79"/>
      <c r="O85" s="83"/>
      <c r="P85" s="79" t="s">
        <v>318</v>
      </c>
      <c r="Q85" s="79">
        <f>VLOOKUP(Cmt(A85),Sheet2!A:B,2,FALSE)</f>
        <v>10</v>
      </c>
    </row>
    <row r="86" spans="1:17">
      <c r="A86" s="78" t="s">
        <v>163</v>
      </c>
      <c r="B86" s="78">
        <v>4</v>
      </c>
      <c r="C86" s="78">
        <v>2165</v>
      </c>
      <c r="D86" s="81">
        <v>43153</v>
      </c>
      <c r="E86" s="76">
        <v>1.4999999999999999E-2</v>
      </c>
      <c r="F86" s="76">
        <v>1.4999999999999999E-2</v>
      </c>
      <c r="G86" s="77">
        <f>E86/F86*B86</f>
        <v>4</v>
      </c>
      <c r="H86" s="78">
        <v>2268.5</v>
      </c>
      <c r="I86" s="81">
        <v>43158</v>
      </c>
      <c r="J86" s="80">
        <v>41400</v>
      </c>
      <c r="K86" s="80">
        <f>(H86-C86)*G86*Q86</f>
        <v>41400</v>
      </c>
      <c r="L86" s="78"/>
      <c r="M86" s="78"/>
      <c r="N86" s="82"/>
      <c r="O86" s="83"/>
      <c r="P86" s="79" t="s">
        <v>320</v>
      </c>
      <c r="Q86" s="79">
        <f>VLOOKUP(Cmt(A86),Sheet2!A:B,2,FALSE)</f>
        <v>100</v>
      </c>
    </row>
    <row r="87" spans="1:17">
      <c r="A87" s="85" t="s">
        <v>163</v>
      </c>
      <c r="B87" s="85">
        <v>4</v>
      </c>
      <c r="C87" s="85">
        <v>2043</v>
      </c>
      <c r="D87" s="86">
        <v>43133</v>
      </c>
      <c r="E87" s="87">
        <v>2.1000000000000001E-2</v>
      </c>
      <c r="F87" s="87">
        <v>1.0999999999999999E-2</v>
      </c>
      <c r="G87" s="85">
        <v>8</v>
      </c>
      <c r="H87" s="85">
        <v>2116.5</v>
      </c>
      <c r="I87" s="86">
        <v>43133</v>
      </c>
      <c r="J87" s="85">
        <v>29400</v>
      </c>
      <c r="K87" s="85">
        <v>58800</v>
      </c>
      <c r="L87" s="79"/>
      <c r="M87" s="79"/>
      <c r="N87" s="79"/>
      <c r="O87" s="79"/>
      <c r="P87" s="79"/>
      <c r="Q87" s="79"/>
    </row>
    <row r="88" spans="1:17">
      <c r="A88" s="78" t="s">
        <v>164</v>
      </c>
      <c r="B88" s="78">
        <v>-1</v>
      </c>
      <c r="C88" s="78">
        <v>4194.6000000000004</v>
      </c>
      <c r="D88" s="81">
        <v>43138</v>
      </c>
      <c r="E88" s="76">
        <v>1.9E-2</v>
      </c>
      <c r="F88" s="76">
        <v>1.9E-2</v>
      </c>
      <c r="G88" s="77">
        <f>E88/F88*B88</f>
        <v>-1</v>
      </c>
      <c r="H88" s="78">
        <v>3926.4</v>
      </c>
      <c r="I88" s="81">
        <v>43144</v>
      </c>
      <c r="J88" s="80">
        <v>80460.000000000087</v>
      </c>
      <c r="K88" s="80">
        <f>(H88-C88)*G88*Q88</f>
        <v>80460.000000000087</v>
      </c>
      <c r="L88" s="78"/>
      <c r="M88" s="79"/>
      <c r="N88" s="79"/>
      <c r="O88" s="83"/>
      <c r="P88" s="79" t="s">
        <v>321</v>
      </c>
      <c r="Q88" s="79">
        <f>VLOOKUP(Cmt(A88),Sheet2!A:B,2,FALSE)</f>
        <v>300</v>
      </c>
    </row>
    <row r="89" spans="1:17">
      <c r="A89" s="78" t="s">
        <v>58</v>
      </c>
      <c r="B89" s="78">
        <v>-1</v>
      </c>
      <c r="C89" s="78">
        <v>6119.2</v>
      </c>
      <c r="D89" s="81">
        <v>43132</v>
      </c>
      <c r="E89" s="76">
        <v>1.7999999999999999E-2</v>
      </c>
      <c r="F89" s="76">
        <v>1.7999999999999999E-2</v>
      </c>
      <c r="G89" s="77">
        <f>E89/F89*B89</f>
        <v>-1</v>
      </c>
      <c r="H89" s="78">
        <v>5688.6</v>
      </c>
      <c r="I89" s="81">
        <v>43143</v>
      </c>
      <c r="J89" s="80">
        <v>86119.999999999884</v>
      </c>
      <c r="K89" s="80">
        <f>(H89-C89)*G89*Q89</f>
        <v>86119.999999999884</v>
      </c>
      <c r="L89" s="78"/>
      <c r="M89" s="82"/>
      <c r="N89" s="83"/>
      <c r="O89" s="83"/>
      <c r="P89" s="79" t="s">
        <v>321</v>
      </c>
      <c r="Q89" s="79">
        <f>VLOOKUP(Cmt(A89),Sheet2!A:B,2,FALSE)</f>
        <v>200</v>
      </c>
    </row>
    <row r="90" spans="1:17">
      <c r="A90" s="85" t="s">
        <v>151</v>
      </c>
      <c r="B90" s="85">
        <v>11</v>
      </c>
      <c r="C90" s="85">
        <v>1299.5</v>
      </c>
      <c r="D90" s="86">
        <v>43132</v>
      </c>
      <c r="E90" s="87">
        <v>2.5999999999999999E-2</v>
      </c>
      <c r="F90" s="87">
        <v>1.2999999999999999E-2</v>
      </c>
      <c r="G90" s="85">
        <v>22</v>
      </c>
      <c r="H90" s="85">
        <v>1369.5</v>
      </c>
      <c r="I90" s="86">
        <v>43136</v>
      </c>
      <c r="J90" s="85">
        <v>46200</v>
      </c>
      <c r="K90" s="85">
        <v>92400</v>
      </c>
      <c r="L90" s="79"/>
      <c r="M90" s="79"/>
      <c r="N90" s="79"/>
      <c r="O90" s="79"/>
      <c r="P90" s="79"/>
      <c r="Q90" s="79"/>
    </row>
    <row r="91" spans="1:17">
      <c r="A91" s="78" t="s">
        <v>54</v>
      </c>
      <c r="B91" s="78">
        <v>9</v>
      </c>
      <c r="C91" s="78">
        <v>5838</v>
      </c>
      <c r="D91" s="81">
        <v>43157</v>
      </c>
      <c r="E91" s="76">
        <v>1.2E-2</v>
      </c>
      <c r="F91" s="76">
        <v>4.0000000000000001E-3</v>
      </c>
      <c r="G91" s="77">
        <f>E91/F91*B91</f>
        <v>27</v>
      </c>
      <c r="H91" s="78"/>
      <c r="I91" s="78"/>
      <c r="J91" s="80" t="s">
        <v>272</v>
      </c>
      <c r="K91" s="80"/>
      <c r="L91" s="78"/>
      <c r="M91" s="78"/>
      <c r="N91" s="82"/>
      <c r="O91" s="83"/>
      <c r="P91" s="79" t="s">
        <v>318</v>
      </c>
      <c r="Q91" s="79">
        <f>VLOOKUP(Cmt(A91),Sheet2!A:B,2,FALSE)</f>
        <v>5</v>
      </c>
    </row>
  </sheetData>
  <sortState ref="A2:Q91">
    <sortCondition ref="K2:K9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216</v>
      </c>
      <c r="B1" s="56" t="s">
        <v>268</v>
      </c>
    </row>
    <row r="2" spans="1:2">
      <c r="A2" s="57" t="s">
        <v>217</v>
      </c>
      <c r="B2" s="56">
        <v>5</v>
      </c>
    </row>
    <row r="3" spans="1:2">
      <c r="A3" s="57" t="s">
        <v>218</v>
      </c>
      <c r="B3" s="56">
        <v>5</v>
      </c>
    </row>
    <row r="4" spans="1:2">
      <c r="A4" s="57" t="s">
        <v>219</v>
      </c>
      <c r="B4" s="56">
        <v>5</v>
      </c>
    </row>
    <row r="5" spans="1:2">
      <c r="A5" s="57" t="s">
        <v>220</v>
      </c>
      <c r="B5" s="56">
        <v>5</v>
      </c>
    </row>
    <row r="6" spans="1:2">
      <c r="A6" s="57" t="s">
        <v>221</v>
      </c>
      <c r="B6" s="56">
        <v>1</v>
      </c>
    </row>
    <row r="7" spans="1:2">
      <c r="A7" s="57" t="s">
        <v>222</v>
      </c>
      <c r="B7" s="56">
        <v>1</v>
      </c>
    </row>
    <row r="8" spans="1:2">
      <c r="A8" s="57" t="s">
        <v>223</v>
      </c>
      <c r="B8" s="56">
        <v>1000</v>
      </c>
    </row>
    <row r="9" spans="1:2">
      <c r="A9" s="57" t="s">
        <v>224</v>
      </c>
      <c r="B9" s="56">
        <v>15</v>
      </c>
    </row>
    <row r="10" spans="1:2">
      <c r="A10" s="57" t="s">
        <v>225</v>
      </c>
      <c r="B10" s="56">
        <v>10</v>
      </c>
    </row>
    <row r="11" spans="1:2">
      <c r="A11" s="57" t="s">
        <v>226</v>
      </c>
      <c r="B11" s="56">
        <v>10</v>
      </c>
    </row>
    <row r="12" spans="1:2">
      <c r="A12" s="57" t="s">
        <v>227</v>
      </c>
      <c r="B12" s="56">
        <v>10</v>
      </c>
    </row>
    <row r="13" spans="1:2">
      <c r="A13" s="57" t="s">
        <v>228</v>
      </c>
      <c r="B13" s="56">
        <v>50</v>
      </c>
    </row>
    <row r="14" spans="1:2">
      <c r="A14" s="57" t="s">
        <v>229</v>
      </c>
      <c r="B14" s="56">
        <v>10</v>
      </c>
    </row>
    <row r="15" spans="1:2">
      <c r="A15" s="57" t="s">
        <v>230</v>
      </c>
      <c r="B15" s="56">
        <v>10</v>
      </c>
    </row>
    <row r="16" spans="1:2">
      <c r="A16" s="57" t="s">
        <v>231</v>
      </c>
      <c r="B16" s="56">
        <v>20</v>
      </c>
    </row>
    <row r="17" spans="1:2">
      <c r="A17" s="57" t="s">
        <v>232</v>
      </c>
      <c r="B17" s="56">
        <v>50</v>
      </c>
    </row>
    <row r="18" spans="1:2">
      <c r="A18" s="57" t="s">
        <v>233</v>
      </c>
      <c r="B18" s="56">
        <v>5</v>
      </c>
    </row>
    <row r="19" spans="1:2">
      <c r="A19" s="57" t="s">
        <v>234</v>
      </c>
      <c r="B19" s="56">
        <v>10</v>
      </c>
    </row>
    <row r="20" spans="1:2">
      <c r="A20" s="57" t="s">
        <v>235</v>
      </c>
      <c r="B20" s="56">
        <v>10</v>
      </c>
    </row>
    <row r="21" spans="1:2">
      <c r="A21" s="57" t="s">
        <v>236</v>
      </c>
      <c r="B21" s="56">
        <v>20</v>
      </c>
    </row>
    <row r="22" spans="1:2">
      <c r="A22" s="57" t="s">
        <v>237</v>
      </c>
      <c r="B22" s="56">
        <v>10</v>
      </c>
    </row>
    <row r="23" spans="1:2">
      <c r="A23" s="57" t="s">
        <v>238</v>
      </c>
      <c r="B23" s="56">
        <v>10</v>
      </c>
    </row>
    <row r="24" spans="1:2">
      <c r="A24" s="57" t="s">
        <v>239</v>
      </c>
      <c r="B24" s="56">
        <v>20</v>
      </c>
    </row>
    <row r="25" spans="1:2">
      <c r="A25" s="57" t="s">
        <v>240</v>
      </c>
      <c r="B25" s="56">
        <v>20</v>
      </c>
    </row>
    <row r="26" spans="1:2">
      <c r="A26" s="57" t="s">
        <v>241</v>
      </c>
      <c r="B26" s="56">
        <v>5</v>
      </c>
    </row>
    <row r="27" spans="1:2">
      <c r="A27" s="57" t="s">
        <v>242</v>
      </c>
      <c r="B27" s="56">
        <v>5</v>
      </c>
    </row>
    <row r="28" spans="1:2">
      <c r="A28" s="57" t="s">
        <v>243</v>
      </c>
      <c r="B28" s="56">
        <v>10</v>
      </c>
    </row>
    <row r="29" spans="1:2">
      <c r="A29" s="57" t="s">
        <v>244</v>
      </c>
      <c r="B29" s="56">
        <v>20</v>
      </c>
    </row>
    <row r="30" spans="1:2">
      <c r="A30" s="57" t="s">
        <v>245</v>
      </c>
      <c r="B30" s="56">
        <v>100</v>
      </c>
    </row>
    <row r="31" spans="1:2">
      <c r="A31" s="57" t="s">
        <v>246</v>
      </c>
      <c r="B31" s="56">
        <v>5</v>
      </c>
    </row>
    <row r="32" spans="1:2">
      <c r="A32" s="57" t="s">
        <v>247</v>
      </c>
      <c r="B32" s="56">
        <v>5</v>
      </c>
    </row>
    <row r="33" spans="1:2">
      <c r="A33" s="57" t="s">
        <v>248</v>
      </c>
      <c r="B33" s="56">
        <v>10</v>
      </c>
    </row>
    <row r="34" spans="1:2">
      <c r="A34" s="57" t="s">
        <v>249</v>
      </c>
      <c r="B34" s="56">
        <v>10</v>
      </c>
    </row>
    <row r="35" spans="1:2">
      <c r="A35" s="57" t="s">
        <v>250</v>
      </c>
      <c r="B35" s="56">
        <v>10</v>
      </c>
    </row>
    <row r="36" spans="1:2">
      <c r="A36" s="57" t="s">
        <v>251</v>
      </c>
      <c r="B36" s="56">
        <v>10</v>
      </c>
    </row>
    <row r="37" spans="1:2">
      <c r="A37" s="57" t="s">
        <v>212</v>
      </c>
      <c r="B37" s="56">
        <v>10</v>
      </c>
    </row>
    <row r="38" spans="1:2">
      <c r="A38" s="57" t="s">
        <v>252</v>
      </c>
      <c r="B38" s="56">
        <v>10</v>
      </c>
    </row>
    <row r="39" spans="1:2">
      <c r="A39" s="57" t="s">
        <v>253</v>
      </c>
      <c r="B39" s="56">
        <v>10</v>
      </c>
    </row>
    <row r="40" spans="1:2">
      <c r="A40" s="57" t="s">
        <v>254</v>
      </c>
      <c r="B40" s="56">
        <v>500</v>
      </c>
    </row>
    <row r="41" spans="1:2">
      <c r="A41" s="57" t="s">
        <v>255</v>
      </c>
      <c r="B41" s="56">
        <v>500</v>
      </c>
    </row>
    <row r="42" spans="1:2">
      <c r="A42" s="57" t="s">
        <v>256</v>
      </c>
      <c r="B42" s="56">
        <v>5</v>
      </c>
    </row>
    <row r="43" spans="1:2">
      <c r="A43" s="57" t="s">
        <v>257</v>
      </c>
      <c r="B43" s="56">
        <v>5</v>
      </c>
    </row>
    <row r="44" spans="1:2">
      <c r="A44" s="57" t="s">
        <v>258</v>
      </c>
      <c r="B44" s="56">
        <v>5</v>
      </c>
    </row>
    <row r="45" spans="1:2">
      <c r="A45" s="57" t="s">
        <v>259</v>
      </c>
      <c r="B45" s="56">
        <v>5</v>
      </c>
    </row>
    <row r="46" spans="1:2">
      <c r="A46" s="57" t="s">
        <v>260</v>
      </c>
      <c r="B46" s="56">
        <v>100</v>
      </c>
    </row>
    <row r="47" spans="1:2">
      <c r="A47" s="57" t="s">
        <v>261</v>
      </c>
      <c r="B47" s="56">
        <v>60</v>
      </c>
    </row>
    <row r="48" spans="1:2">
      <c r="A48" s="57" t="s">
        <v>262</v>
      </c>
      <c r="B48" s="56">
        <v>100</v>
      </c>
    </row>
    <row r="49" spans="1:2">
      <c r="A49" s="57" t="s">
        <v>263</v>
      </c>
      <c r="B49" s="56">
        <v>300</v>
      </c>
    </row>
    <row r="50" spans="1:2">
      <c r="A50" s="57" t="s">
        <v>264</v>
      </c>
      <c r="B50" s="56">
        <v>200</v>
      </c>
    </row>
    <row r="51" spans="1:2">
      <c r="A51" s="57" t="s">
        <v>265</v>
      </c>
      <c r="B51" s="56">
        <v>300</v>
      </c>
    </row>
    <row r="52" spans="1:2">
      <c r="A52" s="57" t="s">
        <v>266</v>
      </c>
      <c r="B52" s="56">
        <v>10000</v>
      </c>
    </row>
    <row r="53" spans="1:2">
      <c r="A53" s="57" t="s">
        <v>267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2018-03-06T07:02:47Z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