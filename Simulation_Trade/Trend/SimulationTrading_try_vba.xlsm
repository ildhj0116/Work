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2" i="2" l="1"/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10" i="1"/>
  <c r="S308" i="1"/>
  <c r="S309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47" i="1"/>
  <c r="M350" i="1"/>
  <c r="M351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59" i="1"/>
  <c r="S358" i="1"/>
  <c r="S357" i="1"/>
  <c r="S352" i="1"/>
  <c r="S347" i="1"/>
  <c r="S323" i="1"/>
  <c r="S328" i="1"/>
  <c r="S346" i="1"/>
  <c r="S331" i="1"/>
  <c r="S342" i="1"/>
  <c r="S320" i="1"/>
  <c r="S348" i="1"/>
  <c r="S324" i="1"/>
  <c r="S335" i="1"/>
  <c r="S334" i="1"/>
  <c r="S337" i="1"/>
  <c r="S316" i="1"/>
  <c r="S307" i="1"/>
  <c r="S314" i="1"/>
  <c r="S321" i="1"/>
  <c r="S349" i="1"/>
  <c r="S332" i="1"/>
  <c r="S330" i="1"/>
  <c r="S340" i="1"/>
  <c r="S315" i="1"/>
  <c r="S329" i="1"/>
  <c r="S339" i="1"/>
  <c r="S319" i="1"/>
  <c r="S355" i="1"/>
  <c r="S344" i="1"/>
  <c r="S343" i="1"/>
  <c r="S333" i="1"/>
  <c r="S326" i="1"/>
  <c r="S345" i="1"/>
  <c r="S354" i="1"/>
  <c r="S356" i="1"/>
  <c r="S311" i="1"/>
  <c r="S325" i="1"/>
  <c r="S313" i="1"/>
  <c r="S318" i="1"/>
  <c r="S351" i="1"/>
  <c r="S341" i="1"/>
  <c r="S350" i="1"/>
  <c r="S353" i="1"/>
  <c r="S322" i="1"/>
  <c r="S327" i="1"/>
  <c r="S317" i="1"/>
  <c r="S312" i="1"/>
  <c r="S338" i="1"/>
  <c r="S336" i="1"/>
  <c r="T358" i="1" l="1"/>
  <c r="T357" i="1"/>
  <c r="M338" i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U365" i="1"/>
  <c r="T368" i="1"/>
  <c r="T301" i="1"/>
  <c r="U361" i="1"/>
  <c r="T364" i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U373" i="1"/>
  <c r="U369" i="1"/>
  <c r="T372" i="1"/>
  <c r="U371" i="1"/>
  <c r="T371" i="1"/>
  <c r="U367" i="1"/>
  <c r="T367" i="1"/>
  <c r="U363" i="1"/>
  <c r="T363" i="1"/>
  <c r="T359" i="1"/>
  <c r="U374" i="1"/>
  <c r="U370" i="1"/>
  <c r="U366" i="1"/>
  <c r="U362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U357" i="1" s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163" i="1"/>
  <c r="S33" i="1"/>
  <c r="S107" i="1"/>
  <c r="S273" i="1"/>
  <c r="S81" i="1"/>
  <c r="S302" i="1"/>
  <c r="S218" i="1"/>
  <c r="S74" i="1"/>
  <c r="S169" i="1"/>
  <c r="S230" i="1"/>
  <c r="S124" i="1"/>
  <c r="S132" i="1"/>
  <c r="S212" i="1"/>
  <c r="S243" i="1"/>
  <c r="S223" i="1"/>
  <c r="S165" i="1"/>
  <c r="S87" i="1"/>
  <c r="S206" i="1"/>
  <c r="S56" i="1"/>
  <c r="S111" i="1"/>
  <c r="S2" i="1"/>
  <c r="S304" i="1"/>
  <c r="S239" i="1"/>
  <c r="S11" i="1"/>
  <c r="S97" i="1"/>
  <c r="S174" i="1"/>
  <c r="S146" i="1"/>
  <c r="S106" i="1"/>
  <c r="S123" i="1"/>
  <c r="S23" i="1"/>
  <c r="S3" i="1"/>
  <c r="S13" i="1"/>
  <c r="S249" i="1"/>
  <c r="S116" i="1"/>
  <c r="S59" i="1"/>
  <c r="S63" i="1"/>
  <c r="S152" i="1"/>
  <c r="S231" i="1"/>
  <c r="S143" i="1"/>
  <c r="S269" i="1"/>
  <c r="S90" i="1"/>
  <c r="S55" i="1"/>
  <c r="S196" i="1"/>
  <c r="S217" i="1"/>
  <c r="S38" i="1"/>
  <c r="S259" i="1"/>
  <c r="S113" i="1"/>
  <c r="S131" i="1"/>
  <c r="S170" i="1"/>
  <c r="S173" i="1"/>
  <c r="S17" i="1"/>
  <c r="S210" i="1"/>
  <c r="S120" i="1"/>
  <c r="S52" i="1"/>
  <c r="S36" i="1"/>
  <c r="S226" i="1"/>
  <c r="S105" i="1"/>
  <c r="S41" i="1"/>
  <c r="S291" i="1"/>
  <c r="S222" i="1"/>
  <c r="S102" i="1"/>
  <c r="S267" i="1"/>
  <c r="S98" i="1"/>
  <c r="S54" i="1"/>
  <c r="S246" i="1"/>
  <c r="S185" i="1"/>
  <c r="S39" i="1"/>
  <c r="S287" i="1"/>
  <c r="S130" i="1"/>
  <c r="S251" i="1"/>
  <c r="S47" i="1"/>
  <c r="S290" i="1"/>
  <c r="S274" i="1"/>
  <c r="S77" i="1"/>
  <c r="S193" i="1"/>
  <c r="S35" i="1"/>
  <c r="S255" i="1"/>
  <c r="S188" i="1"/>
  <c r="S104" i="1"/>
  <c r="S181" i="1"/>
  <c r="S275" i="1"/>
  <c r="S162" i="1"/>
  <c r="S240" i="1"/>
  <c r="S42" i="1"/>
  <c r="S127" i="1"/>
  <c r="S27" i="1"/>
  <c r="S208" i="1"/>
  <c r="S145" i="1"/>
  <c r="S69" i="1"/>
  <c r="S224" i="1"/>
  <c r="S71" i="1"/>
  <c r="S270" i="1"/>
  <c r="S6" i="1"/>
  <c r="S139" i="1"/>
  <c r="S158" i="1"/>
  <c r="S180" i="1"/>
  <c r="S300" i="1"/>
  <c r="S125" i="1"/>
  <c r="S112" i="1"/>
  <c r="S14" i="1"/>
  <c r="S84" i="1"/>
  <c r="S45" i="1"/>
  <c r="S167" i="1"/>
  <c r="S284" i="1"/>
  <c r="S128" i="1"/>
  <c r="S103" i="1"/>
  <c r="S58" i="1"/>
  <c r="S211" i="1"/>
  <c r="S235" i="1"/>
  <c r="S9" i="1"/>
  <c r="S138" i="1"/>
  <c r="S298" i="1"/>
  <c r="S46" i="1"/>
  <c r="S278" i="1"/>
  <c r="S200" i="1"/>
  <c r="S140" i="1"/>
  <c r="S176" i="1"/>
  <c r="S119" i="1"/>
  <c r="S101" i="1"/>
  <c r="S43" i="1"/>
  <c r="S83" i="1"/>
  <c r="S37" i="1"/>
  <c r="S73" i="1"/>
  <c r="S297" i="1"/>
  <c r="S48" i="1"/>
  <c r="S209" i="1"/>
  <c r="S126" i="1"/>
  <c r="S19" i="1"/>
  <c r="S197" i="1"/>
  <c r="S191" i="1"/>
  <c r="S285" i="1"/>
  <c r="S183" i="1"/>
  <c r="S129" i="1"/>
  <c r="S8" i="1"/>
  <c r="S114" i="1"/>
  <c r="S247" i="1"/>
  <c r="S186" i="1"/>
  <c r="S15" i="1"/>
  <c r="S117" i="1"/>
  <c r="S60" i="1"/>
  <c r="S94" i="1"/>
  <c r="S177" i="1"/>
  <c r="S295" i="1"/>
  <c r="S264" i="1"/>
  <c r="S244" i="1"/>
  <c r="S115" i="1"/>
  <c r="S95" i="1"/>
  <c r="S67" i="1"/>
  <c r="S190" i="1"/>
  <c r="S254" i="1"/>
  <c r="S109" i="1"/>
  <c r="S238" i="1"/>
  <c r="S110" i="1"/>
  <c r="S234" i="1"/>
  <c r="S179" i="1"/>
  <c r="S159" i="1"/>
  <c r="S5" i="1"/>
  <c r="S195" i="1"/>
  <c r="S154" i="1"/>
  <c r="S260" i="1"/>
  <c r="S79" i="1"/>
  <c r="S277" i="1"/>
  <c r="S62" i="1"/>
  <c r="S261" i="1"/>
  <c r="S156" i="1"/>
  <c r="S10" i="1"/>
  <c r="S248" i="1"/>
  <c r="S221" i="1"/>
  <c r="S86" i="1"/>
  <c r="S51" i="1"/>
  <c r="S141" i="1"/>
  <c r="S16" i="1"/>
  <c r="S168" i="1"/>
  <c r="S161" i="1"/>
  <c r="S229" i="1"/>
  <c r="S150" i="1"/>
  <c r="S292" i="1"/>
  <c r="S166" i="1"/>
  <c r="S24" i="1"/>
  <c r="S89" i="1"/>
  <c r="S289" i="1"/>
  <c r="S134" i="1"/>
  <c r="S237" i="1"/>
  <c r="S227" i="1"/>
  <c r="S207" i="1"/>
  <c r="S276" i="1"/>
  <c r="S44" i="1"/>
  <c r="S296" i="1"/>
  <c r="S258" i="1"/>
  <c r="S268" i="1"/>
  <c r="S250" i="1"/>
  <c r="S253" i="1"/>
  <c r="S219" i="1"/>
  <c r="S282" i="1"/>
  <c r="S72" i="1"/>
  <c r="S257" i="1"/>
  <c r="S21" i="1"/>
  <c r="S157" i="1"/>
  <c r="S61" i="1"/>
  <c r="S108" i="1"/>
  <c r="S294" i="1"/>
  <c r="S263" i="1"/>
  <c r="S78" i="1"/>
  <c r="S216" i="1"/>
  <c r="S184" i="1"/>
  <c r="S100" i="1"/>
  <c r="S91" i="1"/>
  <c r="S122" i="1"/>
  <c r="S175" i="1"/>
  <c r="S198" i="1"/>
  <c r="S85" i="1"/>
  <c r="S93" i="1"/>
  <c r="S22" i="1"/>
  <c r="S20" i="1"/>
  <c r="S50" i="1"/>
  <c r="S136" i="1"/>
  <c r="S68" i="1"/>
  <c r="S189" i="1"/>
  <c r="S178" i="1"/>
  <c r="S233" i="1"/>
  <c r="S7" i="1"/>
  <c r="S121" i="1"/>
  <c r="S155" i="1"/>
  <c r="S75" i="1"/>
  <c r="S299" i="1"/>
  <c r="S203" i="1"/>
  <c r="S160" i="1"/>
  <c r="S225" i="1"/>
  <c r="S82" i="1"/>
  <c r="S99" i="1"/>
  <c r="S205" i="1"/>
  <c r="S135" i="1"/>
  <c r="S80" i="1"/>
  <c r="S92" i="1"/>
  <c r="S265" i="1"/>
  <c r="S303" i="1"/>
  <c r="S18" i="1"/>
  <c r="S214" i="1"/>
  <c r="S252" i="1"/>
  <c r="S40" i="1"/>
  <c r="S288" i="1"/>
  <c r="S148" i="1"/>
  <c r="S213" i="1"/>
  <c r="S232" i="1"/>
  <c r="S271" i="1"/>
  <c r="S280" i="1"/>
  <c r="S57" i="1"/>
  <c r="S144" i="1"/>
  <c r="S64" i="1"/>
  <c r="S182" i="1"/>
  <c r="S242" i="1"/>
  <c r="S201" i="1"/>
  <c r="S147" i="1"/>
  <c r="S220" i="1"/>
  <c r="S137" i="1"/>
  <c r="S272" i="1"/>
  <c r="S256" i="1"/>
  <c r="S306" i="1"/>
  <c r="S12" i="1"/>
  <c r="S65" i="1"/>
  <c r="S118" i="1"/>
  <c r="S26" i="1"/>
  <c r="S4" i="1"/>
  <c r="S266" i="1"/>
  <c r="S66" i="1"/>
  <c r="S283" i="1"/>
  <c r="S194" i="1"/>
  <c r="S187" i="1"/>
  <c r="S133" i="1"/>
  <c r="S88" i="1"/>
  <c r="S286" i="1"/>
  <c r="S171" i="1"/>
  <c r="S96" i="1"/>
  <c r="S153" i="1"/>
  <c r="S279" i="1"/>
  <c r="S76" i="1"/>
  <c r="S142" i="1"/>
  <c r="S192" i="1"/>
  <c r="S241" i="1"/>
  <c r="S151" i="1"/>
  <c r="S199" i="1"/>
  <c r="S262" i="1"/>
  <c r="S245" i="1"/>
  <c r="S149" i="1"/>
  <c r="S215" i="1"/>
  <c r="S53" i="1"/>
  <c r="S49" i="1"/>
  <c r="S172" i="1"/>
  <c r="S70" i="1"/>
  <c r="S228" i="1"/>
  <c r="S293" i="1"/>
  <c r="S204" i="1"/>
  <c r="S202" i="1"/>
  <c r="S236" i="1"/>
  <c r="U359" i="1" l="1"/>
  <c r="U358" i="1"/>
  <c r="U356" i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<sst xmlns="http://schemas.openxmlformats.org/spreadsheetml/2006/main" count="517" uniqueCount="402">
  <si>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</si>
  <si>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</si>
  <si>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</si>
  <si>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</si>
  <si>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</si>
  <si>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</si>
  <si>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</si>
  <si>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</si>
  <si>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</si>
  <si>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</si>
  <si>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</si>
  <si>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</si>
  <si>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</si>
  <si>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</si>
  <si>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</si>
  <si>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</si>
  <si>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</si>
  <si>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</si>
  <si>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</si>
  <si>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</si>
  <si>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</si>
  <si>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</si>
  <si>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</si>
  <si>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</si>
  <si>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</si>
  <si>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</si>
  <si>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</si>
  <si>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</si>
  <si>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</si>
  <si>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</si>
  <si>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</si>
  <si>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</si>
  <si>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</si>
  <si>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</si>
  <si>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</si>
  <si>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</si>
  <si>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</si>
  <si>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</si>
  <si>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</si>
  <si>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</si>
  <si>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</si>
  <si>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</si>
  <si>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</si>
  <si>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</si>
  <si>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</si>
  <si>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</si>
  <si>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</si>
  <si>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</si>
  <si>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</si>
  <si>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</si>
  <si>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</si>
  <si>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</si>
  <si>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</si>
  <si>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</si>
  <si>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</si>
  <si>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</si>
  <si>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</si>
  <si>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</si>
  <si>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</si>
  <si>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</si>
  <si>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</si>
  <si>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</si>
  <si>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</si>
  <si>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</si>
  <si>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</si>
  <si>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</si>
  <si>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</si>
  <si>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</si>
  <si>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</si>
  <si>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</si>
  <si>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</si>
  <si>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</si>
  <si>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</si>
  <si>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</si>
  <si>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</si>
  <si>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</si>
  <si>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</si>
  <si>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</si>
  <si>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</si>
  <si>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</si>
  <si>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</si>
  <si>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</si>
  <si>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</si>
  <si>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</si>
  <si>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</si>
  <si>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</si>
  <si>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</si>
  <si>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</si>
  <si>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</si>
  <si>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</si>
  <si>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</si>
  <si>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</si>
  <si>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</si>
  <si>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</si>
  <si>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</si>
  <si>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</si>
  <si>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</si>
  <si>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</si>
  <si>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</si>
  <si>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</si>
  <si>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</si>
  <si>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</si>
  <si>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</si>
  <si>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</si>
  <si>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</si>
  <si>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</si>
  <si>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</si>
  <si>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</si>
  <si>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</si>
  <si>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</si>
  <si>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</si>
  <si>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</si>
  <si>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</si>
  <si>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</si>
  <si>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</si>
  <si>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</si>
  <si>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</si>
  <si>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</si>
  <si>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</si>
  <si>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</si>
  <si>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</si>
  <si>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</si>
  <si>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</si>
  <si>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</si>
  <si>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</si>
  <si>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</si>
  <si>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</si>
  <si>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</si>
  <si>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</si>
  <si>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</si>
  <si>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</si>
  <si>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</si>
  <si>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</si>
  <si>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</si>
  <si>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</si>
  <si>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</si>
  <si>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</si>
  <si>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</si>
  <si>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</si>
  <si>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</si>
  <si>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</si>
  <si>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</si>
  <si>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</si>
  <si>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</si>
  <si>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</si>
  <si>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</si>
  <si>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</si>
  <si>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</si>
  <si>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</si>
  <si>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</si>
  <si>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</si>
  <si>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</si>
  <si>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</si>
  <si>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</si>
  <si>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</si>
  <si>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</si>
  <si>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</si>
  <si>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</si>
  <si>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</si>
  <si>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</si>
  <si>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</si>
  <si>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</si>
  <si>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</si>
  <si>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</si>
  <si>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</si>
  <si>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</si>
  <si>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</si>
  <si>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</si>
  <si>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</si>
  <si>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</si>
  <si>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</si>
  <si>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</si>
  <si>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</si>
  <si>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</si>
  <si>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</si>
  <si>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</si>
  <si>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</si>
  <si>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</si>
  <si>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</si>
  <si>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</si>
  <si>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</si>
  <si>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</si>
  <si>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</si>
  <si>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</si>
  <si>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</si>
  <si>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</si>
  <si>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</si>
  <si>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</si>
  <si>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</si>
  <si>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</si>
  <si>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</si>
  <si>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</si>
  <si>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</si>
  <si>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</si>
  <si>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</si>
  <si>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</si>
  <si>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</si>
  <si>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</si>
  <si>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</si>
  <si>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</si>
  <si>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</si>
  <si>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</si>
  <si>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</si>
  <si>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</si>
  <si>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</si>
  <si>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</si>
  <si>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</si>
  <si>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</si>
  <si>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</si>
  <si>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</si>
  <si>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</si>
  <si>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</si>
  <si>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</si>
  <si>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</si>
  <si>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</si>
  <si>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</si>
  <si>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</si>
  <si>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</si>
  <si>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</si>
  <si>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</si>
  <si>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</si>
  <si>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</si>
  <si>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</si>
  <si>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</si>
  <si>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</si>
  <si>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</si>
  <si>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</si>
  <si>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</si>
  <si>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</si>
  <si>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</si>
  <si>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</si>
  <si>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</si>
  <si>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</si>
  <si>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</si>
  <si>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</si>
  <si>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</si>
  <si>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</si>
  <si>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</si>
  <si>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</si>
  <si>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</si>
  <si>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</si>
  <si>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</si>
  <si>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</si>
  <si>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</si>
  <si>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</si>
  <si>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</si>
  <si>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</si>
  <si>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</si>
  <si>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</si>
  <si>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</si>
  <si>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</si>
  <si>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</si>
  <si>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</si>
  <si>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</si>
  <si>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</si>
  <si>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</si>
  <si>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</si>
  <si>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</si>
  <si>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</si>
  <si>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</si>
  <si>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</si>
  <si>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</si>
  <si>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</si>
  <si>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</si>
  <si>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</si>
  <si>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</si>
  <si>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</si>
  <si>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</si>
  <si>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</si>
  <si>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</si>
  <si>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</si>
  <si>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</si>
  <si>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</si>
  <si>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</si>
  <si>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</si>
  <si>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</si>
  <si>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</si>
  <si>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</si>
  <si>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</si>
  <si>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</si>
  <si>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</si>
  <si>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</si>
  <si>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</si>
  <si>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</si>
  <si>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</si>
  <si>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</si>
  <si>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</si>
  <si>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</si>
  <si>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</si>
  <si>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</si>
  <si>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</si>
  <si>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</si>
  <si>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</si>
  <si>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</si>
  <si>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</si>
  <si>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</si>
  <si>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</si>
  <si>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</si>
  <si>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</si>
  <si>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</si>
  <si>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</si>
  <si>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</si>
  <si>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</si>
  <si>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</si>
  <si>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</si>
  <si>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</si>
  <si>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</si>
  <si>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</si>
  <si>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</si>
  <si>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</si>
  <si>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</si>
  <si>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</si>
  <si>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</si>
  <si>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</si>
  <si>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</si>
  <si>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</si>
  <si>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</si>
  <si>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</si>
  <si>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</si>
  <si>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</si>
  <si>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</si>
  <si>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</si>
  <si>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</si>
  <si>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</si>
  <si>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</si>
  <si>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</si>
  <si>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</si>
  <si>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</si>
  <si>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</si>
  <si>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</si>
  <si>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</si>
  <si>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</si>
  <si>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</si>
  <si>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</si>
  <si>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</si>
  <si>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</si>
  <si>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</si>
  <si>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</si>
  <si>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</si>
  <si>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</si>
  <si>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</si>
  <si>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</si>
  <si>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</si>
  <si>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</si>
  <si>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</si>
  <si>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</si>
  <si>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</si>
  <si>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</si>
  <si>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</si>
  <si>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</si>
  <si>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</si>
  <si>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</si>
  <si>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</si>
  <si>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</si>
  <si>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</si>
  <si>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</si>
  <si>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</si>
  <si>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</si>
  <si>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</si>
  <si>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</si>
  <si>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</si>
  <si>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</si>
  <si>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</si>
  <si>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</si>
  <si>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</si>
  <si>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</si>
  <si>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</si>
  <si>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</si>
  <si>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</si>
  <si>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</si>
  <si>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</si>
  <si>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</si>
  <si>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</si>
  <si>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</si>
  <si>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</si>
  <si>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</si>
  <si>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</si>
  <si>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</si>
  <si>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</si>
  <si>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</si>
  <si>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</si>
  <si>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</si>
  <si>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</si>
  <si>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</si>
  <si>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</si>
  <si>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</si>
  <si>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</si>
  <si>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</si>
  <si>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</si>
  <si>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</si>
  <si>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</si>
  <si>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</si>
  <si>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</si>
  <si>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</si>
  <si>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</si>
  <si>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</si>
  <si>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</si>
  <si>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</si>
  <si>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</si>
  <si>
    <t>IC1805</t>
    <phoneticPr fontId="1" type="noConversion"/>
  </si>
  <si>
    <t>IH1805</t>
    <phoneticPr fontId="1" type="noConversion"/>
  </si>
  <si>
    <t>IF1805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</si>
</sst>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268880"/>
        <c:axId val="519269440"/>
      </c:lineChart>
      <c:dateAx>
        <c:axId val="519268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9269440"/>
        <c:crosses val="autoZero"/>
        <c:auto val="1"/>
        <c:lblOffset val="100"/>
        <c:baseTimeUnit val="days"/>
      </c:dateAx>
      <c:valAx>
        <c:axId val="51926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926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权益!$A$19:$A$82</c:f>
              <c:numCache>
                <c:formatCode>m/d/yyyy</c:formatCode>
                <c:ptCount val="64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</c:numCache>
            </c:numRef>
          </c:cat>
          <c:val>
            <c:numRef>
              <c:f>权益!$C$19:$C$82</c:f>
              <c:numCache>
                <c:formatCode>0.0000</c:formatCode>
                <c:ptCount val="64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271680"/>
        <c:axId val="519272240"/>
      </c:lineChart>
      <c:dateAx>
        <c:axId val="519271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9272240"/>
        <c:crosses val="autoZero"/>
        <c:auto val="1"/>
        <c:lblOffset val="100"/>
        <c:baseTimeUnit val="days"/>
      </c:dateAx>
      <c:valAx>
        <c:axId val="5192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927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workbookViewId="0">
      <pane ySplit="1" topLeftCell="A17" activePane="bottomLeft" state="frozen"/>
      <selection pane="bottomLeft" activeCell="C82" sqref="C82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69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0.2767857142857143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0.85321115459037122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2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>
        <v>9541762</v>
      </c>
      <c r="C82" s="4">
        <f t="shared" si="1"/>
        <v>0.95417620000000003</v>
      </c>
    </row>
    <row r="83" spans="1:3">
      <c r="A83" s="2">
        <v>43213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tabSelected="1" workbookViewId="0">
      <pane ySplit="1" topLeftCell="A311" activePane="bottomLeft" state="frozen"/>
      <selection pane="bottomLeft" activeCell="O357" sqref="O357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336</v>
      </c>
      <c r="V1" s="64">
        <f>COUNTIF(M2:M9991,"&gt;0")</f>
        <v>93</v>
      </c>
      <c r="W1" s="64">
        <f>COUNTIF(M2:M9991,"&lt;0")</f>
        <v>237</v>
      </c>
      <c r="X1" s="64">
        <f>SUMIF(M2:M9991,"&gt;0")</f>
        <v>1268753.45</v>
      </c>
      <c r="Y1" s="64">
        <f>ABS(SUMIF(M2:M9991,"&lt;0"))</f>
        <v>1487033.360000001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J347" s="1">
        <v>2852</v>
      </c>
      <c r="K347" s="2">
        <v>43210</v>
      </c>
      <c r="L347" s="26">
        <v>0.46666666666666662</v>
      </c>
      <c r="M347" s="16">
        <f t="shared" si="128"/>
        <v>2160</v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J350" s="1">
        <v>3608</v>
      </c>
      <c r="K350" s="2">
        <v>43210</v>
      </c>
      <c r="L350" s="26">
        <v>0.37916666666666665</v>
      </c>
      <c r="M350" s="16">
        <f t="shared" si="128"/>
        <v>5482.3999999999796</v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J353" s="1">
        <v>2143</v>
      </c>
      <c r="K353" s="2">
        <v>43210</v>
      </c>
      <c r="L353" s="26">
        <v>0.4680555555555555</v>
      </c>
      <c r="M353" s="16">
        <f t="shared" si="128"/>
        <v>-10530</v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J354" s="1">
        <v>105690</v>
      </c>
      <c r="K354" s="2">
        <v>43210</v>
      </c>
      <c r="L354" s="26">
        <v>0.37916666666666665</v>
      </c>
      <c r="M354" s="16">
        <f t="shared" si="128"/>
        <v>-35560</v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>
        <v>3487</v>
      </c>
      <c r="K355" s="19">
        <v>43210</v>
      </c>
      <c r="L355" s="31">
        <v>0.46736111111111112</v>
      </c>
      <c r="M355" s="14">
        <f t="shared" si="128"/>
        <v>-17920</v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398</v>
      </c>
      <c r="C356" s="1">
        <v>44</v>
      </c>
      <c r="D356" s="1">
        <v>2142</v>
      </c>
      <c r="E356" s="2">
        <v>43210</v>
      </c>
      <c r="F356" s="26">
        <v>0.4680555555555555</v>
      </c>
      <c r="G356" s="17">
        <v>1.4999999999999999E-2</v>
      </c>
      <c r="H356" s="52">
        <v>1</v>
      </c>
      <c r="I356" s="17">
        <f t="shared" si="127"/>
        <v>1.4999999999999999E-2</v>
      </c>
      <c r="J356" s="1">
        <v>2134</v>
      </c>
      <c r="K356" s="2">
        <v>43210</v>
      </c>
      <c r="L356" s="26">
        <v>0.62152777777777779</v>
      </c>
      <c r="M356" s="16">
        <f t="shared" si="128"/>
        <v>-3520</v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B357" s="1" t="s">
        <v>399</v>
      </c>
      <c r="C357" s="1">
        <v>-1</v>
      </c>
      <c r="D357" s="1">
        <v>5883.8</v>
      </c>
      <c r="E357" s="2">
        <v>43210</v>
      </c>
      <c r="F357" s="26">
        <v>0.4680555555555555</v>
      </c>
      <c r="G357" s="17">
        <v>1.4999999999999999E-2</v>
      </c>
      <c r="H357" s="52">
        <v>1</v>
      </c>
      <c r="I357" s="17">
        <f t="shared" si="127"/>
        <v>1.4999999999999999E-2</v>
      </c>
      <c r="M357" s="16" t="str">
        <f t="shared" si="128"/>
        <v/>
      </c>
      <c r="S357">
        <f>IF(B357="","",VLOOKUP(Cmt(B357),Sheet2!A:B,2,FALSE))</f>
        <v>200</v>
      </c>
      <c r="T357" s="39">
        <f t="shared" si="130"/>
        <v>9520000</v>
      </c>
      <c r="U357" s="13">
        <f t="shared" si="129"/>
        <v>0.80900098575750368</v>
      </c>
      <c r="W357" s="11"/>
    </row>
    <row r="358" spans="1:23">
      <c r="B358" s="1" t="s">
        <v>400</v>
      </c>
      <c r="C358" s="1">
        <v>-1</v>
      </c>
      <c r="D358" s="1">
        <v>2653.8</v>
      </c>
      <c r="E358" s="2">
        <v>43210</v>
      </c>
      <c r="F358" s="26">
        <v>0.4680555555555555</v>
      </c>
      <c r="G358" s="17">
        <v>1.4999999999999999E-2</v>
      </c>
      <c r="H358" s="52">
        <v>1</v>
      </c>
      <c r="I358" s="17">
        <f t="shared" si="127"/>
        <v>1.4999999999999999E-2</v>
      </c>
      <c r="M358" s="16" t="str">
        <f t="shared" si="128"/>
        <v/>
      </c>
      <c r="S358">
        <f>IF(B358="","",VLOOKUP(Cmt(B358),Sheet2!A:B,2,FALSE))</f>
        <v>300</v>
      </c>
      <c r="T358" s="39">
        <f t="shared" si="130"/>
        <v>9520000</v>
      </c>
      <c r="U358" s="13">
        <f t="shared" si="129"/>
        <v>1.1957695882633708</v>
      </c>
      <c r="W358" s="11"/>
    </row>
    <row r="359" spans="1:23" ht="14.25" thickBot="1">
      <c r="A359" s="34"/>
      <c r="B359" s="34" t="s">
        <v>401</v>
      </c>
      <c r="C359" s="34">
        <v>-1</v>
      </c>
      <c r="D359" s="34">
        <v>3764</v>
      </c>
      <c r="E359" s="38">
        <v>43210</v>
      </c>
      <c r="F359" s="35">
        <v>0.4680555555555555</v>
      </c>
      <c r="G359" s="36">
        <v>1.4999999999999999E-2</v>
      </c>
      <c r="H359" s="53">
        <v>1</v>
      </c>
      <c r="I359" s="36">
        <f t="shared" si="127"/>
        <v>1.4999999999999999E-2</v>
      </c>
      <c r="J359" s="34"/>
      <c r="K359" s="34"/>
      <c r="L359" s="34"/>
      <c r="M359" s="40" t="str">
        <f t="shared" si="128"/>
        <v/>
      </c>
      <c r="N359" s="34"/>
      <c r="O359" s="34"/>
      <c r="P359" s="37"/>
      <c r="Q359" s="37"/>
      <c r="R359" s="37"/>
      <c r="S359">
        <f>IF(B359="","",VLOOKUP(Cmt(B359),Sheet2!A:B,2,FALSE))</f>
        <v>300</v>
      </c>
      <c r="T359" s="39">
        <f t="shared" si="130"/>
        <v>9520000</v>
      </c>
      <c r="U359" s="13">
        <f t="shared" si="129"/>
        <v>0.84307474318101305</v>
      </c>
      <c r="W359" s="11"/>
    </row>
    <row r="360" spans="1:23">
      <c r="A360" s="2">
        <v>43213</v>
      </c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1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1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1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1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1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1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1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1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2018-04-20T07:12:18Z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