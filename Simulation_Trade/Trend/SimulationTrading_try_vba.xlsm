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2" i="1"/>
  <c r="T302" i="1" s="1"/>
  <c r="S303" i="1"/>
  <c r="T303" i="1" s="1"/>
  <c r="S304" i="1"/>
  <c r="S305" i="1"/>
  <c r="U305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295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102" i="1"/>
  <c r="S179" i="1"/>
  <c r="S214" i="1"/>
  <c r="S154" i="1"/>
  <c r="S9" i="1"/>
  <c r="S57" i="1"/>
  <c r="S271" i="1"/>
  <c r="S197" i="1"/>
  <c r="S168" i="1"/>
  <c r="S92" i="1"/>
  <c r="S264" i="1"/>
  <c r="S41" i="1"/>
  <c r="S238" i="1"/>
  <c r="S53" i="1"/>
  <c r="S145" i="1"/>
  <c r="S14" i="1"/>
  <c r="S101" i="1"/>
  <c r="S290" i="1"/>
  <c r="S257" i="1"/>
  <c r="S69" i="1"/>
  <c r="S123" i="1"/>
  <c r="S206" i="1"/>
  <c r="S131" i="1"/>
  <c r="S250" i="1"/>
  <c r="S74" i="1"/>
  <c r="S33" i="1"/>
  <c r="S90" i="1"/>
  <c r="S121" i="1"/>
  <c r="S51" i="1"/>
  <c r="S210" i="1"/>
  <c r="S158" i="1"/>
  <c r="S140" i="1"/>
  <c r="S54" i="1"/>
  <c r="S188" i="1"/>
  <c r="S59" i="1"/>
  <c r="S176" i="1"/>
  <c r="S170" i="1"/>
  <c r="S287" i="1"/>
  <c r="S127" i="1"/>
  <c r="S258" i="1"/>
  <c r="S224" i="1"/>
  <c r="S205" i="1"/>
  <c r="S174" i="1"/>
  <c r="S245" i="1"/>
  <c r="S77" i="1"/>
  <c r="S3" i="1"/>
  <c r="S215" i="1"/>
  <c r="S19" i="1"/>
  <c r="S273" i="1"/>
  <c r="S152" i="1"/>
  <c r="S236" i="1"/>
  <c r="S190" i="1"/>
  <c r="S46" i="1"/>
  <c r="S142" i="1"/>
  <c r="S75" i="1"/>
  <c r="S283" i="1"/>
  <c r="S45" i="1"/>
  <c r="S126" i="1"/>
  <c r="S166" i="1"/>
  <c r="S66" i="1"/>
  <c r="S13" i="1"/>
  <c r="S111" i="1"/>
  <c r="S203" i="1"/>
  <c r="S18" i="1"/>
  <c r="S277" i="1"/>
  <c r="S56" i="1"/>
  <c r="S298" i="1"/>
  <c r="S175" i="1"/>
  <c r="S37" i="1"/>
  <c r="S243" i="1"/>
  <c r="S155" i="1"/>
  <c r="S204" i="1"/>
  <c r="S138" i="1"/>
  <c r="S256" i="1"/>
  <c r="S76" i="1"/>
  <c r="S81" i="1"/>
  <c r="S82" i="1"/>
  <c r="S275" i="1"/>
  <c r="S153" i="1"/>
  <c r="S181" i="1"/>
  <c r="S186" i="1"/>
  <c r="S38" i="1"/>
  <c r="S196" i="1"/>
  <c r="S21" i="1"/>
  <c r="S118" i="1"/>
  <c r="S244" i="1"/>
  <c r="S211" i="1"/>
  <c r="S61" i="1"/>
  <c r="S20" i="1"/>
  <c r="S147" i="1"/>
  <c r="S87" i="1"/>
  <c r="S112" i="1"/>
  <c r="S50" i="1"/>
  <c r="S104" i="1"/>
  <c r="S278" i="1"/>
  <c r="S299" i="1"/>
  <c r="S89" i="1"/>
  <c r="S270" i="1"/>
  <c r="S300" i="1"/>
  <c r="S15" i="1"/>
  <c r="S8" i="1"/>
  <c r="S129" i="1"/>
  <c r="S261" i="1"/>
  <c r="S169" i="1"/>
  <c r="S288" i="1"/>
  <c r="S68" i="1"/>
  <c r="S217" i="1"/>
  <c r="S93" i="1"/>
  <c r="S10" i="1"/>
  <c r="S67" i="1"/>
  <c r="S279" i="1"/>
  <c r="S178" i="1"/>
  <c r="S262" i="1"/>
  <c r="S49" i="1"/>
  <c r="S284" i="1"/>
  <c r="S98" i="1"/>
  <c r="S116" i="1"/>
  <c r="S96" i="1"/>
  <c r="S249" i="1"/>
  <c r="S227" i="1"/>
  <c r="S151" i="1"/>
  <c r="S269" i="1"/>
  <c r="S294" i="1"/>
  <c r="S113" i="1"/>
  <c r="S94" i="1"/>
  <c r="S60" i="1"/>
  <c r="S86" i="1"/>
  <c r="S167" i="1"/>
  <c r="S232" i="1"/>
  <c r="S291" i="1"/>
  <c r="S88" i="1"/>
  <c r="S268" i="1"/>
  <c r="S97" i="1"/>
  <c r="S27" i="1"/>
  <c r="S285" i="1"/>
  <c r="S43" i="1"/>
  <c r="S17" i="1"/>
  <c r="S63" i="1"/>
  <c r="S95" i="1"/>
  <c r="S132" i="1"/>
  <c r="S107" i="1"/>
  <c r="S11" i="1"/>
  <c r="S219" i="1"/>
  <c r="S282" i="1"/>
  <c r="S58" i="1"/>
  <c r="S209" i="1"/>
  <c r="S80" i="1"/>
  <c r="S149" i="1"/>
  <c r="S200" i="1"/>
  <c r="S109" i="1"/>
  <c r="S177" i="1"/>
  <c r="S4" i="1"/>
  <c r="S218" i="1"/>
  <c r="S143" i="1"/>
  <c r="S208" i="1"/>
  <c r="S207" i="1"/>
  <c r="S222" i="1"/>
  <c r="S150" i="1"/>
  <c r="S240" i="1"/>
  <c r="S221" i="1"/>
  <c r="S78" i="1"/>
  <c r="S39" i="1"/>
  <c r="S26" i="1"/>
  <c r="S100" i="1"/>
  <c r="S146" i="1"/>
  <c r="S226" i="1"/>
  <c r="S202" i="1"/>
  <c r="S267" i="1"/>
  <c r="S171" i="1"/>
  <c r="S189" i="1"/>
  <c r="S159" i="1"/>
  <c r="S296" i="1"/>
  <c r="S216" i="1"/>
  <c r="S163" i="1"/>
  <c r="S237" i="1"/>
  <c r="S241" i="1"/>
  <c r="S220" i="1"/>
  <c r="S125" i="1"/>
  <c r="S295" i="1"/>
  <c r="S289" i="1"/>
  <c r="S114" i="1"/>
  <c r="S6" i="1"/>
  <c r="S242" i="1"/>
  <c r="S55" i="1"/>
  <c r="S124" i="1"/>
  <c r="S235" i="1"/>
  <c r="S16" i="1"/>
  <c r="S252" i="1"/>
  <c r="S105" i="1"/>
  <c r="S192" i="1"/>
  <c r="S110" i="1"/>
  <c r="S71" i="1"/>
  <c r="S99" i="1"/>
  <c r="S130" i="1"/>
  <c r="S85" i="1"/>
  <c r="S83" i="1"/>
  <c r="S7" i="1"/>
  <c r="S233" i="1"/>
  <c r="S72" i="1"/>
  <c r="S184" i="1"/>
  <c r="S84" i="1"/>
  <c r="S251" i="1"/>
  <c r="S239" i="1"/>
  <c r="S213" i="1"/>
  <c r="S23" i="1"/>
  <c r="S229" i="1"/>
  <c r="S139" i="1"/>
  <c r="S193" i="1"/>
  <c r="S120" i="1"/>
  <c r="S254" i="1"/>
  <c r="S40" i="1"/>
  <c r="S260" i="1"/>
  <c r="S65" i="1"/>
  <c r="S135" i="1"/>
  <c r="S234" i="1"/>
  <c r="S230" i="1"/>
  <c r="S128" i="1"/>
  <c r="S199" i="1"/>
  <c r="S36" i="1"/>
  <c r="S165" i="1"/>
  <c r="S228" i="1"/>
  <c r="S297" i="1"/>
  <c r="S253" i="1"/>
  <c r="S263" i="1"/>
  <c r="S106" i="1"/>
  <c r="S293" i="1"/>
  <c r="S5" i="1"/>
  <c r="S274" i="1"/>
  <c r="S137" i="1"/>
  <c r="S265" i="1"/>
  <c r="S115" i="1"/>
  <c r="S48" i="1"/>
  <c r="S259" i="1"/>
  <c r="S73" i="1"/>
  <c r="S160" i="1"/>
  <c r="S157" i="1"/>
  <c r="S255" i="1"/>
  <c r="S134" i="1"/>
  <c r="S266" i="1"/>
  <c r="S91" i="1"/>
  <c r="S231" i="1"/>
  <c r="S136" i="1"/>
  <c r="S276" i="1"/>
  <c r="S191" i="1"/>
  <c r="S223" i="1"/>
  <c r="S141" i="1"/>
  <c r="S195" i="1"/>
  <c r="S292" i="1"/>
  <c r="S162" i="1"/>
  <c r="S183" i="1"/>
  <c r="S52" i="1"/>
  <c r="S122" i="1"/>
  <c r="S225" i="1"/>
  <c r="S246" i="1"/>
  <c r="S272" i="1"/>
  <c r="S161" i="1"/>
  <c r="S144" i="1"/>
  <c r="S187" i="1"/>
  <c r="S198" i="1"/>
  <c r="S12" i="1"/>
  <c r="S286" i="1"/>
  <c r="S62" i="1"/>
  <c r="S180" i="1"/>
  <c r="S22" i="1"/>
  <c r="S117" i="1"/>
  <c r="S148" i="1"/>
  <c r="S42" i="1"/>
  <c r="S64" i="1"/>
  <c r="S35" i="1"/>
  <c r="S24" i="1"/>
  <c r="S156" i="1"/>
  <c r="S119" i="1"/>
  <c r="S44" i="1"/>
  <c r="S201" i="1"/>
  <c r="S2" i="1"/>
  <c r="S182" i="1"/>
  <c r="S133" i="1"/>
  <c r="S173" i="1"/>
  <c r="S280" i="1"/>
  <c r="S247" i="1"/>
  <c r="S194" i="1"/>
  <c r="S103" i="1"/>
  <c r="S212" i="1"/>
  <c r="S248" i="1"/>
  <c r="S47" i="1"/>
  <c r="S108" i="1"/>
  <c r="S79" i="1"/>
  <c r="S172" i="1"/>
  <c r="S185" i="1"/>
  <c r="S70" i="1"/>
  <c r="M292" i="1" l="1"/>
  <c r="M293" i="1"/>
  <c r="M297" i="1"/>
  <c r="M289" i="1"/>
  <c r="M296" i="1"/>
  <c r="M291" i="1"/>
  <c r="M300" i="1"/>
  <c r="M299" i="1"/>
  <c r="M298" i="1"/>
  <c r="M287" i="1"/>
  <c r="M290" i="1"/>
  <c r="M283" i="1"/>
  <c r="M294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U370" i="1"/>
  <c r="U338" i="1"/>
  <c r="U306" i="1"/>
  <c r="U366" i="1"/>
  <c r="U350" i="1"/>
  <c r="U334" i="1"/>
  <c r="U318" i="1"/>
  <c r="U302" i="1"/>
  <c r="T369" i="1"/>
  <c r="T353" i="1"/>
  <c r="T337" i="1"/>
  <c r="T321" i="1"/>
  <c r="T305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04" i="1"/>
  <c r="T304" i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U303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T289" i="1" l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87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82" i="1" l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<sst xmlns="http://schemas.openxmlformats.org/spreadsheetml/2006/main" count="460" uniqueCount="352">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</sst>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3269328"/>
        <c:axId val="283270448"/>
      </c:lineChart>
      <c:dateAx>
        <c:axId val="283269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70448"/>
        <c:crosses val="autoZero"/>
        <c:auto val="1"/>
        <c:lblOffset val="100"/>
        <c:baseTimeUnit val="days"/>
      </c:dateAx>
      <c:valAx>
        <c:axId val="2832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权益!$A$19:$A$52</c:f>
              <c:numCache>
                <c:formatCode>m/d/yyyy</c:formatCode>
                <c:ptCount val="34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</c:numCache>
            </c:numRef>
          </c:cat>
          <c:val>
            <c:numRef>
              <c:f>权益!$B$19:$B$52</c:f>
              <c:numCache>
                <c:formatCode>_ * #,##0_ ;_ * \-#,##0_ ;_ * "-"??_ ;_ @_ </c:formatCode>
                <c:ptCount val="34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3790288"/>
        <c:axId val="283793648"/>
      </c:lineChart>
      <c:dateAx>
        <c:axId val="283790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793648"/>
        <c:crosses val="autoZero"/>
        <c:auto val="1"/>
        <c:lblOffset val="100"/>
        <c:baseTimeUnit val="days"/>
      </c:dateAx>
      <c:valAx>
        <c:axId val="28379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79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workbookViewId="0">
      <pane ySplit="1" topLeftCell="A29" activePane="bottomLeft" state="frozen"/>
      <selection pane="bottomLeft" activeCell="D52" sqref="D52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0.26595744680851063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0.86988014763714383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C53" s="85">
        <f t="shared" si="1"/>
        <v>0</v>
      </c>
    </row>
    <row r="54" spans="1:3">
      <c r="A54" s="2">
        <v>43173</v>
      </c>
      <c r="C54" s="85">
        <f t="shared" si="1"/>
        <v>0</v>
      </c>
    </row>
    <row r="55" spans="1:3">
      <c r="A55" s="2">
        <v>43174</v>
      </c>
      <c r="C55" s="85">
        <f t="shared" si="1"/>
        <v>0</v>
      </c>
    </row>
    <row r="56" spans="1:3">
      <c r="A56" s="19">
        <v>43175</v>
      </c>
      <c r="B56" s="41"/>
      <c r="C56" s="86">
        <f t="shared" si="1"/>
        <v>0</v>
      </c>
    </row>
    <row r="57" spans="1:3">
      <c r="A57" s="2">
        <v>43178</v>
      </c>
      <c r="C57" s="85">
        <f t="shared" si="1"/>
        <v>0</v>
      </c>
    </row>
    <row r="58" spans="1:3">
      <c r="A58" s="2">
        <v>43179</v>
      </c>
      <c r="C58" s="85">
        <f t="shared" si="1"/>
        <v>0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tabSelected="1" workbookViewId="0">
      <pane ySplit="1" topLeftCell="A279" activePane="bottomLeft" state="frozen"/>
      <selection pane="bottomLeft" activeCell="B290" sqref="B29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282</v>
      </c>
      <c r="V1" s="64">
        <f>COUNTIF(M2:M9988,"&gt;0")</f>
        <v>75</v>
      </c>
      <c r="W1" s="64">
        <f>COUNTIF(M2:M9988,"&lt;0")</f>
        <v>202</v>
      </c>
      <c r="X1" s="64">
        <f>SUMIF(M2:M9988,"&gt;0")</f>
        <v>1063056.0499999998</v>
      </c>
      <c r="Y1" s="64">
        <f>ABS(SUMIF(M2:M9988,"&lt;0"))</f>
        <v>1222071.860000001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19"/>
      <c r="K295" s="31"/>
      <c r="L295" s="3"/>
      <c r="M295" s="14" t="str">
        <f t="shared" si="119"/>
        <v/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2">
        <v>43171</v>
      </c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3"/>
        <v/>
      </c>
      <c r="U302" s="13" t="str">
        <f t="shared" si="122"/>
        <v/>
      </c>
      <c r="W302" s="11"/>
    </row>
    <row r="303" spans="1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3"/>
        <v/>
      </c>
      <c r="U303" s="13" t="str">
        <f t="shared" si="122"/>
        <v/>
      </c>
      <c r="W303" s="11"/>
    </row>
    <row r="304" spans="1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3"/>
        <v/>
      </c>
      <c r="U304" s="13" t="str">
        <f t="shared" si="122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2018-03-13T09:03:36Z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