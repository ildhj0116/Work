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5" i="1" l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02" i="1"/>
  <c r="T302" i="1" s="1"/>
  <c r="S303" i="1"/>
  <c r="T303" i="1" s="1"/>
  <c r="S304" i="1"/>
  <c r="S305" i="1"/>
  <c r="U305" i="1" s="1"/>
  <c r="S306" i="1"/>
  <c r="T306" i="1" s="1"/>
  <c r="S307" i="1"/>
  <c r="T307" i="1" s="1"/>
  <c r="S308" i="1"/>
  <c r="S309" i="1"/>
  <c r="U309" i="1" s="1"/>
  <c r="S310" i="1"/>
  <c r="T310" i="1" s="1"/>
  <c r="S311" i="1"/>
  <c r="T311" i="1" s="1"/>
  <c r="S312" i="1"/>
  <c r="S313" i="1"/>
  <c r="U313" i="1" s="1"/>
  <c r="S314" i="1"/>
  <c r="T314" i="1" s="1"/>
  <c r="S315" i="1"/>
  <c r="T315" i="1" s="1"/>
  <c r="S316" i="1"/>
  <c r="S317" i="1"/>
  <c r="U317" i="1" s="1"/>
  <c r="S318" i="1"/>
  <c r="T318" i="1" s="1"/>
  <c r="S319" i="1"/>
  <c r="T319" i="1" s="1"/>
  <c r="S320" i="1"/>
  <c r="S321" i="1"/>
  <c r="U321" i="1" s="1"/>
  <c r="S322" i="1"/>
  <c r="T322" i="1" s="1"/>
  <c r="S323" i="1"/>
  <c r="T323" i="1" s="1"/>
  <c r="S324" i="1"/>
  <c r="S325" i="1"/>
  <c r="U325" i="1" s="1"/>
  <c r="S326" i="1"/>
  <c r="T326" i="1" s="1"/>
  <c r="S327" i="1"/>
  <c r="T327" i="1" s="1"/>
  <c r="S328" i="1"/>
  <c r="S329" i="1"/>
  <c r="U329" i="1" s="1"/>
  <c r="S330" i="1"/>
  <c r="T330" i="1" s="1"/>
  <c r="S331" i="1"/>
  <c r="T331" i="1" s="1"/>
  <c r="S332" i="1"/>
  <c r="S333" i="1"/>
  <c r="U333" i="1" s="1"/>
  <c r="S334" i="1"/>
  <c r="T334" i="1" s="1"/>
  <c r="S335" i="1"/>
  <c r="T335" i="1" s="1"/>
  <c r="S336" i="1"/>
  <c r="S337" i="1"/>
  <c r="U337" i="1" s="1"/>
  <c r="S338" i="1"/>
  <c r="T338" i="1" s="1"/>
  <c r="S339" i="1"/>
  <c r="T339" i="1" s="1"/>
  <c r="S340" i="1"/>
  <c r="S341" i="1"/>
  <c r="U341" i="1" s="1"/>
  <c r="S342" i="1"/>
  <c r="T342" i="1" s="1"/>
  <c r="S343" i="1"/>
  <c r="T343" i="1" s="1"/>
  <c r="S344" i="1"/>
  <c r="S345" i="1"/>
  <c r="U345" i="1" s="1"/>
  <c r="S346" i="1"/>
  <c r="T346" i="1" s="1"/>
  <c r="S347" i="1"/>
  <c r="T347" i="1" s="1"/>
  <c r="S348" i="1"/>
  <c r="S349" i="1"/>
  <c r="U349" i="1" s="1"/>
  <c r="S350" i="1"/>
  <c r="T350" i="1" s="1"/>
  <c r="S351" i="1"/>
  <c r="T351" i="1" s="1"/>
  <c r="S352" i="1"/>
  <c r="S353" i="1"/>
  <c r="U353" i="1" s="1"/>
  <c r="S354" i="1"/>
  <c r="T354" i="1" s="1"/>
  <c r="S355" i="1"/>
  <c r="T355" i="1" s="1"/>
  <c r="S356" i="1"/>
  <c r="S357" i="1"/>
  <c r="U357" i="1" s="1"/>
  <c r="S358" i="1"/>
  <c r="T358" i="1" s="1"/>
  <c r="S359" i="1"/>
  <c r="T359" i="1" s="1"/>
  <c r="S360" i="1"/>
  <c r="S361" i="1"/>
  <c r="U361" i="1" s="1"/>
  <c r="S362" i="1"/>
  <c r="T362" i="1" s="1"/>
  <c r="S363" i="1"/>
  <c r="T363" i="1" s="1"/>
  <c r="S364" i="1"/>
  <c r="S365" i="1"/>
  <c r="U365" i="1" s="1"/>
  <c r="S366" i="1"/>
  <c r="T366" i="1" s="1"/>
  <c r="S367" i="1"/>
  <c r="T367" i="1" s="1"/>
  <c r="S368" i="1"/>
  <c r="S369" i="1"/>
  <c r="U369" i="1" s="1"/>
  <c r="S370" i="1"/>
  <c r="T370" i="1" s="1"/>
  <c r="S371" i="1"/>
  <c r="T371" i="1" s="1"/>
  <c r="S25" i="1"/>
  <c r="S28" i="1"/>
  <c r="S29" i="1"/>
  <c r="S30" i="1"/>
  <c r="S31" i="1"/>
  <c r="S32" i="1"/>
  <c r="S34" i="1"/>
  <c r="M287" i="1"/>
  <c r="M289" i="1"/>
  <c r="M290" i="1"/>
  <c r="M291" i="1"/>
  <c r="M292" i="1"/>
  <c r="M293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I215" i="1"/>
  <c r="S300" i="1"/>
  <c r="S296" i="1"/>
  <c r="S102" i="1"/>
  <c r="S138" i="1"/>
  <c r="S15" i="1"/>
  <c r="S216" i="1"/>
  <c r="S179" i="1"/>
  <c r="S256" i="1"/>
  <c r="S8" i="1"/>
  <c r="S163" i="1"/>
  <c r="S214" i="1"/>
  <c r="S76" i="1"/>
  <c r="S129" i="1"/>
  <c r="S237" i="1"/>
  <c r="S154" i="1"/>
  <c r="S81" i="1"/>
  <c r="S261" i="1"/>
  <c r="S241" i="1"/>
  <c r="S9" i="1"/>
  <c r="S82" i="1"/>
  <c r="S169" i="1"/>
  <c r="S220" i="1"/>
  <c r="S57" i="1"/>
  <c r="S275" i="1"/>
  <c r="S288" i="1"/>
  <c r="S125" i="1"/>
  <c r="S271" i="1"/>
  <c r="S153" i="1"/>
  <c r="S68" i="1"/>
  <c r="S295" i="1"/>
  <c r="S197" i="1"/>
  <c r="S181" i="1"/>
  <c r="S217" i="1"/>
  <c r="S289" i="1"/>
  <c r="S168" i="1"/>
  <c r="S186" i="1"/>
  <c r="S93" i="1"/>
  <c r="S114" i="1"/>
  <c r="S92" i="1"/>
  <c r="S38" i="1"/>
  <c r="S10" i="1"/>
  <c r="S6" i="1"/>
  <c r="S264" i="1"/>
  <c r="S196" i="1"/>
  <c r="S67" i="1"/>
  <c r="S242" i="1"/>
  <c r="S41" i="1"/>
  <c r="S21" i="1"/>
  <c r="S279" i="1"/>
  <c r="S55" i="1"/>
  <c r="S238" i="1"/>
  <c r="S118" i="1"/>
  <c r="S178" i="1"/>
  <c r="S124" i="1"/>
  <c r="S53" i="1"/>
  <c r="S244" i="1"/>
  <c r="S262" i="1"/>
  <c r="S235" i="1"/>
  <c r="S145" i="1"/>
  <c r="S211" i="1"/>
  <c r="S49" i="1"/>
  <c r="S16" i="1"/>
  <c r="S14" i="1"/>
  <c r="S61" i="1"/>
  <c r="S284" i="1"/>
  <c r="S252" i="1"/>
  <c r="S101" i="1"/>
  <c r="S20" i="1"/>
  <c r="S98" i="1"/>
  <c r="S105" i="1"/>
  <c r="S290" i="1"/>
  <c r="S147" i="1"/>
  <c r="S116" i="1"/>
  <c r="S192" i="1"/>
  <c r="S257" i="1"/>
  <c r="S87" i="1"/>
  <c r="S96" i="1"/>
  <c r="S110" i="1"/>
  <c r="S69" i="1"/>
  <c r="S112" i="1"/>
  <c r="S249" i="1"/>
  <c r="S71" i="1"/>
  <c r="S123" i="1"/>
  <c r="S50" i="1"/>
  <c r="S227" i="1"/>
  <c r="S99" i="1"/>
  <c r="S206" i="1"/>
  <c r="S104" i="1"/>
  <c r="S151" i="1"/>
  <c r="S130" i="1"/>
  <c r="S131" i="1"/>
  <c r="S278" i="1"/>
  <c r="S269" i="1"/>
  <c r="S85" i="1"/>
  <c r="S250" i="1"/>
  <c r="S299" i="1"/>
  <c r="S294" i="1"/>
  <c r="S83" i="1"/>
  <c r="S74" i="1"/>
  <c r="S89" i="1"/>
  <c r="S113" i="1"/>
  <c r="S7" i="1"/>
  <c r="S33" i="1"/>
  <c r="S270" i="1"/>
  <c r="S94" i="1"/>
  <c r="S233" i="1"/>
  <c r="S90" i="1"/>
  <c r="S134" i="1"/>
  <c r="S60" i="1"/>
  <c r="S72" i="1"/>
  <c r="S121" i="1"/>
  <c r="S128" i="1"/>
  <c r="S86" i="1"/>
  <c r="S184" i="1"/>
  <c r="S51" i="1"/>
  <c r="S292" i="1"/>
  <c r="S167" i="1"/>
  <c r="S84" i="1"/>
  <c r="S210" i="1"/>
  <c r="S148" i="1"/>
  <c r="S232" i="1"/>
  <c r="S251" i="1"/>
  <c r="S158" i="1"/>
  <c r="S103" i="1"/>
  <c r="S291" i="1"/>
  <c r="S239" i="1"/>
  <c r="S140" i="1"/>
  <c r="S199" i="1"/>
  <c r="S88" i="1"/>
  <c r="S213" i="1"/>
  <c r="S54" i="1"/>
  <c r="S162" i="1"/>
  <c r="S268" i="1"/>
  <c r="S23" i="1"/>
  <c r="S188" i="1"/>
  <c r="S42" i="1"/>
  <c r="S97" i="1"/>
  <c r="S229" i="1"/>
  <c r="S59" i="1"/>
  <c r="S266" i="1"/>
  <c r="S27" i="1"/>
  <c r="S139" i="1"/>
  <c r="S176" i="1"/>
  <c r="S36" i="1"/>
  <c r="S285" i="1"/>
  <c r="S193" i="1"/>
  <c r="S170" i="1"/>
  <c r="S183" i="1"/>
  <c r="S43" i="1"/>
  <c r="S120" i="1"/>
  <c r="S287" i="1"/>
  <c r="S64" i="1"/>
  <c r="S17" i="1"/>
  <c r="S254" i="1"/>
  <c r="S127" i="1"/>
  <c r="S212" i="1"/>
  <c r="S63" i="1"/>
  <c r="S40" i="1"/>
  <c r="S258" i="1"/>
  <c r="S165" i="1"/>
  <c r="S95" i="1"/>
  <c r="S260" i="1"/>
  <c r="S224" i="1"/>
  <c r="S52" i="1"/>
  <c r="S132" i="1"/>
  <c r="S65" i="1"/>
  <c r="S205" i="1"/>
  <c r="S35" i="1"/>
  <c r="S107" i="1"/>
  <c r="S135" i="1"/>
  <c r="S174" i="1"/>
  <c r="S91" i="1"/>
  <c r="S11" i="1"/>
  <c r="S234" i="1"/>
  <c r="S245" i="1"/>
  <c r="S228" i="1"/>
  <c r="S219" i="1"/>
  <c r="S230" i="1"/>
  <c r="S77" i="1"/>
  <c r="S122" i="1"/>
  <c r="S282" i="1"/>
  <c r="S24" i="1"/>
  <c r="S3" i="1"/>
  <c r="S248" i="1"/>
  <c r="S58" i="1"/>
  <c r="S297" i="1"/>
  <c r="S215" i="1"/>
  <c r="S225" i="1"/>
  <c r="S209" i="1"/>
  <c r="S156" i="1"/>
  <c r="S19" i="1"/>
  <c r="S231" i="1"/>
  <c r="S80" i="1"/>
  <c r="S253" i="1"/>
  <c r="S273" i="1"/>
  <c r="S246" i="1"/>
  <c r="S149" i="1"/>
  <c r="S119" i="1"/>
  <c r="S152" i="1"/>
  <c r="S47" i="1"/>
  <c r="S200" i="1"/>
  <c r="S263" i="1"/>
  <c r="S236" i="1"/>
  <c r="S272" i="1"/>
  <c r="S109" i="1"/>
  <c r="S44" i="1"/>
  <c r="S190" i="1"/>
  <c r="S136" i="1"/>
  <c r="S177" i="1"/>
  <c r="S106" i="1"/>
  <c r="S46" i="1"/>
  <c r="S161" i="1"/>
  <c r="S4" i="1"/>
  <c r="S201" i="1"/>
  <c r="S142" i="1"/>
  <c r="S108" i="1"/>
  <c r="S218" i="1"/>
  <c r="S293" i="1"/>
  <c r="S75" i="1"/>
  <c r="S144" i="1"/>
  <c r="S143" i="1"/>
  <c r="S2" i="1"/>
  <c r="S283" i="1"/>
  <c r="S276" i="1"/>
  <c r="S208" i="1"/>
  <c r="S5" i="1"/>
  <c r="S45" i="1"/>
  <c r="S187" i="1"/>
  <c r="S207" i="1"/>
  <c r="S182" i="1"/>
  <c r="S126" i="1"/>
  <c r="S79" i="1"/>
  <c r="S222" i="1"/>
  <c r="S274" i="1"/>
  <c r="S166" i="1"/>
  <c r="S198" i="1"/>
  <c r="S150" i="1"/>
  <c r="S133" i="1"/>
  <c r="S66" i="1"/>
  <c r="S191" i="1"/>
  <c r="S240" i="1"/>
  <c r="S137" i="1"/>
  <c r="S13" i="1"/>
  <c r="S12" i="1"/>
  <c r="S221" i="1"/>
  <c r="S173" i="1"/>
  <c r="S111" i="1"/>
  <c r="S172" i="1"/>
  <c r="S78" i="1"/>
  <c r="S265" i="1"/>
  <c r="S203" i="1"/>
  <c r="S286" i="1"/>
  <c r="S39" i="1"/>
  <c r="S280" i="1"/>
  <c r="S18" i="1"/>
  <c r="S223" i="1"/>
  <c r="S26" i="1"/>
  <c r="S115" i="1"/>
  <c r="S277" i="1"/>
  <c r="S62" i="1"/>
  <c r="S100" i="1"/>
  <c r="S157" i="1"/>
  <c r="S56" i="1"/>
  <c r="S185" i="1"/>
  <c r="S146" i="1"/>
  <c r="S48" i="1"/>
  <c r="S298" i="1"/>
  <c r="S180" i="1"/>
  <c r="S226" i="1"/>
  <c r="S247" i="1"/>
  <c r="S175" i="1"/>
  <c r="S141" i="1"/>
  <c r="S202" i="1"/>
  <c r="S259" i="1"/>
  <c r="S37" i="1"/>
  <c r="S22" i="1"/>
  <c r="S267" i="1"/>
  <c r="S255" i="1"/>
  <c r="S243" i="1"/>
  <c r="S70" i="1"/>
  <c r="S171" i="1"/>
  <c r="S73" i="1"/>
  <c r="S155" i="1"/>
  <c r="S117" i="1"/>
  <c r="S189" i="1"/>
  <c r="S194" i="1"/>
  <c r="S204" i="1"/>
  <c r="S195" i="1"/>
  <c r="S159" i="1"/>
  <c r="S160" i="1"/>
  <c r="M283" i="1" l="1"/>
  <c r="M294" i="1"/>
  <c r="M278" i="1"/>
  <c r="M288" i="1"/>
  <c r="M286" i="1"/>
  <c r="M285" i="1"/>
  <c r="M263" i="1"/>
  <c r="M280" i="1"/>
  <c r="M282" i="1"/>
  <c r="M271" i="1"/>
  <c r="M284" i="1"/>
  <c r="M275" i="1"/>
  <c r="M279" i="1"/>
  <c r="M273" i="1"/>
  <c r="M270" i="1"/>
  <c r="M274" i="1"/>
  <c r="M277" i="1"/>
  <c r="M272" i="1"/>
  <c r="M276" i="1"/>
  <c r="M269" i="1"/>
  <c r="M268" i="1"/>
  <c r="M230" i="1"/>
  <c r="M267" i="1"/>
  <c r="M229" i="1"/>
  <c r="M238" i="1"/>
  <c r="M237" i="1"/>
  <c r="M241" i="1"/>
  <c r="M231" i="1"/>
  <c r="M233" i="1"/>
  <c r="M240" i="1"/>
  <c r="M236" i="1"/>
  <c r="M243" i="1"/>
  <c r="M266" i="1"/>
  <c r="M265" i="1"/>
  <c r="M258" i="1"/>
  <c r="M254" i="1"/>
  <c r="M260" i="1"/>
  <c r="M264" i="1"/>
  <c r="M246" i="1"/>
  <c r="M262" i="1"/>
  <c r="M259" i="1"/>
  <c r="M255" i="1"/>
  <c r="M256" i="1"/>
  <c r="M257" i="1"/>
  <c r="M261" i="1"/>
  <c r="M252" i="1"/>
  <c r="M253" i="1"/>
  <c r="M249" i="1"/>
  <c r="M248" i="1"/>
  <c r="M250" i="1"/>
  <c r="M251" i="1"/>
  <c r="M244" i="1"/>
  <c r="M247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M242" i="1"/>
  <c r="M232" i="1"/>
  <c r="M234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7" i="1"/>
  <c r="T309" i="1"/>
  <c r="T341" i="1"/>
  <c r="T325" i="1"/>
  <c r="U354" i="1"/>
  <c r="U322" i="1"/>
  <c r="U362" i="1"/>
  <c r="U346" i="1"/>
  <c r="U330" i="1"/>
  <c r="U314" i="1"/>
  <c r="T365" i="1"/>
  <c r="T349" i="1"/>
  <c r="T333" i="1"/>
  <c r="T317" i="1"/>
  <c r="T301" i="1"/>
  <c r="T285" i="1"/>
  <c r="T286" i="1" s="1"/>
  <c r="T287" i="1" s="1"/>
  <c r="T288" i="1" s="1"/>
  <c r="U288" i="1" s="1"/>
  <c r="U358" i="1"/>
  <c r="U342" i="1"/>
  <c r="U326" i="1"/>
  <c r="U310" i="1"/>
  <c r="T361" i="1"/>
  <c r="T345" i="1"/>
  <c r="T329" i="1"/>
  <c r="T313" i="1"/>
  <c r="U370" i="1"/>
  <c r="U338" i="1"/>
  <c r="U306" i="1"/>
  <c r="U366" i="1"/>
  <c r="U350" i="1"/>
  <c r="U334" i="1"/>
  <c r="U318" i="1"/>
  <c r="U302" i="1"/>
  <c r="T369" i="1"/>
  <c r="T353" i="1"/>
  <c r="T337" i="1"/>
  <c r="T321" i="1"/>
  <c r="T305" i="1"/>
  <c r="T220" i="1"/>
  <c r="T221" i="1" s="1"/>
  <c r="T222" i="1" s="1"/>
  <c r="U368" i="1"/>
  <c r="T368" i="1"/>
  <c r="U364" i="1"/>
  <c r="T364" i="1"/>
  <c r="U360" i="1"/>
  <c r="T360" i="1"/>
  <c r="U356" i="1"/>
  <c r="T356" i="1"/>
  <c r="U352" i="1"/>
  <c r="T352" i="1"/>
  <c r="U348" i="1"/>
  <c r="T348" i="1"/>
  <c r="U344" i="1"/>
  <c r="T344" i="1"/>
  <c r="U340" i="1"/>
  <c r="T340" i="1"/>
  <c r="U336" i="1"/>
  <c r="T336" i="1"/>
  <c r="U332" i="1"/>
  <c r="T332" i="1"/>
  <c r="U328" i="1"/>
  <c r="T328" i="1"/>
  <c r="U324" i="1"/>
  <c r="T324" i="1"/>
  <c r="U320" i="1"/>
  <c r="T320" i="1"/>
  <c r="U316" i="1"/>
  <c r="T316" i="1"/>
  <c r="U312" i="1"/>
  <c r="T312" i="1"/>
  <c r="U308" i="1"/>
  <c r="T308" i="1"/>
  <c r="U304" i="1"/>
  <c r="T304" i="1"/>
  <c r="T275" i="1"/>
  <c r="T276" i="1" s="1"/>
  <c r="T277" i="1" s="1"/>
  <c r="T278" i="1" s="1"/>
  <c r="T279" i="1" s="1"/>
  <c r="T280" i="1" s="1"/>
  <c r="U371" i="1"/>
  <c r="U367" i="1"/>
  <c r="U363" i="1"/>
  <c r="U359" i="1"/>
  <c r="U355" i="1"/>
  <c r="U351" i="1"/>
  <c r="U347" i="1"/>
  <c r="U343" i="1"/>
  <c r="U339" i="1"/>
  <c r="U335" i="1"/>
  <c r="U331" i="1"/>
  <c r="U327" i="1"/>
  <c r="U323" i="1"/>
  <c r="U319" i="1"/>
  <c r="U315" i="1"/>
  <c r="U311" i="1"/>
  <c r="U307" i="1"/>
  <c r="U303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U274" i="1" s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210" i="1"/>
  <c r="T289" i="1" l="1"/>
  <c r="T290" i="1" s="1"/>
  <c r="T291" i="1" s="1"/>
  <c r="T292" i="1" s="1"/>
  <c r="T293" i="1" s="1"/>
  <c r="T294" i="1" s="1"/>
  <c r="U294" i="1" s="1"/>
  <c r="T282" i="1"/>
  <c r="T283" i="1" s="1"/>
  <c r="U283" i="1" s="1"/>
  <c r="T281" i="1"/>
  <c r="U281" i="1" s="1"/>
  <c r="U287" i="1"/>
  <c r="U286" i="1"/>
  <c r="U285" i="1"/>
  <c r="U284" i="1"/>
  <c r="U280" i="1"/>
  <c r="U273" i="1"/>
  <c r="U279" i="1"/>
  <c r="U278" i="1"/>
  <c r="U277" i="1"/>
  <c r="U276" i="1"/>
  <c r="U275" i="1"/>
  <c r="U272" i="1"/>
  <c r="U270" i="1"/>
  <c r="U271" i="1"/>
  <c r="U269" i="1"/>
  <c r="U268" i="1"/>
  <c r="U267" i="1"/>
  <c r="U260" i="1"/>
  <c r="U266" i="1"/>
  <c r="U258" i="1"/>
  <c r="U263" i="1"/>
  <c r="U265" i="1"/>
  <c r="U261" i="1"/>
  <c r="U257" i="1"/>
  <c r="U264" i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82" i="1" l="1"/>
  <c r="U290" i="1"/>
  <c r="U291" i="1"/>
  <c r="T295" i="1"/>
  <c r="U292" i="1"/>
  <c r="U293" i="1"/>
  <c r="U289" i="1"/>
  <c r="U223" i="1"/>
  <c r="T224" i="1"/>
  <c r="I209" i="1"/>
  <c r="U209" i="1" s="1"/>
  <c r="I208" i="1"/>
  <c r="U208" i="1" s="1"/>
  <c r="I206" i="1"/>
  <c r="I207" i="1"/>
  <c r="U207" i="1" s="1"/>
  <c r="U295" i="1" l="1"/>
  <c r="T296" i="1"/>
  <c r="T225" i="1"/>
  <c r="U224" i="1"/>
  <c r="H205" i="1"/>
  <c r="I205" i="1" s="1"/>
  <c r="I204" i="1"/>
  <c r="T297" i="1" l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98" i="1" l="1"/>
  <c r="U297" i="1"/>
  <c r="T227" i="1"/>
  <c r="U226" i="1"/>
  <c r="M202" i="1"/>
  <c r="U203" i="1"/>
  <c r="U201" i="1"/>
  <c r="U200" i="1"/>
  <c r="U202" i="1"/>
  <c r="T299" i="1" l="1"/>
  <c r="U298" i="1"/>
  <c r="T228" i="1"/>
  <c r="U227" i="1"/>
  <c r="I199" i="1"/>
  <c r="T300" i="1" l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<sst xmlns="http://schemas.openxmlformats.org/spreadsheetml/2006/main" count="460" uniqueCount="352">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</sst>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8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2533056"/>
        <c:axId val="282534176"/>
      </c:lineChart>
      <c:dateAx>
        <c:axId val="282533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2534176"/>
        <c:crosses val="autoZero"/>
        <c:auto val="1"/>
        <c:lblOffset val="100"/>
        <c:baseTimeUnit val="days"/>
      </c:dateAx>
      <c:valAx>
        <c:axId val="28253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253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权益!$A$19:$A$52</c:f>
              <c:numCache>
                <c:formatCode>m/d/yyyy</c:formatCode>
                <c:ptCount val="34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</c:numCache>
            </c:numRef>
          </c:cat>
          <c:val>
            <c:numRef>
              <c:f>权益!$B$19:$B$52</c:f>
              <c:numCache>
                <c:formatCode>_ * #,##0_ ;_ * \-#,##0_ ;_ * "-"??_ ;_ @_ </c:formatCode>
                <c:ptCount val="34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  <c:pt idx="26">
                  <c:v>9644799</c:v>
                </c:pt>
                <c:pt idx="27">
                  <c:v>9631738</c:v>
                </c:pt>
                <c:pt idx="28">
                  <c:v>9596808</c:v>
                </c:pt>
                <c:pt idx="29">
                  <c:v>9571733</c:v>
                </c:pt>
                <c:pt idx="30">
                  <c:v>9542127</c:v>
                </c:pt>
                <c:pt idx="31">
                  <c:v>9625546</c:v>
                </c:pt>
                <c:pt idx="32">
                  <c:v>9807634</c:v>
                </c:pt>
                <c:pt idx="33">
                  <c:v>9639849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2532496"/>
        <c:axId val="501388512"/>
      </c:lineChart>
      <c:dateAx>
        <c:axId val="282532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1388512"/>
        <c:crosses val="autoZero"/>
        <c:auto val="1"/>
        <c:lblOffset val="100"/>
        <c:baseTimeUnit val="days"/>
      </c:dateAx>
      <c:valAx>
        <c:axId val="50138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253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1"/>
  <sheetViews>
    <sheetView tabSelected="1" workbookViewId="0">
      <pane ySplit="1" topLeftCell="A29" activePane="bottomLeft" state="frozen"/>
      <selection pane="bottomLeft" activeCell="A47" sqref="A47:C52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COUNTA(C2:C9978)</f>
        <v>48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0.26595744680851063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0.86988014763714383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61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C53" s="85">
        <f t="shared" si="1"/>
        <v>0</v>
      </c>
    </row>
    <row r="54" spans="1:3">
      <c r="A54" s="2">
        <v>43173</v>
      </c>
      <c r="C54" s="85">
        <f t="shared" si="1"/>
        <v>0</v>
      </c>
    </row>
    <row r="55" spans="1:3">
      <c r="A55" s="2">
        <v>43174</v>
      </c>
      <c r="C55" s="85">
        <f t="shared" si="1"/>
        <v>0</v>
      </c>
    </row>
    <row r="56" spans="1:3">
      <c r="A56" s="19">
        <v>43175</v>
      </c>
      <c r="B56" s="41"/>
      <c r="C56" s="86">
        <f t="shared" si="1"/>
        <v>0</v>
      </c>
    </row>
    <row r="57" spans="1:3">
      <c r="A57" s="2">
        <v>43178</v>
      </c>
      <c r="C57" s="85">
        <f t="shared" si="1"/>
        <v>0</v>
      </c>
    </row>
    <row r="58" spans="1:3">
      <c r="A58" s="2">
        <v>43179</v>
      </c>
      <c r="C58" s="85">
        <f t="shared" si="1"/>
        <v>0</v>
      </c>
    </row>
    <row r="59" spans="1:3">
      <c r="A59" s="2">
        <v>43180</v>
      </c>
      <c r="C59" s="85">
        <f t="shared" si="1"/>
        <v>0</v>
      </c>
    </row>
    <row r="60" spans="1:3">
      <c r="A60" s="2">
        <v>43181</v>
      </c>
      <c r="C60" s="85">
        <f t="shared" si="1"/>
        <v>0</v>
      </c>
    </row>
    <row r="61" spans="1:3">
      <c r="A61" s="19">
        <v>43182</v>
      </c>
      <c r="B61" s="41"/>
      <c r="C61" s="86">
        <f t="shared" si="1"/>
        <v>0</v>
      </c>
    </row>
    <row r="62" spans="1:3">
      <c r="A62" s="2">
        <v>43185</v>
      </c>
    </row>
    <row r="63" spans="1:3">
      <c r="A63" s="2">
        <v>43186</v>
      </c>
    </row>
    <row r="64" spans="1:3">
      <c r="A64" s="2">
        <v>43187</v>
      </c>
    </row>
    <row r="65" spans="1:3">
      <c r="A65" s="2">
        <v>43188</v>
      </c>
    </row>
    <row r="66" spans="1:3">
      <c r="A66" s="19">
        <v>43189</v>
      </c>
      <c r="B66" s="41"/>
      <c r="C66" s="4"/>
    </row>
    <row r="67" spans="1:3">
      <c r="A67" s="2">
        <v>43192</v>
      </c>
    </row>
    <row r="68" spans="1:3">
      <c r="A68" s="2">
        <v>43193</v>
      </c>
    </row>
    <row r="69" spans="1:3">
      <c r="A69" s="2">
        <v>43194</v>
      </c>
    </row>
    <row r="70" spans="1:3">
      <c r="A70" s="2">
        <v>43195</v>
      </c>
    </row>
    <row r="71" spans="1:3">
      <c r="A71" s="2">
        <v>43196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1"/>
  <sheetViews>
    <sheetView workbookViewId="0">
      <pane ySplit="1" topLeftCell="A267" activePane="bottomLeft" state="frozen"/>
      <selection pane="bottomLeft" activeCell="B290" sqref="B290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COUNT(M2:M9988)</f>
        <v>282</v>
      </c>
      <c r="V1" s="64">
        <f>COUNTIF(M2:M9988,"&gt;0")</f>
        <v>75</v>
      </c>
      <c r="W1" s="64">
        <f>COUNTIF(M2:M9988,"&lt;0")</f>
        <v>202</v>
      </c>
      <c r="X1" s="64">
        <f>SUMIF(M2:M9988,"&gt;0")</f>
        <v>1063056.0499999998</v>
      </c>
      <c r="Y1" s="64">
        <f>ABS(SUMIF(M2:M9988,"&lt;0"))</f>
        <v>1222071.860000001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39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0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48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0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19"/>
      <c r="K295" s="31"/>
      <c r="L295" s="3"/>
      <c r="M295" s="14" t="str">
        <f t="shared" si="119"/>
        <v/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2">
        <v>43171</v>
      </c>
      <c r="I301" s="17" t="str">
        <f t="shared" si="118"/>
        <v/>
      </c>
      <c r="M301" s="16" t="str">
        <f t="shared" si="119"/>
        <v/>
      </c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I302" s="17" t="str">
        <f t="shared" si="118"/>
        <v/>
      </c>
      <c r="M302" s="16" t="str">
        <f t="shared" si="119"/>
        <v/>
      </c>
      <c r="S302" t="str">
        <f>IF(B302="","",VLOOKUP(Cmt(B302),Sheet2!A:B,2,FALSE))</f>
        <v/>
      </c>
      <c r="T302" s="39" t="str">
        <f t="shared" si="123"/>
        <v/>
      </c>
      <c r="U302" s="13" t="str">
        <f t="shared" si="122"/>
        <v/>
      </c>
      <c r="W302" s="11"/>
    </row>
    <row r="303" spans="1:23">
      <c r="I303" s="17" t="str">
        <f t="shared" si="118"/>
        <v/>
      </c>
      <c r="M303" s="16" t="str">
        <f t="shared" si="119"/>
        <v/>
      </c>
      <c r="S303" t="str">
        <f>IF(B303="","",VLOOKUP(Cmt(B303),Sheet2!A:B,2,FALSE))</f>
        <v/>
      </c>
      <c r="T303" s="39" t="str">
        <f t="shared" si="123"/>
        <v/>
      </c>
      <c r="U303" s="13" t="str">
        <f t="shared" si="122"/>
        <v/>
      </c>
      <c r="W303" s="11"/>
    </row>
    <row r="304" spans="1:23">
      <c r="I304" s="17" t="str">
        <f t="shared" si="118"/>
        <v/>
      </c>
      <c r="M304" s="16" t="str">
        <f t="shared" si="119"/>
        <v/>
      </c>
      <c r="S304" t="str">
        <f>IF(B304="","",VLOOKUP(Cmt(B304),Sheet2!A:B,2,FALSE))</f>
        <v/>
      </c>
      <c r="T304" s="39" t="str">
        <f t="shared" si="123"/>
        <v/>
      </c>
      <c r="U304" s="13" t="str">
        <f t="shared" si="122"/>
        <v/>
      </c>
      <c r="W304" s="11"/>
    </row>
    <row r="305" spans="9:23">
      <c r="I305" s="17" t="str">
        <f t="shared" si="118"/>
        <v/>
      </c>
      <c r="M305" s="16" t="str">
        <f t="shared" si="119"/>
        <v/>
      </c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9:23">
      <c r="I306" s="17" t="str">
        <f t="shared" si="118"/>
        <v/>
      </c>
      <c r="M306" s="16" t="str">
        <f t="shared" si="119"/>
        <v/>
      </c>
      <c r="S306" t="str">
        <f>IF(B306="","",VLOOKUP(Cmt(B306),Sheet2!A:B,2,FALSE))</f>
        <v/>
      </c>
      <c r="T306" s="39" t="str">
        <f t="shared" si="123"/>
        <v/>
      </c>
      <c r="U306" s="13" t="str">
        <f t="shared" si="122"/>
        <v/>
      </c>
      <c r="W306" s="11"/>
    </row>
    <row r="307" spans="9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3"/>
        <v/>
      </c>
      <c r="U307" s="13" t="str">
        <f t="shared" si="122"/>
        <v/>
      </c>
      <c r="W307" s="11"/>
    </row>
    <row r="308" spans="9:23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3"/>
        <v/>
      </c>
      <c r="U308" s="13" t="str">
        <f t="shared" si="122"/>
        <v/>
      </c>
      <c r="W308" s="11"/>
    </row>
    <row r="309" spans="9:23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3"/>
        <v/>
      </c>
      <c r="U309" s="13" t="str">
        <f t="shared" si="122"/>
        <v/>
      </c>
      <c r="W309" s="11"/>
    </row>
    <row r="310" spans="9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3"/>
        <v/>
      </c>
      <c r="U310" s="13" t="str">
        <f t="shared" si="122"/>
        <v/>
      </c>
      <c r="W310" s="11"/>
    </row>
    <row r="311" spans="9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3"/>
        <v/>
      </c>
      <c r="U311" s="13" t="str">
        <f t="shared" si="122"/>
        <v/>
      </c>
      <c r="W311" s="11"/>
    </row>
    <row r="312" spans="9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3"/>
        <v/>
      </c>
      <c r="U312" s="13" t="str">
        <f t="shared" si="122"/>
        <v/>
      </c>
      <c r="W312" s="11"/>
    </row>
    <row r="313" spans="9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3"/>
        <v/>
      </c>
      <c r="U313" s="13" t="str">
        <f t="shared" si="122"/>
        <v/>
      </c>
      <c r="W313" s="11"/>
    </row>
    <row r="314" spans="9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3"/>
        <v/>
      </c>
      <c r="U314" s="13" t="str">
        <f t="shared" si="122"/>
        <v/>
      </c>
      <c r="W314" s="11"/>
    </row>
    <row r="315" spans="9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3"/>
        <v/>
      </c>
      <c r="U315" s="13" t="str">
        <f t="shared" si="122"/>
        <v/>
      </c>
      <c r="W315" s="11"/>
    </row>
    <row r="316" spans="9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3"/>
        <v/>
      </c>
      <c r="U316" s="13" t="str">
        <f t="shared" si="122"/>
        <v/>
      </c>
      <c r="W316" s="11"/>
    </row>
    <row r="317" spans="9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3"/>
        <v/>
      </c>
      <c r="U317" s="13" t="str">
        <f t="shared" si="122"/>
        <v/>
      </c>
      <c r="W317" s="11"/>
    </row>
    <row r="318" spans="9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3"/>
        <v/>
      </c>
      <c r="U318" s="13" t="str">
        <f t="shared" si="122"/>
        <v/>
      </c>
      <c r="W318" s="11"/>
    </row>
    <row r="319" spans="9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3"/>
        <v/>
      </c>
      <c r="U319" s="13" t="str">
        <f t="shared" si="122"/>
        <v/>
      </c>
      <c r="W319" s="11"/>
    </row>
    <row r="320" spans="9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3"/>
        <v/>
      </c>
      <c r="U320" s="13" t="str">
        <f t="shared" si="122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3"/>
        <v/>
      </c>
      <c r="U321" s="13" t="str">
        <f t="shared" si="122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3"/>
        <v/>
      </c>
      <c r="U322" s="13" t="str">
        <f t="shared" si="122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3"/>
        <v/>
      </c>
      <c r="U323" s="13" t="str">
        <f t="shared" si="122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3"/>
        <v/>
      </c>
      <c r="U324" s="13" t="str">
        <f t="shared" si="122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3"/>
        <v/>
      </c>
      <c r="U325" s="13" t="str">
        <f t="shared" si="122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3"/>
        <v/>
      </c>
      <c r="U326" s="13" t="str">
        <f t="shared" si="122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3"/>
        <v/>
      </c>
      <c r="U327" s="13" t="str">
        <f t="shared" si="122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3"/>
        <v/>
      </c>
      <c r="U328" s="13" t="str">
        <f t="shared" si="122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3"/>
        <v/>
      </c>
      <c r="U329" s="13" t="str">
        <f t="shared" si="122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3"/>
        <v/>
      </c>
      <c r="U330" s="13" t="str">
        <f t="shared" si="122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3"/>
        <v/>
      </c>
      <c r="U331" s="13" t="str">
        <f t="shared" si="122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3"/>
        <v/>
      </c>
      <c r="U332" s="13" t="str">
        <f t="shared" si="122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3"/>
        <v/>
      </c>
      <c r="U333" s="13" t="str">
        <f t="shared" si="122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3"/>
        <v/>
      </c>
      <c r="U334" s="13" t="str">
        <f t="shared" si="122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3"/>
        <v/>
      </c>
      <c r="U335" s="13" t="str">
        <f t="shared" si="122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3"/>
        <v/>
      </c>
      <c r="U336" s="13" t="str">
        <f t="shared" si="122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3"/>
        <v/>
      </c>
      <c r="U337" s="13" t="str">
        <f t="shared" si="122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3"/>
        <v/>
      </c>
      <c r="U338" s="13" t="str">
        <f t="shared" si="122"/>
        <v/>
      </c>
      <c r="W338" s="11"/>
    </row>
    <row r="339" spans="9:23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9:23">
      <c r="I340" s="17" t="str">
        <f t="shared" ref="I340:I371" si="125">IF(G340="","",G340*H340)</f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9:23">
      <c r="I341" s="17" t="str">
        <f t="shared" si="125"/>
        <v/>
      </c>
      <c r="M341" s="16" t="str">
        <f t="shared" ref="M341:M371" si="126">IF(J341="","",C341*(J341-D341)*S341)</f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9:23">
      <c r="I342" s="17" t="str">
        <f t="shared" si="125"/>
        <v/>
      </c>
      <c r="M342" s="16" t="str">
        <f t="shared" si="126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9:23">
      <c r="I343" s="17" t="str">
        <f t="shared" si="125"/>
        <v/>
      </c>
      <c r="M343" s="16" t="str">
        <f t="shared" si="126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9:23">
      <c r="I344" s="17" t="str">
        <f t="shared" si="125"/>
        <v/>
      </c>
      <c r="M344" s="16" t="str">
        <f t="shared" si="126"/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9:23">
      <c r="I345" s="17" t="str">
        <f t="shared" si="125"/>
        <v/>
      </c>
      <c r="M345" s="16" t="str">
        <f t="shared" si="126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9:23">
      <c r="I346" s="17" t="str">
        <f t="shared" si="125"/>
        <v/>
      </c>
      <c r="M346" s="16" t="str">
        <f t="shared" si="126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9:23">
      <c r="I347" s="17" t="str">
        <f t="shared" si="125"/>
        <v/>
      </c>
      <c r="M347" s="16" t="str">
        <f t="shared" si="126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9:23">
      <c r="I348" s="17" t="str">
        <f t="shared" si="125"/>
        <v/>
      </c>
      <c r="M348" s="16" t="str">
        <f t="shared" si="126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9:23">
      <c r="I349" s="17" t="str">
        <f t="shared" si="125"/>
        <v/>
      </c>
      <c r="M349" s="16" t="str">
        <f t="shared" si="126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ref="U349:U371" si="127">IF(S349="","",T349*I349/(D349*S349*0.15))</f>
        <v/>
      </c>
      <c r="W349" s="11"/>
    </row>
    <row r="350" spans="9:23">
      <c r="I350" s="17" t="str">
        <f t="shared" si="125"/>
        <v/>
      </c>
      <c r="M350" s="16" t="str">
        <f t="shared" si="126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7"/>
        <v/>
      </c>
      <c r="W350" s="11"/>
    </row>
    <row r="351" spans="9:23">
      <c r="I351" s="17" t="str">
        <f t="shared" si="125"/>
        <v/>
      </c>
      <c r="M351" s="16" t="str">
        <f t="shared" si="126"/>
        <v/>
      </c>
      <c r="S351" t="str">
        <f>IF(B351="","",VLOOKUP(Cmt(B351),Sheet2!A:B,2,FALSE))</f>
        <v/>
      </c>
      <c r="T351" s="39" t="str">
        <f t="shared" ref="T351:T371" si="128">IF(S351="","",T350)</f>
        <v/>
      </c>
      <c r="U351" s="13" t="str">
        <f t="shared" si="127"/>
        <v/>
      </c>
      <c r="W351" s="11"/>
    </row>
    <row r="352" spans="9:23">
      <c r="I352" s="17" t="str">
        <f t="shared" si="125"/>
        <v/>
      </c>
      <c r="M352" s="16" t="str">
        <f t="shared" si="126"/>
        <v/>
      </c>
      <c r="S352" t="str">
        <f>IF(B352="","",VLOOKUP(Cmt(B352),Sheet2!A:B,2,FALSE))</f>
        <v/>
      </c>
      <c r="T352" s="39" t="str">
        <f t="shared" si="128"/>
        <v/>
      </c>
      <c r="U352" s="13" t="str">
        <f t="shared" si="127"/>
        <v/>
      </c>
      <c r="W352" s="11"/>
    </row>
    <row r="353" spans="9:23">
      <c r="I353" s="17" t="str">
        <f t="shared" si="125"/>
        <v/>
      </c>
      <c r="M353" s="16" t="str">
        <f t="shared" si="126"/>
        <v/>
      </c>
      <c r="S353" t="str">
        <f>IF(B353="","",VLOOKUP(Cmt(B353),Sheet2!A:B,2,FALSE))</f>
        <v/>
      </c>
      <c r="T353" s="39" t="str">
        <f t="shared" si="128"/>
        <v/>
      </c>
      <c r="U353" s="13" t="str">
        <f t="shared" si="127"/>
        <v/>
      </c>
      <c r="W353" s="11"/>
    </row>
    <row r="354" spans="9:23">
      <c r="I354" s="17" t="str">
        <f t="shared" si="125"/>
        <v/>
      </c>
      <c r="M354" s="16" t="str">
        <f t="shared" si="126"/>
        <v/>
      </c>
      <c r="S354" t="str">
        <f>IF(B354="","",VLOOKUP(Cmt(B354),Sheet2!A:B,2,FALSE))</f>
        <v/>
      </c>
      <c r="T354" s="39" t="str">
        <f t="shared" si="128"/>
        <v/>
      </c>
      <c r="U354" s="13" t="str">
        <f t="shared" si="127"/>
        <v/>
      </c>
      <c r="W354" s="11"/>
    </row>
    <row r="355" spans="9:23">
      <c r="I355" s="17" t="str">
        <f t="shared" si="125"/>
        <v/>
      </c>
      <c r="M355" s="16" t="str">
        <f t="shared" si="126"/>
        <v/>
      </c>
      <c r="S355" t="str">
        <f>IF(B355="","",VLOOKUP(Cmt(B355),Sheet2!A:B,2,FALSE))</f>
        <v/>
      </c>
      <c r="T355" s="39" t="str">
        <f t="shared" si="128"/>
        <v/>
      </c>
      <c r="U355" s="13" t="str">
        <f t="shared" si="127"/>
        <v/>
      </c>
      <c r="W355" s="11"/>
    </row>
    <row r="356" spans="9:23">
      <c r="I356" s="17" t="str">
        <f t="shared" si="125"/>
        <v/>
      </c>
      <c r="M356" s="16" t="str">
        <f t="shared" si="126"/>
        <v/>
      </c>
      <c r="S356" t="str">
        <f>IF(B356="","",VLOOKUP(Cmt(B356),Sheet2!A:B,2,FALSE))</f>
        <v/>
      </c>
      <c r="T356" s="39" t="str">
        <f t="shared" si="128"/>
        <v/>
      </c>
      <c r="U356" s="13" t="str">
        <f t="shared" si="127"/>
        <v/>
      </c>
      <c r="W356" s="11"/>
    </row>
    <row r="357" spans="9:23">
      <c r="I357" s="17" t="str">
        <f t="shared" si="125"/>
        <v/>
      </c>
      <c r="M357" s="16" t="str">
        <f t="shared" si="126"/>
        <v/>
      </c>
      <c r="S357" t="str">
        <f>IF(B357="","",VLOOKUP(Cmt(B357),Sheet2!A:B,2,FALSE))</f>
        <v/>
      </c>
      <c r="T357" s="39" t="str">
        <f t="shared" si="128"/>
        <v/>
      </c>
      <c r="U357" s="13" t="str">
        <f t="shared" si="127"/>
        <v/>
      </c>
      <c r="W357" s="11"/>
    </row>
    <row r="358" spans="9:23">
      <c r="I358" s="17" t="str">
        <f t="shared" si="125"/>
        <v/>
      </c>
      <c r="M358" s="16" t="str">
        <f t="shared" si="126"/>
        <v/>
      </c>
      <c r="S358" t="str">
        <f>IF(B358="","",VLOOKUP(Cmt(B358),Sheet2!A:B,2,FALSE))</f>
        <v/>
      </c>
      <c r="T358" s="39" t="str">
        <f t="shared" si="128"/>
        <v/>
      </c>
      <c r="U358" s="13" t="str">
        <f t="shared" si="127"/>
        <v/>
      </c>
      <c r="W358" s="11"/>
    </row>
    <row r="359" spans="9:23">
      <c r="I359" s="17" t="str">
        <f t="shared" si="125"/>
        <v/>
      </c>
      <c r="M359" s="16" t="str">
        <f t="shared" si="126"/>
        <v/>
      </c>
      <c r="S359" t="str">
        <f>IF(B359="","",VLOOKUP(Cmt(B359),Sheet2!A:B,2,FALSE))</f>
        <v/>
      </c>
      <c r="T359" s="39" t="str">
        <f t="shared" si="128"/>
        <v/>
      </c>
      <c r="U359" s="13" t="str">
        <f t="shared" si="127"/>
        <v/>
      </c>
      <c r="W359" s="11"/>
    </row>
    <row r="360" spans="9:23">
      <c r="I360" s="17" t="str">
        <f t="shared" si="125"/>
        <v/>
      </c>
      <c r="M360" s="16" t="str">
        <f t="shared" si="126"/>
        <v/>
      </c>
      <c r="S360" t="str">
        <f>IF(B360="","",VLOOKUP(Cmt(B360),Sheet2!A:B,2,FALSE))</f>
        <v/>
      </c>
      <c r="T360" s="39" t="str">
        <f t="shared" si="128"/>
        <v/>
      </c>
      <c r="U360" s="13" t="str">
        <f t="shared" si="127"/>
        <v/>
      </c>
      <c r="W360" s="11"/>
    </row>
    <row r="361" spans="9:23">
      <c r="I361" s="17" t="str">
        <f t="shared" si="125"/>
        <v/>
      </c>
      <c r="M361" s="16" t="str">
        <f t="shared" si="126"/>
        <v/>
      </c>
      <c r="S361" t="str">
        <f>IF(B361="","",VLOOKUP(Cmt(B361),Sheet2!A:B,2,FALSE))</f>
        <v/>
      </c>
      <c r="T361" s="39" t="str">
        <f t="shared" si="128"/>
        <v/>
      </c>
      <c r="U361" s="13" t="str">
        <f t="shared" si="127"/>
        <v/>
      </c>
      <c r="W361" s="11"/>
    </row>
    <row r="362" spans="9:23">
      <c r="I362" s="17" t="str">
        <f t="shared" si="125"/>
        <v/>
      </c>
      <c r="M362" s="16" t="str">
        <f t="shared" si="126"/>
        <v/>
      </c>
      <c r="S362" t="str">
        <f>IF(B362="","",VLOOKUP(Cmt(B362),Sheet2!A:B,2,FALSE))</f>
        <v/>
      </c>
      <c r="T362" s="39" t="str">
        <f t="shared" si="128"/>
        <v/>
      </c>
      <c r="U362" s="13" t="str">
        <f t="shared" si="127"/>
        <v/>
      </c>
      <c r="W362" s="11"/>
    </row>
    <row r="363" spans="9:23">
      <c r="I363" s="17" t="str">
        <f t="shared" si="125"/>
        <v/>
      </c>
      <c r="M363" s="16" t="str">
        <f t="shared" si="126"/>
        <v/>
      </c>
      <c r="S363" t="str">
        <f>IF(B363="","",VLOOKUP(Cmt(B363),Sheet2!A:B,2,FALSE))</f>
        <v/>
      </c>
      <c r="T363" s="39" t="str">
        <f t="shared" si="128"/>
        <v/>
      </c>
      <c r="U363" s="13" t="str">
        <f t="shared" si="127"/>
        <v/>
      </c>
      <c r="W363" s="11"/>
    </row>
    <row r="364" spans="9:23">
      <c r="I364" s="17" t="str">
        <f t="shared" si="125"/>
        <v/>
      </c>
      <c r="M364" s="16" t="str">
        <f t="shared" si="126"/>
        <v/>
      </c>
      <c r="S364" t="str">
        <f>IF(B364="","",VLOOKUP(Cmt(B364),Sheet2!A:B,2,FALSE))</f>
        <v/>
      </c>
      <c r="T364" s="39" t="str">
        <f t="shared" si="128"/>
        <v/>
      </c>
      <c r="U364" s="13" t="str">
        <f t="shared" si="127"/>
        <v/>
      </c>
      <c r="W364" s="11"/>
    </row>
    <row r="365" spans="9:23">
      <c r="I365" s="17" t="str">
        <f t="shared" si="125"/>
        <v/>
      </c>
      <c r="M365" s="16" t="str">
        <f t="shared" si="126"/>
        <v/>
      </c>
      <c r="S365" t="str">
        <f>IF(B365="","",VLOOKUP(Cmt(B365),Sheet2!A:B,2,FALSE))</f>
        <v/>
      </c>
      <c r="T365" s="39" t="str">
        <f t="shared" si="128"/>
        <v/>
      </c>
      <c r="U365" s="13" t="str">
        <f t="shared" si="127"/>
        <v/>
      </c>
      <c r="W365" s="11"/>
    </row>
    <row r="366" spans="9:23">
      <c r="I366" s="17" t="str">
        <f t="shared" si="125"/>
        <v/>
      </c>
      <c r="M366" s="16" t="str">
        <f t="shared" si="126"/>
        <v/>
      </c>
      <c r="S366" t="str">
        <f>IF(B366="","",VLOOKUP(Cmt(B366),Sheet2!A:B,2,FALSE))</f>
        <v/>
      </c>
      <c r="T366" s="39" t="str">
        <f t="shared" si="128"/>
        <v/>
      </c>
      <c r="U366" s="13" t="str">
        <f t="shared" si="127"/>
        <v/>
      </c>
      <c r="W366" s="11"/>
    </row>
    <row r="367" spans="9:23">
      <c r="I367" s="17" t="str">
        <f t="shared" si="125"/>
        <v/>
      </c>
      <c r="M367" s="16" t="str">
        <f t="shared" si="126"/>
        <v/>
      </c>
      <c r="S367" t="str">
        <f>IF(B367="","",VLOOKUP(Cmt(B367),Sheet2!A:B,2,FALSE))</f>
        <v/>
      </c>
      <c r="T367" s="39" t="str">
        <f t="shared" si="128"/>
        <v/>
      </c>
      <c r="U367" s="13" t="str">
        <f t="shared" si="127"/>
        <v/>
      </c>
      <c r="W367" s="11"/>
    </row>
    <row r="368" spans="9:23">
      <c r="I368" s="17" t="str">
        <f t="shared" si="125"/>
        <v/>
      </c>
      <c r="M368" s="16" t="str">
        <f t="shared" si="126"/>
        <v/>
      </c>
      <c r="S368" t="str">
        <f>IF(B368="","",VLOOKUP(Cmt(B368),Sheet2!A:B,2,FALSE))</f>
        <v/>
      </c>
      <c r="T368" s="39" t="str">
        <f t="shared" si="128"/>
        <v/>
      </c>
      <c r="U368" s="13" t="str">
        <f t="shared" si="127"/>
        <v/>
      </c>
      <c r="W368" s="11"/>
    </row>
    <row r="369" spans="9:23">
      <c r="I369" s="17" t="str">
        <f t="shared" si="125"/>
        <v/>
      </c>
      <c r="M369" s="16" t="str">
        <f t="shared" si="126"/>
        <v/>
      </c>
      <c r="S369" t="str">
        <f>IF(B369="","",VLOOKUP(Cmt(B369),Sheet2!A:B,2,FALSE))</f>
        <v/>
      </c>
      <c r="T369" s="39" t="str">
        <f t="shared" si="128"/>
        <v/>
      </c>
      <c r="U369" s="13" t="str">
        <f t="shared" si="127"/>
        <v/>
      </c>
      <c r="W369" s="11"/>
    </row>
    <row r="370" spans="9:23">
      <c r="I370" s="17" t="str">
        <f t="shared" si="125"/>
        <v/>
      </c>
      <c r="M370" s="16" t="str">
        <f t="shared" si="126"/>
        <v/>
      </c>
      <c r="S370" t="str">
        <f>IF(B370="","",VLOOKUP(Cmt(B370),Sheet2!A:B,2,FALSE))</f>
        <v/>
      </c>
      <c r="T370" s="39" t="str">
        <f t="shared" si="128"/>
        <v/>
      </c>
      <c r="U370" s="13" t="str">
        <f t="shared" si="127"/>
        <v/>
      </c>
      <c r="W370" s="11"/>
    </row>
    <row r="371" spans="9:23">
      <c r="I371" s="17" t="str">
        <f t="shared" si="125"/>
        <v/>
      </c>
      <c r="M371" s="16" t="str">
        <f t="shared" si="126"/>
        <v/>
      </c>
      <c r="S371" t="str">
        <f>IF(B371="","",VLOOKUP(Cmt(B371),Sheet2!A:B,2,FALSE))</f>
        <v/>
      </c>
      <c r="T371" s="39" t="str">
        <f t="shared" si="128"/>
        <v/>
      </c>
      <c r="U371" s="13" t="str">
        <f t="shared" si="127"/>
        <v/>
      </c>
      <c r="W371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2018-03-12T09:23:55Z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