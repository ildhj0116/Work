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Quantitative\Xuwj\trend indicator\"/>
    </mc:Choice>
  </mc:AlternateContent>
  <bookViews>
    <workbookView xWindow="0" yWindow="0" windowWidth="27870" windowHeight="12885" activeTab="1"/>
  </bookViews>
  <sheets>
    <sheet name="Input" sheetId="1" r:id="rId1"/>
    <sheet name="Spot" sheetId="3" r:id="rId2"/>
    <sheet name="Basis" sheetId="4" r:id="rId3"/>
    <sheet name="Ratio" sheetId="2" r:id="rId4"/>
    <sheet name="Analysis" sheetId="5" r:id="rId5"/>
  </sheets>
  <definedNames>
    <definedName name="infortable">#REF!</definedName>
    <definedName name="totalnum">Input!$E$1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" i="1" l="1"/>
  <c r="A34" i="4" l="1"/>
  <c r="A34" i="2"/>
  <c r="A34" i="3"/>
  <c r="A33" i="2" l="1"/>
  <c r="A33" i="4"/>
  <c r="A33" i="3"/>
  <c r="B33" i="1" l="1"/>
  <c r="C33" i="1"/>
  <c r="D33" i="1"/>
  <c r="B3" i="1" l="1"/>
  <c r="C3" i="1"/>
  <c r="D3" i="1"/>
  <c r="B4" i="1"/>
  <c r="C4" i="1"/>
  <c r="D4" i="1"/>
  <c r="B5" i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B11" i="1"/>
  <c r="C11" i="1"/>
  <c r="D11" i="1"/>
  <c r="B12" i="1"/>
  <c r="C12" i="1"/>
  <c r="D12" i="1"/>
  <c r="B13" i="1"/>
  <c r="C13" i="1"/>
  <c r="D13" i="1"/>
  <c r="B14" i="1"/>
  <c r="C14" i="1"/>
  <c r="D14" i="1"/>
  <c r="B15" i="1"/>
  <c r="C15" i="1"/>
  <c r="D15" i="1"/>
  <c r="B16" i="1"/>
  <c r="C16" i="1"/>
  <c r="D16" i="1"/>
  <c r="B17" i="1"/>
  <c r="C17" i="1"/>
  <c r="D17" i="1"/>
  <c r="B18" i="1"/>
  <c r="C18" i="1"/>
  <c r="D18" i="1"/>
  <c r="B19" i="1"/>
  <c r="C19" i="1"/>
  <c r="D19" i="1"/>
  <c r="B20" i="1"/>
  <c r="C20" i="1"/>
  <c r="D20" i="1"/>
  <c r="B21" i="1"/>
  <c r="C21" i="1"/>
  <c r="D21" i="1"/>
  <c r="B22" i="1"/>
  <c r="C22" i="1"/>
  <c r="D22" i="1"/>
  <c r="B23" i="1"/>
  <c r="C23" i="1"/>
  <c r="D23" i="1"/>
  <c r="B24" i="1"/>
  <c r="C24" i="1"/>
  <c r="D24" i="1"/>
  <c r="B25" i="1"/>
  <c r="C25" i="1"/>
  <c r="D25" i="1"/>
  <c r="B26" i="1"/>
  <c r="C26" i="1"/>
  <c r="D26" i="1"/>
  <c r="B27" i="1"/>
  <c r="C27" i="1"/>
  <c r="D27" i="1"/>
  <c r="B28" i="1"/>
  <c r="C28" i="1"/>
  <c r="D28" i="1"/>
  <c r="B29" i="1"/>
  <c r="C29" i="1"/>
  <c r="D29" i="1"/>
  <c r="B30" i="1"/>
  <c r="C30" i="1"/>
  <c r="D30" i="1"/>
  <c r="B31" i="1"/>
  <c r="C31" i="1"/>
  <c r="D31" i="1"/>
  <c r="B32" i="1"/>
  <c r="C32" i="1"/>
  <c r="D32" i="1"/>
  <c r="D2" i="1"/>
  <c r="B2" i="1"/>
  <c r="C2" i="1"/>
  <c r="A32" i="2" l="1"/>
  <c r="A32" i="4"/>
  <c r="A32" i="3"/>
  <c r="Q3" i="5" l="1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2" i="5"/>
  <c r="R3" i="5"/>
  <c r="R4" i="5"/>
  <c r="R5" i="5"/>
  <c r="R6" i="5"/>
  <c r="R7" i="5"/>
  <c r="R8" i="5"/>
  <c r="R9" i="5"/>
  <c r="R10" i="5"/>
  <c r="R11" i="5"/>
  <c r="R12" i="5"/>
  <c r="R13" i="5"/>
  <c r="R14" i="5"/>
  <c r="R15" i="5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2" i="5"/>
  <c r="P3" i="5" l="1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2" i="5"/>
  <c r="E6" i="1"/>
  <c r="E1" i="1" l="1"/>
  <c r="A3" i="2" l="1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2" i="2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2" i="4"/>
  <c r="A3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2" i="3"/>
</calcChain>
</file>

<file path=xl/sharedStrings.xml><?xml version="1.0" encoding="utf-8"?>
<sst xmlns="http://schemas.openxmlformats.org/spreadsheetml/2006/main" count="112" uniqueCount="80">
  <si>
    <t>焦煤</t>
  </si>
  <si>
    <t>焦炭</t>
  </si>
  <si>
    <t>螺纹钢</t>
  </si>
  <si>
    <t>铁矿石</t>
  </si>
  <si>
    <t>棕榈油</t>
  </si>
  <si>
    <t>菜粕</t>
  </si>
  <si>
    <t>锌</t>
  </si>
  <si>
    <t>热卷</t>
  </si>
  <si>
    <t>豆一</t>
  </si>
  <si>
    <t>动力煤</t>
  </si>
  <si>
    <t>棉花</t>
  </si>
  <si>
    <t>甲醇</t>
  </si>
  <si>
    <t>沥青</t>
  </si>
  <si>
    <t>LLDPE</t>
  </si>
  <si>
    <t>白糖</t>
  </si>
  <si>
    <t>中证500</t>
  </si>
  <si>
    <t>上证50</t>
  </si>
  <si>
    <t>沪深300</t>
  </si>
  <si>
    <t>铜</t>
  </si>
  <si>
    <t>淀粉</t>
  </si>
  <si>
    <t>铝</t>
  </si>
  <si>
    <t>PP</t>
  </si>
  <si>
    <t>玉米</t>
  </si>
  <si>
    <t>镍</t>
  </si>
  <si>
    <t>豆油</t>
  </si>
  <si>
    <t>菜油</t>
  </si>
  <si>
    <t>PTA</t>
  </si>
  <si>
    <t>豆粕</t>
  </si>
  <si>
    <t>天胶</t>
  </si>
  <si>
    <t>玻璃</t>
  </si>
  <si>
    <t>品种</t>
    <phoneticPr fontId="1" type="noConversion"/>
  </si>
  <si>
    <t>复制栏</t>
    <phoneticPr fontId="1" type="noConversion"/>
  </si>
  <si>
    <t>基差</t>
    <phoneticPr fontId="1" type="noConversion"/>
  </si>
  <si>
    <t>贴水幅度</t>
    <phoneticPr fontId="1" type="noConversion"/>
  </si>
  <si>
    <t>现货价格</t>
    <phoneticPr fontId="1" type="noConversion"/>
  </si>
  <si>
    <t>当日现货</t>
    <phoneticPr fontId="1" type="noConversion"/>
  </si>
  <si>
    <t>Code</t>
    <phoneticPr fontId="1" type="noConversion"/>
  </si>
  <si>
    <t>JM</t>
    <phoneticPr fontId="1" type="noConversion"/>
  </si>
  <si>
    <t>J</t>
    <phoneticPr fontId="1" type="noConversion"/>
  </si>
  <si>
    <t>RB</t>
    <phoneticPr fontId="1" type="noConversion"/>
  </si>
  <si>
    <t>I</t>
    <phoneticPr fontId="1" type="noConversion"/>
  </si>
  <si>
    <t>P</t>
    <phoneticPr fontId="1" type="noConversion"/>
  </si>
  <si>
    <t>RM</t>
    <phoneticPr fontId="1" type="noConversion"/>
  </si>
  <si>
    <t>ZN</t>
    <phoneticPr fontId="1" type="noConversion"/>
  </si>
  <si>
    <t>HC</t>
    <phoneticPr fontId="1" type="noConversion"/>
  </si>
  <si>
    <t>A</t>
    <phoneticPr fontId="1" type="noConversion"/>
  </si>
  <si>
    <t>ZC</t>
    <phoneticPr fontId="1" type="noConversion"/>
  </si>
  <si>
    <t>CF</t>
    <phoneticPr fontId="1" type="noConversion"/>
  </si>
  <si>
    <t>MA</t>
    <phoneticPr fontId="1" type="noConversion"/>
  </si>
  <si>
    <t>BU</t>
    <phoneticPr fontId="1" type="noConversion"/>
  </si>
  <si>
    <t>L</t>
    <phoneticPr fontId="1" type="noConversion"/>
  </si>
  <si>
    <t>SR</t>
    <phoneticPr fontId="1" type="noConversion"/>
  </si>
  <si>
    <t>IC</t>
    <phoneticPr fontId="1" type="noConversion"/>
  </si>
  <si>
    <t>IH</t>
    <phoneticPr fontId="1" type="noConversion"/>
  </si>
  <si>
    <t>IF</t>
    <phoneticPr fontId="1" type="noConversion"/>
  </si>
  <si>
    <t>CU</t>
    <phoneticPr fontId="1" type="noConversion"/>
  </si>
  <si>
    <t>CS</t>
    <phoneticPr fontId="1" type="noConversion"/>
  </si>
  <si>
    <t>AL</t>
    <phoneticPr fontId="1" type="noConversion"/>
  </si>
  <si>
    <t>PP</t>
    <phoneticPr fontId="1" type="noConversion"/>
  </si>
  <si>
    <t>C</t>
    <phoneticPr fontId="1" type="noConversion"/>
  </si>
  <si>
    <t>NI</t>
    <phoneticPr fontId="1" type="noConversion"/>
  </si>
  <si>
    <t>Y</t>
    <phoneticPr fontId="1" type="noConversion"/>
  </si>
  <si>
    <t>OI</t>
    <phoneticPr fontId="1" type="noConversion"/>
  </si>
  <si>
    <t>TA</t>
    <phoneticPr fontId="1" type="noConversion"/>
  </si>
  <si>
    <t>M</t>
    <phoneticPr fontId="1" type="noConversion"/>
  </si>
  <si>
    <t>RU</t>
    <phoneticPr fontId="1" type="noConversion"/>
  </si>
  <si>
    <t>FG</t>
    <phoneticPr fontId="1" type="noConversion"/>
  </si>
  <si>
    <t>Code</t>
    <phoneticPr fontId="1" type="noConversion"/>
  </si>
  <si>
    <t>Code</t>
    <phoneticPr fontId="1" type="noConversion"/>
  </si>
  <si>
    <t>品种</t>
    <phoneticPr fontId="1" type="noConversion"/>
  </si>
  <si>
    <t>当日贴水幅度</t>
    <phoneticPr fontId="1" type="noConversion"/>
  </si>
  <si>
    <t>基差涨跌幅</t>
    <phoneticPr fontId="1" type="noConversion"/>
  </si>
  <si>
    <t>棉纱</t>
    <phoneticPr fontId="1" type="noConversion"/>
  </si>
  <si>
    <t>CY</t>
    <phoneticPr fontId="1" type="noConversion"/>
  </si>
  <si>
    <t>棉纱</t>
  </si>
  <si>
    <t>对应A列</t>
    <phoneticPr fontId="1" type="noConversion"/>
  </si>
  <si>
    <t>PVC</t>
  </si>
  <si>
    <t>PVC</t>
    <phoneticPr fontId="1" type="noConversion"/>
  </si>
  <si>
    <t>V</t>
    <phoneticPr fontId="1" type="noConversion"/>
  </si>
  <si>
    <t>AP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</si>
</sst>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%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11"/>
      <color rgb="FF00B050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theme="0" tint="-0.1499984740745262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76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/>
    <xf numFmtId="0" fontId="8" fillId="0" borderId="0"/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/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/>
    <xf numFmtId="9" fontId="8" fillId="0" borderId="0" applyFont="0" applyFill="0" applyBorder="0" applyAlignment="0" applyProtection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9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</cellStyleXfs>
  <cellXfs count="26">
    <xf numFmtId="0" fontId="0" fillId="0" borderId="0" xfId="0">
      <alignment vertical="center"/>
    </xf>
    <xf numFmtId="0" fontId="0" fillId="2" borderId="0" xfId="0" applyFill="1" applyBorder="1">
      <alignment vertical="center"/>
    </xf>
    <xf numFmtId="1" fontId="0" fillId="2" borderId="0" xfId="0" applyNumberFormat="1" applyFill="1" applyBorder="1">
      <alignment vertical="center"/>
    </xf>
    <xf numFmtId="176" fontId="0" fillId="2" borderId="0" xfId="1" applyNumberFormat="1" applyFont="1" applyFill="1" applyBorder="1">
      <alignment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>
      <alignment vertical="center"/>
    </xf>
    <xf numFmtId="0" fontId="0" fillId="3" borderId="2" xfId="0" applyFill="1" applyBorder="1" applyAlignment="1">
      <alignment horizontal="center" vertical="center"/>
    </xf>
    <xf numFmtId="176" fontId="0" fillId="3" borderId="2" xfId="1" applyNumberFormat="1" applyFont="1" applyFill="1" applyBorder="1" applyAlignment="1">
      <alignment horizontal="center" vertical="center"/>
    </xf>
    <xf numFmtId="14" fontId="3" fillId="3" borderId="0" xfId="0" applyNumberFormat="1" applyFont="1" applyFill="1" applyBorder="1">
      <alignment vertical="center"/>
    </xf>
    <xf numFmtId="0" fontId="4" fillId="3" borderId="0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0" borderId="5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1" applyNumberFormat="1" applyFont="1">
      <alignment vertical="center"/>
    </xf>
    <xf numFmtId="176" fontId="0" fillId="0" borderId="1" xfId="1" applyNumberFormat="1" applyFont="1" applyBorder="1" applyAlignment="1">
      <alignment horizontal="center" vertical="center"/>
    </xf>
    <xf numFmtId="176" fontId="0" fillId="0" borderId="0" xfId="1" applyNumberFormat="1" applyFont="1" applyAlignment="1">
      <alignment horizontal="center" vertical="center"/>
    </xf>
    <xf numFmtId="0" fontId="0" fillId="3" borderId="0" xfId="0" applyFill="1">
      <alignment vertical="center"/>
    </xf>
    <xf numFmtId="0" fontId="0" fillId="3" borderId="4" xfId="0" applyFill="1" applyBorder="1">
      <alignment vertical="center"/>
    </xf>
    <xf numFmtId="9" fontId="0" fillId="2" borderId="0" xfId="1" applyFont="1" applyFill="1" applyBorder="1">
      <alignment vertical="center"/>
    </xf>
    <xf numFmtId="0" fontId="7" fillId="3" borderId="0" xfId="0" applyFont="1" applyFill="1" applyBorder="1">
      <alignment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</cellXfs>
  <cellStyles count="76">
    <cellStyle name="百分比" xfId="1" builtinId="5"/>
    <cellStyle name="百分比 2" xfId="4"/>
    <cellStyle name="百分比 2 2" xfId="9"/>
    <cellStyle name="百分比 3" xfId="16"/>
    <cellStyle name="百分比 3 2" xfId="14"/>
    <cellStyle name="百分比 4" xfId="8"/>
    <cellStyle name="百分比 4 2" xfId="13"/>
    <cellStyle name="百分比 5" xfId="10"/>
    <cellStyle name="百分比 6" xfId="3"/>
    <cellStyle name="常规" xfId="0" builtinId="0"/>
    <cellStyle name="常规 10" xfId="15"/>
    <cellStyle name="常规 11" xfId="17"/>
    <cellStyle name="常规 12" xfId="7"/>
    <cellStyle name="常规 13" xfId="18"/>
    <cellStyle name="常规 14" xfId="19"/>
    <cellStyle name="常规 15" xfId="21"/>
    <cellStyle name="常规 16" xfId="12"/>
    <cellStyle name="常规 17" xfId="22"/>
    <cellStyle name="常规 18" xfId="23"/>
    <cellStyle name="常规 19" xfId="24"/>
    <cellStyle name="常规 2" xfId="25"/>
    <cellStyle name="常规 20" xfId="20"/>
    <cellStyle name="常规 21" xfId="11"/>
    <cellStyle name="常规 22" xfId="41"/>
    <cellStyle name="常规 22 2" xfId="62"/>
    <cellStyle name="常规 23" xfId="42"/>
    <cellStyle name="常规 23 2" xfId="63"/>
    <cellStyle name="常规 24" xfId="43"/>
    <cellStyle name="常规 24 2" xfId="64"/>
    <cellStyle name="常规 25" xfId="44"/>
    <cellStyle name="常规 25 2" xfId="65"/>
    <cellStyle name="常规 26" xfId="45"/>
    <cellStyle name="常规 26 2" xfId="66"/>
    <cellStyle name="常规 27" xfId="48"/>
    <cellStyle name="常规 27 2" xfId="69"/>
    <cellStyle name="常规 28" xfId="46"/>
    <cellStyle name="常规 28 2" xfId="67"/>
    <cellStyle name="常规 29" xfId="49"/>
    <cellStyle name="常规 29 2" xfId="70"/>
    <cellStyle name="常规 3" xfId="26"/>
    <cellStyle name="常规 3 2" xfId="27"/>
    <cellStyle name="常规 30" xfId="47"/>
    <cellStyle name="常规 30 2" xfId="68"/>
    <cellStyle name="常规 31" xfId="50"/>
    <cellStyle name="常规 31 2" xfId="71"/>
    <cellStyle name="常规 32" xfId="51"/>
    <cellStyle name="常规 32 2" xfId="72"/>
    <cellStyle name="常规 33" xfId="52"/>
    <cellStyle name="常规 33 2" xfId="73"/>
    <cellStyle name="常规 34" xfId="53"/>
    <cellStyle name="常规 34 2" xfId="74"/>
    <cellStyle name="常规 35" xfId="54"/>
    <cellStyle name="常规 35 2" xfId="75"/>
    <cellStyle name="常规 36" xfId="55"/>
    <cellStyle name="常规 37" xfId="56"/>
    <cellStyle name="常规 38" xfId="57"/>
    <cellStyle name="常规 39" xfId="58"/>
    <cellStyle name="常规 4" xfId="28"/>
    <cellStyle name="常规 4 2" xfId="29"/>
    <cellStyle name="常规 4 2 2" xfId="31"/>
    <cellStyle name="常规 4 2 2 2" xfId="32"/>
    <cellStyle name="常规 4 2 3" xfId="33"/>
    <cellStyle name="常规 4 3" xfId="34"/>
    <cellStyle name="常规 4 3 2" xfId="35"/>
    <cellStyle name="常规 4 4" xfId="30"/>
    <cellStyle name="常规 40" xfId="61"/>
    <cellStyle name="常规 41" xfId="59"/>
    <cellStyle name="常规 42" xfId="60"/>
    <cellStyle name="常规 43" xfId="2"/>
    <cellStyle name="常规 5" xfId="36"/>
    <cellStyle name="常规 5 2" xfId="6"/>
    <cellStyle name="常规 6" xfId="5"/>
    <cellStyle name="常规 6 2" xfId="37"/>
    <cellStyle name="常规 7" xfId="38"/>
    <cellStyle name="常规 8" xfId="39"/>
    <cellStyle name="常规 9" xfId="4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Input!$L$1</c:f>
          <c:strCache>
            <c:ptCount val="1"/>
            <c:pt idx="0">
              <c:v>2018-1-26</c:v>
            </c:pt>
          </c:strCache>
        </c:strRef>
      </c:tx>
      <c:layout>
        <c:manualLayout>
          <c:xMode val="edge"/>
          <c:yMode val="edge"/>
          <c:x val="3.9107195594211552E-2"/>
          <c:y val="1.61453060594901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6D646F1-E71B-4DA2-B24E-32BE28837789}" type="CELLRANGE">
                      <a:rPr lang="en-US" altLang="zh-CN"/>
                      <a:pPr/>
                      <a:t>[CELLRANGE]</a:t>
                    </a:fld>
                    <a:endParaRPr lang="zh-CN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A2A-4FAB-B5A7-1F624BA56F8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7790CF9-E9A5-4FFF-B545-4636B301278D}" type="CELLRANGE">
                      <a:rPr lang="zh-CN" altLang="en-US"/>
                      <a:pPr/>
                      <a:t>[CELLRANGE]</a:t>
                    </a:fld>
                    <a:endParaRPr lang="zh-CN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A2A-4FAB-B5A7-1F624BA56F8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9BFD864-22C1-4A64-8E92-9FF63AB0A81C}" type="CELLRANGE">
                      <a:rPr lang="zh-CN" altLang="en-US"/>
                      <a:pPr/>
                      <a:t>[CELLRANGE]</a:t>
                    </a:fld>
                    <a:endParaRPr lang="zh-CN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A2A-4FAB-B5A7-1F624BA56F8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1299949-3C1D-49AC-99DE-29C424FF9579}" type="CELLRANGE">
                      <a:rPr lang="zh-CN" altLang="en-US"/>
                      <a:pPr/>
                      <a:t>[CELLRANGE]</a:t>
                    </a:fld>
                    <a:endParaRPr lang="zh-CN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A2A-4FAB-B5A7-1F624BA56F8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CEE0874-5435-4416-8D89-88670A75900C}" type="CELLRANGE">
                      <a:rPr lang="zh-CN" altLang="en-US"/>
                      <a:pPr/>
                      <a:t>[CELLRANGE]</a:t>
                    </a:fld>
                    <a:endParaRPr lang="zh-CN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A2A-4FAB-B5A7-1F624BA56F8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99C0E42-9A97-4178-A912-0DABE6B95E24}" type="CELLRANGE">
                      <a:rPr lang="zh-CN" altLang="en-US"/>
                      <a:pPr/>
                      <a:t>[CELLRANGE]</a:t>
                    </a:fld>
                    <a:endParaRPr lang="zh-CN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A2A-4FAB-B5A7-1F624BA56F8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C846ECF-CEFE-4371-ABD1-0E8FBC1152B0}" type="CELLRANGE">
                      <a:rPr lang="zh-CN" altLang="en-US"/>
                      <a:pPr/>
                      <a:t>[CELLRANGE]</a:t>
                    </a:fld>
                    <a:endParaRPr lang="zh-CN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A2A-4FAB-B5A7-1F624BA56F8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54AFDC8-B388-4580-814C-A99B53F7A1C9}" type="CELLRANGE">
                      <a:rPr lang="zh-CN" altLang="en-US"/>
                      <a:pPr/>
                      <a:t>[CELLRANGE]</a:t>
                    </a:fld>
                    <a:endParaRPr lang="zh-CN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A2A-4FAB-B5A7-1F624BA56F8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694D0F5-25B5-4389-AA65-27F4E310E1FD}" type="CELLRANGE">
                      <a:rPr lang="zh-CN" altLang="en-US"/>
                      <a:pPr/>
                      <a:t>[CELLRANGE]</a:t>
                    </a:fld>
                    <a:endParaRPr lang="zh-CN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A2A-4FAB-B5A7-1F624BA56F8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F4D648D-838B-43DB-844F-6E890B964AB0}" type="CELLRANGE">
                      <a:rPr lang="zh-CN" altLang="en-US"/>
                      <a:pPr/>
                      <a:t>[CELLRANGE]</a:t>
                    </a:fld>
                    <a:endParaRPr lang="zh-CN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A2A-4FAB-B5A7-1F624BA56F8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8200234-1C27-4D64-AAA4-B3AB8689FD57}" type="CELLRANGE">
                      <a:rPr lang="zh-CN" altLang="en-US"/>
                      <a:pPr/>
                      <a:t>[CELLRANGE]</a:t>
                    </a:fld>
                    <a:endParaRPr lang="zh-CN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A2A-4FAB-B5A7-1F624BA56F8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01198B0-029F-4572-8858-9F40C96EBE51}" type="CELLRANGE">
                      <a:rPr lang="zh-CN" altLang="en-US"/>
                      <a:pPr/>
                      <a:t>[CELLRANGE]</a:t>
                    </a:fld>
                    <a:endParaRPr lang="zh-CN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A2A-4FAB-B5A7-1F624BA56F8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C4B9DFF-15B5-4E6A-AF9F-68B71EA29C4C}" type="CELLRANGE">
                      <a:rPr lang="zh-CN" altLang="en-US"/>
                      <a:pPr/>
                      <a:t>[CELLRANGE]</a:t>
                    </a:fld>
                    <a:endParaRPr lang="zh-CN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A2A-4FAB-B5A7-1F624BA56F8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6818D6A-2CC4-4D7F-B6DB-590177D9D4B2}" type="CELLRANGE">
                      <a:rPr lang="zh-CN" altLang="en-US"/>
                      <a:pPr/>
                      <a:t>[CELLRANGE]</a:t>
                    </a:fld>
                    <a:endParaRPr lang="zh-CN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A2A-4FAB-B5A7-1F624BA56F8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43168CE-C2E9-468B-9072-61C29029A42D}" type="CELLRANGE">
                      <a:rPr lang="zh-CN" altLang="en-US"/>
                      <a:pPr/>
                      <a:t>[CELLRANGE]</a:t>
                    </a:fld>
                    <a:endParaRPr lang="zh-CN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A2A-4FAB-B5A7-1F624BA56F8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BC85B93-AA70-4965-A791-7300CC347206}" type="CELLRANGE">
                      <a:rPr lang="zh-CN" altLang="en-US"/>
                      <a:pPr/>
                      <a:t>[CELLRANGE]</a:t>
                    </a:fld>
                    <a:endParaRPr lang="zh-CN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A2A-4FAB-B5A7-1F624BA56F8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ACA562A-ABA1-4961-943E-365288A758DF}" type="CELLRANGE">
                      <a:rPr lang="zh-CN" altLang="en-US"/>
                      <a:pPr/>
                      <a:t>[CELLRANGE]</a:t>
                    </a:fld>
                    <a:endParaRPr lang="zh-CN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A2A-4FAB-B5A7-1F624BA56F8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4CA275F-7765-497A-8B60-DFA251BBED57}" type="CELLRANGE">
                      <a:rPr lang="zh-CN" altLang="en-US"/>
                      <a:pPr/>
                      <a:t>[CELLRANGE]</a:t>
                    </a:fld>
                    <a:endParaRPr lang="zh-CN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A2A-4FAB-B5A7-1F624BA56F8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2D00C5A-E137-4BFC-9FF8-39CBAAFDDFB2}" type="CELLRANGE">
                      <a:rPr lang="zh-CN" altLang="en-US"/>
                      <a:pPr/>
                      <a:t>[CELLRANGE]</a:t>
                    </a:fld>
                    <a:endParaRPr lang="zh-CN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A2A-4FAB-B5A7-1F624BA56F8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6D6462D-2790-41E4-BB2C-4BABFD0D611E}" type="CELLRANGE">
                      <a:rPr lang="zh-CN" altLang="en-US"/>
                      <a:pPr/>
                      <a:t>[CELLRANGE]</a:t>
                    </a:fld>
                    <a:endParaRPr lang="zh-CN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A2A-4FAB-B5A7-1F624BA56F8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7B923BF-0DC1-40A1-BDB7-8FEBD2CA5E12}" type="CELLRANGE">
                      <a:rPr lang="zh-CN" altLang="en-US"/>
                      <a:pPr/>
                      <a:t>[CELLRANGE]</a:t>
                    </a:fld>
                    <a:endParaRPr lang="zh-CN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A2A-4FAB-B5A7-1F624BA56F8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B60475C-4EC0-4975-8D43-A2C93BC6048C}" type="CELLRANGE">
                      <a:rPr lang="zh-CN" altLang="en-US"/>
                      <a:pPr/>
                      <a:t>[CELLRANGE]</a:t>
                    </a:fld>
                    <a:endParaRPr lang="zh-CN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A2A-4FAB-B5A7-1F624BA56F8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CC294E8-2CE1-45A0-893E-EF81BEA8969B}" type="CELLRANGE">
                      <a:rPr lang="zh-CN" altLang="en-US"/>
                      <a:pPr/>
                      <a:t>[CELLRANGE]</a:t>
                    </a:fld>
                    <a:endParaRPr lang="zh-CN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A2A-4FAB-B5A7-1F624BA56F8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36ED184-862D-4CED-9991-5CA05CAAA23A}" type="CELLRANGE">
                      <a:rPr lang="zh-CN" altLang="en-US"/>
                      <a:pPr/>
                      <a:t>[CELLRANGE]</a:t>
                    </a:fld>
                    <a:endParaRPr lang="zh-CN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A2A-4FAB-B5A7-1F624BA56F8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78784B7-3335-4398-AC04-7DB2211C47BC}" type="CELLRANGE">
                      <a:rPr lang="zh-CN" altLang="en-US"/>
                      <a:pPr/>
                      <a:t>[CELLRANGE]</a:t>
                    </a:fld>
                    <a:endParaRPr lang="zh-CN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A2A-4FAB-B5A7-1F624BA56F8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91E754A-B29D-4966-8E1A-A3B79E92CDA1}" type="CELLRANGE">
                      <a:rPr lang="zh-CN" altLang="en-US"/>
                      <a:pPr/>
                      <a:t>[CELLRANGE]</a:t>
                    </a:fld>
                    <a:endParaRPr lang="zh-CN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A2A-4FAB-B5A7-1F624BA56F8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FEBE72B-0709-4A5C-B654-9BF32CEA6151}" type="CELLRANGE">
                      <a:rPr lang="zh-CN" altLang="en-US"/>
                      <a:pPr/>
                      <a:t>[CELLRANGE]</a:t>
                    </a:fld>
                    <a:endParaRPr lang="zh-CN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A2A-4FAB-B5A7-1F624BA56F8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27C00DE-14E7-452E-9DA9-6904CE7F541A}" type="CELLRANGE">
                      <a:rPr lang="zh-CN" altLang="en-US"/>
                      <a:pPr/>
                      <a:t>[CELLRANGE]</a:t>
                    </a:fld>
                    <a:endParaRPr lang="zh-CN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A2A-4FAB-B5A7-1F624BA56F8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90F07A1-1E07-438F-8D63-7E66AEBAC0CD}" type="CELLRANGE">
                      <a:rPr lang="zh-CN" altLang="en-US"/>
                      <a:pPr/>
                      <a:t>[CELLRANGE]</a:t>
                    </a:fld>
                    <a:endParaRPr lang="zh-CN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A2A-4FAB-B5A7-1F624BA56F8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033A214-90D4-4B25-B4FE-0A79D7A6C3DD}" type="CELLRANGE">
                      <a:rPr lang="zh-CN" altLang="en-US"/>
                      <a:pPr/>
                      <a:t>[CELLRANGE]</a:t>
                    </a:fld>
                    <a:endParaRPr lang="zh-CN" alt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A2A-4FAB-B5A7-1F624BA56F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Analysis!$Q$2:$Q$31</c:f>
              <c:numCache>
                <c:formatCode>0.0%</c:formatCode>
                <c:ptCount val="30"/>
                <c:pt idx="0">
                  <c:v>5.5147058823529415E-3</c:v>
                </c:pt>
                <c:pt idx="1">
                  <c:v>-4.9512195121951222E-2</c:v>
                </c:pt>
                <c:pt idx="2">
                  <c:v>4.7263681592039797E-3</c:v>
                </c:pt>
                <c:pt idx="3">
                  <c:v>2.8275734614673937E-2</c:v>
                </c:pt>
                <c:pt idx="4">
                  <c:v>7.7821011673151756E-4</c:v>
                </c:pt>
                <c:pt idx="5">
                  <c:v>4.8888888888888888E-3</c:v>
                </c:pt>
                <c:pt idx="6">
                  <c:v>3.8284839203675346E-4</c:v>
                </c:pt>
                <c:pt idx="7">
                  <c:v>-1.4563106796116505E-3</c:v>
                </c:pt>
                <c:pt idx="8">
                  <c:v>3.8356164383561643E-3</c:v>
                </c:pt>
                <c:pt idx="9">
                  <c:v>4.0000000000000001E-3</c:v>
                </c:pt>
                <c:pt idx="10">
                  <c:v>3.8834951456310678E-3</c:v>
                </c:pt>
                <c:pt idx="11">
                  <c:v>1.2903225806451613E-3</c:v>
                </c:pt>
                <c:pt idx="12">
                  <c:v>1.6666666666666668E-3</c:v>
                </c:pt>
                <c:pt idx="13">
                  <c:v>3.5605289928789421E-3</c:v>
                </c:pt>
                <c:pt idx="14">
                  <c:v>1.0050251256281408E-3</c:v>
                </c:pt>
                <c:pt idx="15">
                  <c:v>1.3619760067051184E-3</c:v>
                </c:pt>
                <c:pt idx="16">
                  <c:v>-5.7879290223737765E-4</c:v>
                </c:pt>
                <c:pt idx="17">
                  <c:v>-4.3305336812967575E-4</c:v>
                </c:pt>
                <c:pt idx="18">
                  <c:v>-1.8793459875963165E-4</c:v>
                </c:pt>
                <c:pt idx="19">
                  <c:v>-4.4444444444444447E-4</c:v>
                </c:pt>
                <c:pt idx="20">
                  <c:v>2.7662517289073307E-3</c:v>
                </c:pt>
                <c:pt idx="21">
                  <c:v>6.5256288811704035E-3</c:v>
                </c:pt>
                <c:pt idx="22">
                  <c:v>5.4054054054054057E-3</c:v>
                </c:pt>
                <c:pt idx="23">
                  <c:v>1.100828056502679E-2</c:v>
                </c:pt>
                <c:pt idx="24">
                  <c:v>-5.7142857142857143E-3</c:v>
                </c:pt>
                <c:pt idx="25">
                  <c:v>0</c:v>
                </c:pt>
                <c:pt idx="26">
                  <c:v>4.3975373790677225E-3</c:v>
                </c:pt>
                <c:pt idx="27">
                  <c:v>1.4134275618374558E-3</c:v>
                </c:pt>
                <c:pt idx="28">
                  <c:v>0</c:v>
                </c:pt>
                <c:pt idx="29">
                  <c:v>-1.3793103448275861E-3</c:v>
                </c:pt>
              </c:numCache>
            </c:numRef>
          </c:xVal>
          <c:yVal>
            <c:numRef>
              <c:f>Analysis!$R$2:$R$31</c:f>
              <c:numCache>
                <c:formatCode>0.0%</c:formatCode>
                <c:ptCount val="30"/>
                <c:pt idx="0">
                  <c:v>4.0152963671128104E-2</c:v>
                </c:pt>
                <c:pt idx="1">
                  <c:v>2.9354207436399216E-3</c:v>
                </c:pt>
                <c:pt idx="2">
                  <c:v>1.9269776876267748E-2</c:v>
                </c:pt>
                <c:pt idx="3">
                  <c:v>4.1578440808469723E-2</c:v>
                </c:pt>
                <c:pt idx="4">
                  <c:v>-1.9083969465648856E-2</c:v>
                </c:pt>
                <c:pt idx="5">
                  <c:v>-2.0461471484545059E-2</c:v>
                </c:pt>
                <c:pt idx="6">
                  <c:v>-1.5290519877675841E-3</c:v>
                </c:pt>
                <c:pt idx="7">
                  <c:v>3.9616452182689881E-2</c:v>
                </c:pt>
                <c:pt idx="8">
                  <c:v>3.6048822026681804E-2</c:v>
                </c:pt>
                <c:pt idx="9">
                  <c:v>0.11906893464637414</c:v>
                </c:pt>
                <c:pt idx="10">
                  <c:v>-4.1894940380277149E-3</c:v>
                </c:pt>
                <c:pt idx="11">
                  <c:v>9.8511693834160169E-2</c:v>
                </c:pt>
                <c:pt idx="12">
                  <c:v>-0.17582417582417584</c:v>
                </c:pt>
                <c:pt idx="13">
                  <c:v>-1.4536340852130326E-2</c:v>
                </c:pt>
                <c:pt idx="14">
                  <c:v>2.8069571207163767E-2</c:v>
                </c:pt>
                <c:pt idx="15">
                  <c:v>-1.0631977235065058E-4</c:v>
                </c:pt>
                <c:pt idx="16">
                  <c:v>-3.3138951592675287E-3</c:v>
                </c:pt>
                <c:pt idx="17">
                  <c:v>-2.9429142805201176E-3</c:v>
                </c:pt>
                <c:pt idx="18">
                  <c:v>-1.8758206715438004E-3</c:v>
                </c:pt>
                <c:pt idx="19">
                  <c:v>7.8102539530426451E-2</c:v>
                </c:pt>
                <c:pt idx="20">
                  <c:v>-5.1599587203302374E-3</c:v>
                </c:pt>
                <c:pt idx="21">
                  <c:v>-7.1062806980875743E-3</c:v>
                </c:pt>
                <c:pt idx="22">
                  <c:v>3.2942490228922393E-2</c:v>
                </c:pt>
                <c:pt idx="23">
                  <c:v>-1.0411645618432469E-2</c:v>
                </c:pt>
                <c:pt idx="24">
                  <c:v>-3.614457831325301E-2</c:v>
                </c:pt>
                <c:pt idx="25">
                  <c:v>1.3786764705882353E-2</c:v>
                </c:pt>
                <c:pt idx="26">
                  <c:v>-7.8534031413612562E-3</c:v>
                </c:pt>
                <c:pt idx="27">
                  <c:v>2.3508137432188065E-2</c:v>
                </c:pt>
                <c:pt idx="28">
                  <c:v>-0.13748191027496381</c:v>
                </c:pt>
                <c:pt idx="29">
                  <c:v>-2.5537634408602152E-2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Analysis!$P$2:$P$31</c15:f>
                <c15:dlblRangeCache>
                  <c:ptCount val="30"/>
                  <c:pt idx="0">
                    <c:v>JM</c:v>
                  </c:pt>
                  <c:pt idx="1">
                    <c:v>J</c:v>
                  </c:pt>
                  <c:pt idx="2">
                    <c:v>RB</c:v>
                  </c:pt>
                  <c:pt idx="3">
                    <c:v>I</c:v>
                  </c:pt>
                  <c:pt idx="4">
                    <c:v>P</c:v>
                  </c:pt>
                  <c:pt idx="5">
                    <c:v>RM</c:v>
                  </c:pt>
                  <c:pt idx="6">
                    <c:v>ZN</c:v>
                  </c:pt>
                  <c:pt idx="7">
                    <c:v>HC</c:v>
                  </c:pt>
                  <c:pt idx="8">
                    <c:v>A</c:v>
                  </c:pt>
                  <c:pt idx="9">
                    <c:v>ZC</c:v>
                  </c:pt>
                  <c:pt idx="10">
                    <c:v>CF</c:v>
                  </c:pt>
                  <c:pt idx="11">
                    <c:v>MA</c:v>
                  </c:pt>
                  <c:pt idx="12">
                    <c:v>BU</c:v>
                  </c:pt>
                  <c:pt idx="13">
                    <c:v>L</c:v>
                  </c:pt>
                  <c:pt idx="14">
                    <c:v>SR</c:v>
                  </c:pt>
                  <c:pt idx="15">
                    <c:v>IC</c:v>
                  </c:pt>
                  <c:pt idx="16">
                    <c:v>IH</c:v>
                  </c:pt>
                  <c:pt idx="17">
                    <c:v>IF</c:v>
                  </c:pt>
                  <c:pt idx="18">
                    <c:v>CU</c:v>
                  </c:pt>
                  <c:pt idx="19">
                    <c:v>CS</c:v>
                  </c:pt>
                  <c:pt idx="20">
                    <c:v>AL</c:v>
                  </c:pt>
                  <c:pt idx="21">
                    <c:v>PP</c:v>
                  </c:pt>
                  <c:pt idx="22">
                    <c:v>C</c:v>
                  </c:pt>
                  <c:pt idx="23">
                    <c:v>NI</c:v>
                  </c:pt>
                  <c:pt idx="24">
                    <c:v>Y</c:v>
                  </c:pt>
                  <c:pt idx="25">
                    <c:v>OI</c:v>
                  </c:pt>
                  <c:pt idx="26">
                    <c:v>TA</c:v>
                  </c:pt>
                  <c:pt idx="27">
                    <c:v>M</c:v>
                  </c:pt>
                  <c:pt idx="28">
                    <c:v>RU</c:v>
                  </c:pt>
                  <c:pt idx="29">
                    <c:v>FG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A2A-4FAB-B5A7-1F624BA56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1053840"/>
        <c:axId val="890321408"/>
      </c:scatterChart>
      <c:valAx>
        <c:axId val="1171053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/>
                  <a:t>基差涨跌幅</a:t>
                </a:r>
              </a:p>
            </c:rich>
          </c:tx>
          <c:layout>
            <c:manualLayout>
              <c:xMode val="edge"/>
              <c:yMode val="edge"/>
              <c:x val="0.42467158324702281"/>
              <c:y val="0.940302624904706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90321408"/>
        <c:crosses val="autoZero"/>
        <c:crossBetween val="midCat"/>
      </c:valAx>
      <c:valAx>
        <c:axId val="89032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/>
                  <a:t>贴水幅度</a:t>
                </a:r>
              </a:p>
            </c:rich>
          </c:tx>
          <c:layout>
            <c:manualLayout>
              <c:xMode val="edge"/>
              <c:yMode val="edge"/>
              <c:x val="2.7469624933967249E-2"/>
              <c:y val="0.416268790106359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71053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152400</xdr:rowOff>
        </xdr:from>
        <xdr:to>
          <xdr:col>5</xdr:col>
          <xdr:colOff>419100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插入数据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171450</xdr:colOff>
      <xdr:row>13</xdr:row>
      <xdr:rowOff>142875</xdr:rowOff>
    </xdr:from>
    <xdr:to>
      <xdr:col>5</xdr:col>
      <xdr:colOff>571500</xdr:colOff>
      <xdr:row>21</xdr:row>
      <xdr:rowOff>66675</xdr:rowOff>
    </xdr:to>
    <xdr:sp macro="" textlink="">
      <xdr:nvSpPr>
        <xdr:cNvPr id="2" name="文本框 1"/>
        <xdr:cNvSpPr txBox="1"/>
      </xdr:nvSpPr>
      <xdr:spPr>
        <a:xfrm>
          <a:off x="2952750" y="2476500"/>
          <a:ext cx="1085850" cy="1371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zh-CN" altLang="en-US" sz="1100"/>
            <a:t>黄底色区域为每日复制区域，数据来源为每日中午部门基差表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419100</xdr:colOff>
      <xdr:row>9</xdr:row>
      <xdr:rowOff>71437</xdr:rowOff>
    </xdr:from>
    <xdr:to>
      <xdr:col>10</xdr:col>
      <xdr:colOff>257175</xdr:colOff>
      <xdr:row>35</xdr:row>
      <xdr:rowOff>85725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34"/>
  <sheetViews>
    <sheetView workbookViewId="0">
      <selection activeCell="G38" sqref="G38"/>
    </sheetView>
  </sheetViews>
  <sheetFormatPr defaultColWidth="9" defaultRowHeight="14.25" x14ac:dyDescent="0.2"/>
  <cols>
    <col min="1" max="1" width="9" style="4" customWidth="1"/>
    <col min="2" max="3" width="9.25" style="5" customWidth="1"/>
    <col min="4" max="4" width="9" style="5" customWidth="1"/>
    <col min="5" max="7" width="9" style="4" customWidth="1"/>
    <col min="8" max="8" width="8.625" style="4" customWidth="1"/>
    <col min="9" max="9" width="8.25" style="4" customWidth="1"/>
    <col min="10" max="10" width="10.375" style="4" customWidth="1"/>
    <col min="11" max="11" width="9" style="4" customWidth="1"/>
    <col min="12" max="12" width="12.75" style="4" customWidth="1"/>
    <col min="13" max="13" width="7.875" style="23" customWidth="1"/>
    <col min="14" max="16383" width="9" style="4"/>
    <col min="16384" max="16384" width="18.625" style="4" customWidth="1"/>
  </cols>
  <sheetData>
    <row r="1" spans="1:13" x14ac:dyDescent="0.2">
      <c r="A1" s="8" t="s">
        <v>30</v>
      </c>
      <c r="B1" s="9" t="s">
        <v>35</v>
      </c>
      <c r="C1" s="9" t="s">
        <v>32</v>
      </c>
      <c r="D1" s="9" t="s">
        <v>33</v>
      </c>
      <c r="E1" s="12">
        <f>COUNTA(A2:A99)</f>
        <v>32</v>
      </c>
      <c r="G1" s="6" t="s">
        <v>31</v>
      </c>
      <c r="H1" s="6" t="s">
        <v>34</v>
      </c>
      <c r="I1" s="7" t="s">
        <v>32</v>
      </c>
      <c r="J1" s="7" t="s">
        <v>33</v>
      </c>
      <c r="L1" s="11">
        <f ca="1">TODAY()</f>
        <v>43126</v>
      </c>
      <c r="M1" s="23" t="s">
        <v>75</v>
      </c>
    </row>
    <row r="2" spans="1:13" x14ac:dyDescent="0.2">
      <c r="A2" s="8" t="s">
        <v>0</v>
      </c>
      <c r="B2" s="9">
        <f>VLOOKUP($A2,$G$2:$J$40,2,0)</f>
        <v>1360</v>
      </c>
      <c r="C2" s="9">
        <f>VLOOKUP($A2,$G$2:$J$40,3,0)</f>
        <v>52.5</v>
      </c>
      <c r="D2" s="10">
        <f>VLOOKUP($A2,$G$2:$J$40,4,0)</f>
        <v>4.0152963671128104E-2</v>
      </c>
      <c r="G2" s="1" t="s">
        <v>9</v>
      </c>
      <c r="H2" s="1">
        <v>750</v>
      </c>
      <c r="I2" s="2">
        <v>79.799999999999955</v>
      </c>
      <c r="J2" s="3">
        <v>0.11906893464637414</v>
      </c>
      <c r="M2" s="23" t="s">
        <v>37</v>
      </c>
    </row>
    <row r="3" spans="1:13" x14ac:dyDescent="0.2">
      <c r="A3" s="8" t="s">
        <v>1</v>
      </c>
      <c r="B3" s="9">
        <f t="shared" ref="B3:B33" si="0">VLOOKUP($A3,$G$2:$J$40,2,0)</f>
        <v>2050</v>
      </c>
      <c r="C3" s="9">
        <f t="shared" ref="C3:C33" si="1">VLOOKUP($A3,$G$2:$J$40,3,0)</f>
        <v>6</v>
      </c>
      <c r="D3" s="10">
        <f t="shared" ref="D3:D33" si="2">VLOOKUP($A3,$G$2:$J$40,4,0)</f>
        <v>2.9354207436399216E-3</v>
      </c>
      <c r="G3" s="1" t="s">
        <v>11</v>
      </c>
      <c r="H3" s="1">
        <v>3100</v>
      </c>
      <c r="I3" s="2">
        <v>278</v>
      </c>
      <c r="J3" s="3">
        <v>9.8511693834160169E-2</v>
      </c>
      <c r="M3" s="23" t="s">
        <v>38</v>
      </c>
    </row>
    <row r="4" spans="1:13" x14ac:dyDescent="0.2">
      <c r="A4" s="8" t="s">
        <v>2</v>
      </c>
      <c r="B4" s="9">
        <f t="shared" si="0"/>
        <v>4020</v>
      </c>
      <c r="C4" s="9">
        <f t="shared" si="1"/>
        <v>76</v>
      </c>
      <c r="D4" s="10">
        <f t="shared" si="2"/>
        <v>1.9269776876267748E-2</v>
      </c>
      <c r="G4" s="1" t="s">
        <v>19</v>
      </c>
      <c r="H4" s="1">
        <v>2250</v>
      </c>
      <c r="I4" s="2">
        <v>163</v>
      </c>
      <c r="J4" s="3">
        <v>7.8102539530426451E-2</v>
      </c>
      <c r="M4" s="23" t="s">
        <v>39</v>
      </c>
    </row>
    <row r="5" spans="1:13" x14ac:dyDescent="0.2">
      <c r="A5" s="8" t="s">
        <v>3</v>
      </c>
      <c r="B5" s="9">
        <f t="shared" si="0"/>
        <v>541.1</v>
      </c>
      <c r="C5" s="9">
        <f t="shared" si="1"/>
        <v>21.600000000000023</v>
      </c>
      <c r="D5" s="10">
        <f t="shared" si="2"/>
        <v>4.1578440808469723E-2</v>
      </c>
      <c r="G5" s="1" t="s">
        <v>3</v>
      </c>
      <c r="H5" s="1">
        <v>541.1</v>
      </c>
      <c r="I5" s="2">
        <v>21.600000000000023</v>
      </c>
      <c r="J5" s="3">
        <v>4.1578440808469723E-2</v>
      </c>
      <c r="M5" s="23" t="s">
        <v>40</v>
      </c>
    </row>
    <row r="6" spans="1:13" ht="12.75" customHeight="1" x14ac:dyDescent="0.2">
      <c r="A6" s="8" t="s">
        <v>4</v>
      </c>
      <c r="B6" s="9">
        <f t="shared" si="0"/>
        <v>5140</v>
      </c>
      <c r="C6" s="9">
        <f t="shared" si="1"/>
        <v>-100</v>
      </c>
      <c r="D6" s="10">
        <f t="shared" si="2"/>
        <v>-1.9083969465648856E-2</v>
      </c>
      <c r="E6" s="24" t="str">
        <f>IF(COUNTIFS(Spot!$EN$1:$FL$1,Spot!EN1)&gt;1,"double counted","")</f>
        <v/>
      </c>
      <c r="F6" s="25"/>
      <c r="G6" s="1" t="s">
        <v>0</v>
      </c>
      <c r="H6" s="1">
        <v>1360</v>
      </c>
      <c r="I6" s="2">
        <v>52.5</v>
      </c>
      <c r="J6" s="3">
        <v>4.0152963671128104E-2</v>
      </c>
      <c r="M6" s="23" t="s">
        <v>41</v>
      </c>
    </row>
    <row r="7" spans="1:13" x14ac:dyDescent="0.2">
      <c r="A7" s="8" t="s">
        <v>5</v>
      </c>
      <c r="B7" s="9">
        <f t="shared" si="0"/>
        <v>2250</v>
      </c>
      <c r="C7" s="9">
        <f t="shared" si="1"/>
        <v>-47</v>
      </c>
      <c r="D7" s="10">
        <f t="shared" si="2"/>
        <v>-2.0461471484545059E-2</v>
      </c>
      <c r="G7" s="1" t="s">
        <v>7</v>
      </c>
      <c r="H7" s="1">
        <v>4120</v>
      </c>
      <c r="I7" s="2">
        <v>157</v>
      </c>
      <c r="J7" s="3">
        <v>3.9616452182689881E-2</v>
      </c>
      <c r="M7" s="23" t="s">
        <v>42</v>
      </c>
    </row>
    <row r="8" spans="1:13" x14ac:dyDescent="0.2">
      <c r="A8" s="8" t="s">
        <v>6</v>
      </c>
      <c r="B8" s="9">
        <f t="shared" si="0"/>
        <v>26120</v>
      </c>
      <c r="C8" s="9">
        <f t="shared" si="1"/>
        <v>-40</v>
      </c>
      <c r="D8" s="10">
        <f t="shared" si="2"/>
        <v>-1.5290519877675841E-3</v>
      </c>
      <c r="G8" s="1" t="s">
        <v>8</v>
      </c>
      <c r="H8" s="1">
        <v>3650</v>
      </c>
      <c r="I8" s="2">
        <v>127</v>
      </c>
      <c r="J8" s="3">
        <v>3.6048822026681804E-2</v>
      </c>
      <c r="M8" s="23" t="s">
        <v>43</v>
      </c>
    </row>
    <row r="9" spans="1:13" x14ac:dyDescent="0.2">
      <c r="A9" s="8" t="s">
        <v>7</v>
      </c>
      <c r="B9" s="9">
        <f t="shared" si="0"/>
        <v>4120</v>
      </c>
      <c r="C9" s="9">
        <f t="shared" si="1"/>
        <v>157</v>
      </c>
      <c r="D9" s="10">
        <f t="shared" si="2"/>
        <v>3.9616452182689881E-2</v>
      </c>
      <c r="G9" s="1" t="s">
        <v>22</v>
      </c>
      <c r="H9" s="1">
        <v>1850</v>
      </c>
      <c r="I9" s="2">
        <v>59</v>
      </c>
      <c r="J9" s="3">
        <v>3.2942490228922393E-2</v>
      </c>
      <c r="M9" s="23" t="s">
        <v>44</v>
      </c>
    </row>
    <row r="10" spans="1:13" x14ac:dyDescent="0.2">
      <c r="A10" s="8" t="s">
        <v>8</v>
      </c>
      <c r="B10" s="9">
        <f t="shared" si="0"/>
        <v>3650</v>
      </c>
      <c r="C10" s="9">
        <f t="shared" si="1"/>
        <v>127</v>
      </c>
      <c r="D10" s="10">
        <f t="shared" si="2"/>
        <v>3.6048822026681804E-2</v>
      </c>
      <c r="G10" s="1" t="s">
        <v>14</v>
      </c>
      <c r="H10" s="1">
        <v>5970</v>
      </c>
      <c r="I10" s="2">
        <v>163</v>
      </c>
      <c r="J10" s="3">
        <v>2.8069571207163767E-2</v>
      </c>
      <c r="M10" s="23" t="s">
        <v>45</v>
      </c>
    </row>
    <row r="11" spans="1:13" x14ac:dyDescent="0.2">
      <c r="A11" s="8" t="s">
        <v>9</v>
      </c>
      <c r="B11" s="9">
        <f t="shared" si="0"/>
        <v>750</v>
      </c>
      <c r="C11" s="9">
        <f t="shared" si="1"/>
        <v>79.799999999999955</v>
      </c>
      <c r="D11" s="10">
        <f t="shared" si="2"/>
        <v>0.11906893464637414</v>
      </c>
      <c r="G11" s="1" t="s">
        <v>27</v>
      </c>
      <c r="H11" s="1">
        <v>2830</v>
      </c>
      <c r="I11" s="2">
        <v>65</v>
      </c>
      <c r="J11" s="3">
        <v>2.3508137432188065E-2</v>
      </c>
      <c r="M11" s="23" t="s">
        <v>46</v>
      </c>
    </row>
    <row r="12" spans="1:13" x14ac:dyDescent="0.2">
      <c r="A12" s="8" t="s">
        <v>10</v>
      </c>
      <c r="B12" s="9">
        <f t="shared" si="0"/>
        <v>15450</v>
      </c>
      <c r="C12" s="9">
        <f t="shared" si="1"/>
        <v>-65</v>
      </c>
      <c r="D12" s="10">
        <f t="shared" si="2"/>
        <v>-4.1894940380277149E-3</v>
      </c>
      <c r="G12" s="1" t="s">
        <v>2</v>
      </c>
      <c r="H12" s="1">
        <v>4020</v>
      </c>
      <c r="I12" s="2">
        <v>76</v>
      </c>
      <c r="J12" s="3">
        <v>1.9269776876267748E-2</v>
      </c>
      <c r="M12" s="23" t="s">
        <v>47</v>
      </c>
    </row>
    <row r="13" spans="1:13" x14ac:dyDescent="0.2">
      <c r="A13" s="8" t="s">
        <v>11</v>
      </c>
      <c r="B13" s="9">
        <f t="shared" si="0"/>
        <v>3100</v>
      </c>
      <c r="C13" s="9">
        <f t="shared" si="1"/>
        <v>278</v>
      </c>
      <c r="D13" s="10">
        <f t="shared" si="2"/>
        <v>9.8511693834160169E-2</v>
      </c>
      <c r="G13" s="1" t="s">
        <v>25</v>
      </c>
      <c r="H13" s="1">
        <v>6618</v>
      </c>
      <c r="I13" s="2">
        <v>90</v>
      </c>
      <c r="J13" s="3">
        <v>1.3786764705882353E-2</v>
      </c>
      <c r="M13" s="23" t="s">
        <v>48</v>
      </c>
    </row>
    <row r="14" spans="1:13" x14ac:dyDescent="0.2">
      <c r="A14" s="8" t="s">
        <v>12</v>
      </c>
      <c r="B14" s="9">
        <f t="shared" si="0"/>
        <v>2400</v>
      </c>
      <c r="C14" s="9">
        <f t="shared" si="1"/>
        <v>-512</v>
      </c>
      <c r="D14" s="10">
        <f t="shared" si="2"/>
        <v>-0.17582417582417584</v>
      </c>
      <c r="G14" s="1" t="s">
        <v>1</v>
      </c>
      <c r="H14" s="1">
        <v>2050</v>
      </c>
      <c r="I14" s="2">
        <v>6</v>
      </c>
      <c r="J14" s="3">
        <v>2.9354207436399216E-3</v>
      </c>
      <c r="M14" s="23" t="s">
        <v>49</v>
      </c>
    </row>
    <row r="15" spans="1:13" x14ac:dyDescent="0.2">
      <c r="A15" s="8" t="s">
        <v>13</v>
      </c>
      <c r="B15" s="9">
        <f t="shared" si="0"/>
        <v>9830</v>
      </c>
      <c r="C15" s="9">
        <f t="shared" si="1"/>
        <v>-145</v>
      </c>
      <c r="D15" s="10">
        <f t="shared" si="2"/>
        <v>-1.4536340852130326E-2</v>
      </c>
      <c r="G15" s="1" t="s">
        <v>15</v>
      </c>
      <c r="H15" s="1">
        <v>6395.12</v>
      </c>
      <c r="I15" s="2">
        <v>-0.68000000000029104</v>
      </c>
      <c r="J15" s="3">
        <v>-1.0631977235065058E-4</v>
      </c>
      <c r="M15" s="23" t="s">
        <v>50</v>
      </c>
    </row>
    <row r="16" spans="1:13" x14ac:dyDescent="0.2">
      <c r="A16" s="8" t="s">
        <v>14</v>
      </c>
      <c r="B16" s="9">
        <f t="shared" si="0"/>
        <v>5970</v>
      </c>
      <c r="C16" s="9">
        <f t="shared" si="1"/>
        <v>163</v>
      </c>
      <c r="D16" s="10">
        <f t="shared" si="2"/>
        <v>2.8069571207163767E-2</v>
      </c>
      <c r="G16" s="1" t="s">
        <v>6</v>
      </c>
      <c r="H16" s="1">
        <v>26120</v>
      </c>
      <c r="I16" s="2">
        <v>-40</v>
      </c>
      <c r="J16" s="3">
        <v>-1.5290519877675841E-3</v>
      </c>
      <c r="M16" s="23" t="s">
        <v>51</v>
      </c>
    </row>
    <row r="17" spans="1:13" x14ac:dyDescent="0.2">
      <c r="A17" s="8" t="s">
        <v>15</v>
      </c>
      <c r="B17" s="9">
        <f t="shared" si="0"/>
        <v>6395.12</v>
      </c>
      <c r="C17" s="9">
        <f t="shared" si="1"/>
        <v>-0.68000000000029104</v>
      </c>
      <c r="D17" s="10">
        <f t="shared" si="2"/>
        <v>-1.0631977235065058E-4</v>
      </c>
      <c r="G17" s="1" t="s">
        <v>18</v>
      </c>
      <c r="H17" s="1">
        <v>53210</v>
      </c>
      <c r="I17" s="2">
        <v>-100</v>
      </c>
      <c r="J17" s="3">
        <v>-1.8758206715438004E-3</v>
      </c>
      <c r="M17" s="23" t="s">
        <v>52</v>
      </c>
    </row>
    <row r="18" spans="1:13" x14ac:dyDescent="0.2">
      <c r="A18" s="8" t="s">
        <v>16</v>
      </c>
      <c r="B18" s="9">
        <f t="shared" si="0"/>
        <v>3179.03</v>
      </c>
      <c r="C18" s="9">
        <f t="shared" si="1"/>
        <v>-10.569999999999709</v>
      </c>
      <c r="D18" s="10">
        <f t="shared" si="2"/>
        <v>-3.3138951592675287E-3</v>
      </c>
      <c r="G18" s="1" t="s">
        <v>17</v>
      </c>
      <c r="H18" s="1">
        <v>4387.45</v>
      </c>
      <c r="I18" s="2">
        <v>-12.950000000000728</v>
      </c>
      <c r="J18" s="3">
        <v>-2.9429142805201176E-3</v>
      </c>
      <c r="M18" s="23" t="s">
        <v>53</v>
      </c>
    </row>
    <row r="19" spans="1:13" x14ac:dyDescent="0.2">
      <c r="A19" s="8" t="s">
        <v>17</v>
      </c>
      <c r="B19" s="9">
        <f t="shared" si="0"/>
        <v>4387.45</v>
      </c>
      <c r="C19" s="9">
        <f t="shared" si="1"/>
        <v>-12.950000000000728</v>
      </c>
      <c r="D19" s="10">
        <f t="shared" si="2"/>
        <v>-2.9429142805201176E-3</v>
      </c>
      <c r="G19" s="1" t="s">
        <v>16</v>
      </c>
      <c r="H19" s="1">
        <v>3179.03</v>
      </c>
      <c r="I19" s="2">
        <v>-10.569999999999709</v>
      </c>
      <c r="J19" s="3">
        <v>-3.3138951592675287E-3</v>
      </c>
      <c r="M19" s="23" t="s">
        <v>54</v>
      </c>
    </row>
    <row r="20" spans="1:13" x14ac:dyDescent="0.2">
      <c r="A20" s="8" t="s">
        <v>18</v>
      </c>
      <c r="B20" s="9">
        <f t="shared" si="0"/>
        <v>53210</v>
      </c>
      <c r="C20" s="9">
        <f t="shared" si="1"/>
        <v>-100</v>
      </c>
      <c r="D20" s="10">
        <f t="shared" si="2"/>
        <v>-1.8758206715438004E-3</v>
      </c>
      <c r="G20" s="1" t="s">
        <v>10</v>
      </c>
      <c r="H20" s="1">
        <v>15450</v>
      </c>
      <c r="I20" s="2">
        <v>-65</v>
      </c>
      <c r="J20" s="3">
        <v>-4.1894940380277149E-3</v>
      </c>
      <c r="M20" s="23" t="s">
        <v>55</v>
      </c>
    </row>
    <row r="21" spans="1:13" x14ac:dyDescent="0.2">
      <c r="A21" s="8" t="s">
        <v>19</v>
      </c>
      <c r="B21" s="9">
        <f t="shared" si="0"/>
        <v>2250</v>
      </c>
      <c r="C21" s="9">
        <f t="shared" si="1"/>
        <v>163</v>
      </c>
      <c r="D21" s="10">
        <f t="shared" si="2"/>
        <v>7.8102539530426451E-2</v>
      </c>
      <c r="G21" s="1" t="s">
        <v>20</v>
      </c>
      <c r="H21" s="1">
        <v>14460</v>
      </c>
      <c r="I21" s="2">
        <v>-75</v>
      </c>
      <c r="J21" s="3">
        <v>-5.1599587203302374E-3</v>
      </c>
      <c r="M21" s="23" t="s">
        <v>56</v>
      </c>
    </row>
    <row r="22" spans="1:13" x14ac:dyDescent="0.2">
      <c r="A22" s="8" t="s">
        <v>20</v>
      </c>
      <c r="B22" s="9">
        <f t="shared" si="0"/>
        <v>14460</v>
      </c>
      <c r="C22" s="9">
        <f t="shared" si="1"/>
        <v>-75</v>
      </c>
      <c r="D22" s="10">
        <f t="shared" si="2"/>
        <v>-5.1599587203302374E-3</v>
      </c>
      <c r="G22" s="1" t="s">
        <v>21</v>
      </c>
      <c r="H22" s="1">
        <v>9501</v>
      </c>
      <c r="I22" s="2">
        <v>-68</v>
      </c>
      <c r="J22" s="3">
        <v>-7.1062806980875743E-3</v>
      </c>
      <c r="M22" s="23" t="s">
        <v>57</v>
      </c>
    </row>
    <row r="23" spans="1:13" x14ac:dyDescent="0.2">
      <c r="A23" s="8" t="s">
        <v>21</v>
      </c>
      <c r="B23" s="9">
        <f t="shared" si="0"/>
        <v>9501</v>
      </c>
      <c r="C23" s="9">
        <f t="shared" si="1"/>
        <v>-68</v>
      </c>
      <c r="D23" s="10">
        <f t="shared" si="2"/>
        <v>-7.1062806980875743E-3</v>
      </c>
      <c r="G23" s="1" t="s">
        <v>26</v>
      </c>
      <c r="H23" s="1">
        <v>5685</v>
      </c>
      <c r="I23" s="2">
        <v>-45</v>
      </c>
      <c r="J23" s="3">
        <v>-7.8534031413612562E-3</v>
      </c>
      <c r="M23" s="23" t="s">
        <v>58</v>
      </c>
    </row>
    <row r="24" spans="1:13" x14ac:dyDescent="0.2">
      <c r="A24" s="8" t="s">
        <v>22</v>
      </c>
      <c r="B24" s="9">
        <f t="shared" si="0"/>
        <v>1850</v>
      </c>
      <c r="C24" s="9">
        <f t="shared" si="1"/>
        <v>59</v>
      </c>
      <c r="D24" s="10">
        <f t="shared" si="2"/>
        <v>3.2942490228922393E-2</v>
      </c>
      <c r="G24" s="1" t="s">
        <v>23</v>
      </c>
      <c r="H24" s="1">
        <v>102650</v>
      </c>
      <c r="I24" s="2">
        <v>-1080</v>
      </c>
      <c r="J24" s="3">
        <v>-1.0411645618432469E-2</v>
      </c>
      <c r="M24" s="23" t="s">
        <v>59</v>
      </c>
    </row>
    <row r="25" spans="1:13" x14ac:dyDescent="0.2">
      <c r="A25" s="8" t="s">
        <v>23</v>
      </c>
      <c r="B25" s="9">
        <f t="shared" si="0"/>
        <v>102650</v>
      </c>
      <c r="C25" s="9">
        <f t="shared" si="1"/>
        <v>-1080</v>
      </c>
      <c r="D25" s="10">
        <f t="shared" si="2"/>
        <v>-1.0411645618432469E-2</v>
      </c>
      <c r="G25" s="1" t="s">
        <v>13</v>
      </c>
      <c r="H25" s="1">
        <v>9830</v>
      </c>
      <c r="I25" s="2">
        <v>-145</v>
      </c>
      <c r="J25" s="3">
        <v>-1.4536340852130326E-2</v>
      </c>
      <c r="M25" s="23" t="s">
        <v>60</v>
      </c>
    </row>
    <row r="26" spans="1:13" x14ac:dyDescent="0.2">
      <c r="A26" s="8" t="s">
        <v>24</v>
      </c>
      <c r="B26" s="9">
        <f t="shared" si="0"/>
        <v>5600</v>
      </c>
      <c r="C26" s="9">
        <f t="shared" si="1"/>
        <v>-210</v>
      </c>
      <c r="D26" s="10">
        <f t="shared" si="2"/>
        <v>-3.614457831325301E-2</v>
      </c>
      <c r="G26" s="1" t="s">
        <v>4</v>
      </c>
      <c r="H26" s="1">
        <v>5140</v>
      </c>
      <c r="I26" s="2">
        <v>-100</v>
      </c>
      <c r="J26" s="3">
        <v>-1.9083969465648856E-2</v>
      </c>
      <c r="M26" s="23" t="s">
        <v>61</v>
      </c>
    </row>
    <row r="27" spans="1:13" x14ac:dyDescent="0.2">
      <c r="A27" s="8" t="s">
        <v>25</v>
      </c>
      <c r="B27" s="9">
        <f t="shared" si="0"/>
        <v>6618</v>
      </c>
      <c r="C27" s="9">
        <f t="shared" si="1"/>
        <v>90</v>
      </c>
      <c r="D27" s="10">
        <f t="shared" si="2"/>
        <v>1.3786764705882353E-2</v>
      </c>
      <c r="G27" s="1" t="s">
        <v>5</v>
      </c>
      <c r="H27" s="1">
        <v>2250</v>
      </c>
      <c r="I27" s="2">
        <v>-47</v>
      </c>
      <c r="J27" s="3">
        <v>-2.0461471484545059E-2</v>
      </c>
      <c r="M27" s="23" t="s">
        <v>62</v>
      </c>
    </row>
    <row r="28" spans="1:13" x14ac:dyDescent="0.2">
      <c r="A28" s="8" t="s">
        <v>26</v>
      </c>
      <c r="B28" s="9">
        <f t="shared" si="0"/>
        <v>5685</v>
      </c>
      <c r="C28" s="9">
        <f t="shared" si="1"/>
        <v>-45</v>
      </c>
      <c r="D28" s="10">
        <f t="shared" si="2"/>
        <v>-7.8534031413612562E-3</v>
      </c>
      <c r="G28" s="1" t="s">
        <v>74</v>
      </c>
      <c r="H28" s="1">
        <v>22900</v>
      </c>
      <c r="I28" s="2">
        <v>-510</v>
      </c>
      <c r="J28" s="3">
        <v>-2.1785561725758223E-2</v>
      </c>
      <c r="M28" s="23" t="s">
        <v>63</v>
      </c>
    </row>
    <row r="29" spans="1:13" x14ac:dyDescent="0.2">
      <c r="A29" s="8" t="s">
        <v>27</v>
      </c>
      <c r="B29" s="9">
        <f t="shared" si="0"/>
        <v>2830</v>
      </c>
      <c r="C29" s="9">
        <f t="shared" si="1"/>
        <v>65</v>
      </c>
      <c r="D29" s="10">
        <f t="shared" si="2"/>
        <v>2.3508137432188065E-2</v>
      </c>
      <c r="G29" s="1" t="s">
        <v>29</v>
      </c>
      <c r="H29" s="1">
        <v>1450</v>
      </c>
      <c r="I29" s="2">
        <v>-38</v>
      </c>
      <c r="J29" s="3">
        <v>-2.5537634408602152E-2</v>
      </c>
      <c r="M29" s="23" t="s">
        <v>64</v>
      </c>
    </row>
    <row r="30" spans="1:13" x14ac:dyDescent="0.2">
      <c r="A30" s="8" t="s">
        <v>28</v>
      </c>
      <c r="B30" s="9">
        <f t="shared" si="0"/>
        <v>11920</v>
      </c>
      <c r="C30" s="9">
        <f t="shared" si="1"/>
        <v>-1900</v>
      </c>
      <c r="D30" s="10">
        <f t="shared" si="2"/>
        <v>-0.13748191027496381</v>
      </c>
      <c r="G30" s="1" t="s">
        <v>24</v>
      </c>
      <c r="H30" s="1">
        <v>5600</v>
      </c>
      <c r="I30" s="2">
        <v>-210</v>
      </c>
      <c r="J30" s="3">
        <v>-3.614457831325301E-2</v>
      </c>
      <c r="M30" s="23" t="s">
        <v>65</v>
      </c>
    </row>
    <row r="31" spans="1:13" x14ac:dyDescent="0.2">
      <c r="A31" s="8" t="s">
        <v>29</v>
      </c>
      <c r="B31" s="9">
        <f t="shared" si="0"/>
        <v>1450</v>
      </c>
      <c r="C31" s="9">
        <f t="shared" si="1"/>
        <v>-38</v>
      </c>
      <c r="D31" s="10">
        <f t="shared" si="2"/>
        <v>-2.5537634408602152E-2</v>
      </c>
      <c r="G31" s="1" t="s">
        <v>76</v>
      </c>
      <c r="H31" s="1">
        <v>6665</v>
      </c>
      <c r="I31" s="2">
        <v>-280</v>
      </c>
      <c r="J31" s="3">
        <v>-4.0316774658027354E-2</v>
      </c>
      <c r="M31" s="23" t="s">
        <v>66</v>
      </c>
    </row>
    <row r="32" spans="1:13" x14ac:dyDescent="0.2">
      <c r="A32" s="8" t="s">
        <v>72</v>
      </c>
      <c r="B32" s="9">
        <f t="shared" si="0"/>
        <v>22900</v>
      </c>
      <c r="C32" s="9">
        <f t="shared" si="1"/>
        <v>-510</v>
      </c>
      <c r="D32" s="10">
        <f t="shared" si="2"/>
        <v>-2.1785561725758223E-2</v>
      </c>
      <c r="G32" s="1" t="s">
        <v>28</v>
      </c>
      <c r="H32" s="1">
        <v>11920</v>
      </c>
      <c r="I32" s="1">
        <v>-1900</v>
      </c>
      <c r="J32" s="3">
        <v>-0.13748191027496381</v>
      </c>
      <c r="M32" s="23" t="s">
        <v>73</v>
      </c>
    </row>
    <row r="33" spans="1:13" x14ac:dyDescent="0.2">
      <c r="A33" s="8" t="s">
        <v>77</v>
      </c>
      <c r="B33" s="9">
        <f t="shared" si="0"/>
        <v>6665</v>
      </c>
      <c r="C33" s="9">
        <f t="shared" si="1"/>
        <v>-280</v>
      </c>
      <c r="D33" s="10">
        <f t="shared" si="2"/>
        <v>-4.0316774658027354E-2</v>
      </c>
      <c r="G33" s="1" t="s">
        <v>12</v>
      </c>
      <c r="H33" s="1">
        <v>2400</v>
      </c>
      <c r="I33" s="1">
        <v>-512</v>
      </c>
      <c r="J33" s="22">
        <v>-0.17582417582417584</v>
      </c>
      <c r="M33" s="23" t="s">
        <v>78</v>
      </c>
    </row>
    <row r="34" spans="1:13" x14ac:dyDescent="0.2">
      <c r="A34" s="8"/>
      <c r="B34" s="9"/>
      <c r="C34" s="9"/>
      <c r="D34" s="10"/>
      <c r="G34" s="1"/>
      <c r="H34" s="1"/>
      <c r="I34" s="1"/>
      <c r="J34" s="1"/>
      <c r="M34" s="23" t="s">
        <v>79</v>
      </c>
    </row>
  </sheetData>
  <mergeCells count="1">
    <mergeCell ref="E6:F6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sertcolumn">
                <anchor moveWithCells="1" sizeWithCells="1">
                  <from>
                    <xdr:col>4</xdr:col>
                    <xdr:colOff>247650</xdr:colOff>
                    <xdr:row>0</xdr:row>
                    <xdr:rowOff>152400</xdr:rowOff>
                  </from>
                  <to>
                    <xdr:col>5</xdr:col>
                    <xdr:colOff>419100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M34"/>
  <sheetViews>
    <sheetView tabSelected="1" workbookViewId="0">
      <selection activeCell="B1" sqref="B1"/>
    </sheetView>
  </sheetViews>
  <sheetFormatPr defaultColWidth="9.75" defaultRowHeight="14.25" x14ac:dyDescent="0.2"/>
  <cols>
    <col min="1" max="59" width="6.625" customWidth="1"/>
    <col min="60" max="60" width="8.875" customWidth="1"/>
    <col min="61" max="77" width="6.625" customWidth="1"/>
    <col min="78" max="78" width="9" customWidth="1"/>
    <col min="79" max="83" width="6.625" customWidth="1"/>
    <col min="84" max="84" width="7.625" customWidth="1"/>
    <col min="85" max="88" width="6.625" customWidth="1"/>
    <col min="89" max="89" width="11.75" customWidth="1"/>
    <col min="90" max="90" width="13" customWidth="1"/>
    <col min="91" max="92" width="6.625" customWidth="1"/>
    <col min="93" max="93" width="11.125" customWidth="1"/>
    <col min="94" max="94" width="8.625" customWidth="1"/>
    <col min="95" max="95" width="9.5" customWidth="1"/>
    <col min="96" max="96" width="9.625" customWidth="1"/>
    <col min="97" max="97" width="8.75" customWidth="1"/>
    <col min="98" max="99" width="9" customWidth="1"/>
    <col min="100" max="100" width="10.25" customWidth="1"/>
    <col min="101" max="101" width="10.5" customWidth="1"/>
    <col min="111" max="111" width="10.5" customWidth="1"/>
  </cols>
  <sheetData>
    <row r="1" spans="1:143" s="13" customFormat="1" x14ac:dyDescent="0.2">
      <c r="A1" s="13" t="s">
        <v>36</v>
      </c>
      <c r="B1" s="13">
        <v>43126</v>
      </c>
      <c r="C1" s="13">
        <v>43125</v>
      </c>
      <c r="D1" s="13">
        <v>43124</v>
      </c>
      <c r="E1" s="13">
        <v>43123</v>
      </c>
      <c r="F1" s="13">
        <v>43122</v>
      </c>
      <c r="G1" s="13">
        <v>43119</v>
      </c>
      <c r="H1" s="13">
        <v>43118</v>
      </c>
      <c r="I1" s="13">
        <v>43117</v>
      </c>
      <c r="J1" s="13">
        <v>43116</v>
      </c>
      <c r="K1" s="13">
        <v>43115</v>
      </c>
      <c r="L1" s="13">
        <v>43112</v>
      </c>
      <c r="M1" s="13">
        <v>43111</v>
      </c>
      <c r="N1" s="13">
        <v>43110</v>
      </c>
      <c r="O1" s="13">
        <v>43109</v>
      </c>
      <c r="P1" s="13">
        <v>43108</v>
      </c>
      <c r="Q1" s="13">
        <v>43105</v>
      </c>
      <c r="R1" s="13">
        <v>43104</v>
      </c>
      <c r="S1" s="13">
        <v>43103</v>
      </c>
      <c r="T1" s="13">
        <v>43102</v>
      </c>
      <c r="U1" s="13">
        <v>43098</v>
      </c>
      <c r="V1" s="13">
        <v>43097</v>
      </c>
      <c r="W1" s="13">
        <v>43096</v>
      </c>
      <c r="X1" s="13">
        <v>43095</v>
      </c>
      <c r="Y1" s="13">
        <v>43094</v>
      </c>
      <c r="Z1" s="13">
        <v>43091</v>
      </c>
      <c r="AA1" s="13">
        <v>43090</v>
      </c>
      <c r="AB1" s="13">
        <v>43089</v>
      </c>
      <c r="AC1" s="13">
        <v>43088</v>
      </c>
      <c r="AD1" s="13">
        <v>43087</v>
      </c>
      <c r="AE1" s="13">
        <v>43084</v>
      </c>
      <c r="AF1" s="13">
        <v>43083</v>
      </c>
      <c r="AG1" s="13">
        <v>43082</v>
      </c>
      <c r="AH1" s="13">
        <v>43081</v>
      </c>
      <c r="AI1" s="13">
        <v>43080</v>
      </c>
      <c r="AJ1" s="13">
        <v>43077</v>
      </c>
      <c r="AK1" s="13">
        <v>43076</v>
      </c>
      <c r="AL1" s="13">
        <v>43075</v>
      </c>
      <c r="AM1" s="13">
        <v>43074</v>
      </c>
      <c r="AN1" s="13">
        <v>43073</v>
      </c>
      <c r="AO1" s="13">
        <v>43070</v>
      </c>
      <c r="AP1" s="13">
        <v>43069</v>
      </c>
      <c r="AQ1" s="13">
        <v>43068</v>
      </c>
      <c r="AR1" s="13">
        <v>43067</v>
      </c>
      <c r="AS1" s="13">
        <v>43066</v>
      </c>
      <c r="AT1" s="13">
        <v>43062</v>
      </c>
      <c r="AU1" s="13">
        <v>43061</v>
      </c>
      <c r="AV1" s="13">
        <v>43060</v>
      </c>
      <c r="AW1" s="13">
        <v>43059</v>
      </c>
      <c r="AX1" s="13">
        <v>43056</v>
      </c>
      <c r="AY1" s="13">
        <v>43055</v>
      </c>
      <c r="AZ1" s="13">
        <v>43054</v>
      </c>
      <c r="BA1" s="13">
        <v>43053</v>
      </c>
      <c r="BB1" s="13">
        <v>43052</v>
      </c>
      <c r="BC1" s="13">
        <v>43049</v>
      </c>
      <c r="BD1" s="13">
        <v>43048</v>
      </c>
      <c r="BE1" s="13">
        <v>43047</v>
      </c>
      <c r="BF1" s="13">
        <v>43046</v>
      </c>
      <c r="BG1" s="13">
        <v>43045</v>
      </c>
      <c r="BH1" s="13">
        <v>43042</v>
      </c>
      <c r="BI1" s="13">
        <v>43041</v>
      </c>
      <c r="BJ1" s="13">
        <v>43040</v>
      </c>
      <c r="BK1" s="13">
        <v>43039</v>
      </c>
      <c r="BL1" s="13">
        <v>43038</v>
      </c>
      <c r="BM1" s="13">
        <v>43035</v>
      </c>
      <c r="BN1" s="13">
        <v>43034</v>
      </c>
      <c r="BO1" s="13">
        <v>43033</v>
      </c>
      <c r="BP1" s="13">
        <v>43032</v>
      </c>
      <c r="BQ1" s="13">
        <v>43031</v>
      </c>
      <c r="BR1" s="13">
        <v>43028</v>
      </c>
      <c r="BS1" s="13">
        <v>43027</v>
      </c>
      <c r="BT1" s="13">
        <v>43026</v>
      </c>
      <c r="BU1" s="13">
        <v>43025</v>
      </c>
      <c r="BV1" s="13">
        <v>43024</v>
      </c>
      <c r="BW1" s="13">
        <v>43021</v>
      </c>
      <c r="BX1" s="13">
        <v>43020</v>
      </c>
      <c r="BY1" s="13">
        <v>43019</v>
      </c>
      <c r="BZ1" s="13">
        <v>43018</v>
      </c>
      <c r="CA1" s="13">
        <v>43007</v>
      </c>
      <c r="CB1" s="13">
        <v>43006</v>
      </c>
      <c r="CC1" s="13">
        <v>43005</v>
      </c>
      <c r="CD1" s="13">
        <v>43004</v>
      </c>
      <c r="CE1" s="13">
        <v>43003</v>
      </c>
      <c r="CF1" s="13">
        <v>43000</v>
      </c>
      <c r="CG1" s="13">
        <v>42999</v>
      </c>
      <c r="CH1" s="13">
        <v>42998</v>
      </c>
      <c r="CI1" s="13">
        <v>42997</v>
      </c>
      <c r="CJ1" s="13">
        <v>42996</v>
      </c>
      <c r="CK1" s="13">
        <v>42993</v>
      </c>
      <c r="CL1" s="13">
        <v>42992</v>
      </c>
      <c r="CM1" s="13">
        <v>42991</v>
      </c>
      <c r="CN1" s="13">
        <v>42990</v>
      </c>
      <c r="CO1" s="13">
        <v>42989</v>
      </c>
      <c r="CP1" s="13">
        <v>42986</v>
      </c>
      <c r="CQ1" s="13">
        <v>42985</v>
      </c>
      <c r="CR1" s="13">
        <v>42984</v>
      </c>
      <c r="CS1" s="13">
        <v>42983</v>
      </c>
      <c r="CT1" s="13">
        <v>42982</v>
      </c>
      <c r="CU1" s="13">
        <v>42979</v>
      </c>
      <c r="CV1" s="13">
        <v>42978</v>
      </c>
      <c r="CW1" s="13">
        <v>42977</v>
      </c>
      <c r="CX1" s="13">
        <v>42976</v>
      </c>
      <c r="CY1" s="13">
        <v>42975</v>
      </c>
      <c r="CZ1" s="13">
        <v>42972</v>
      </c>
      <c r="DA1" s="13">
        <v>42971</v>
      </c>
      <c r="DB1" s="13">
        <v>42970</v>
      </c>
      <c r="DC1" s="13">
        <v>42969</v>
      </c>
      <c r="DD1" s="13">
        <v>42968</v>
      </c>
      <c r="DE1" s="13">
        <v>42965</v>
      </c>
      <c r="DF1" s="13">
        <v>42964</v>
      </c>
      <c r="DG1" s="13">
        <v>42963</v>
      </c>
      <c r="DH1" s="13">
        <v>42962</v>
      </c>
      <c r="DI1" s="13">
        <v>42961</v>
      </c>
      <c r="DJ1" s="13">
        <v>42958</v>
      </c>
      <c r="DK1" s="13">
        <v>42957</v>
      </c>
      <c r="DL1" s="13">
        <v>42956</v>
      </c>
      <c r="DM1" s="13">
        <v>42955</v>
      </c>
      <c r="DN1" s="13">
        <v>42954</v>
      </c>
      <c r="DO1" s="13">
        <v>42951</v>
      </c>
      <c r="DP1" s="13">
        <v>42950</v>
      </c>
      <c r="DQ1" s="13">
        <v>42949</v>
      </c>
      <c r="DR1" s="13">
        <v>42948</v>
      </c>
      <c r="DS1" s="13">
        <v>42947</v>
      </c>
      <c r="DT1" s="13">
        <v>42944</v>
      </c>
      <c r="DU1" s="13">
        <v>42943</v>
      </c>
      <c r="DV1" s="13">
        <v>42942</v>
      </c>
      <c r="DW1" s="13">
        <v>42941</v>
      </c>
      <c r="DX1" s="13">
        <v>42940</v>
      </c>
      <c r="DY1" s="13">
        <v>42937</v>
      </c>
      <c r="DZ1" s="13">
        <v>42936</v>
      </c>
      <c r="EA1" s="13">
        <v>42935</v>
      </c>
      <c r="EB1" s="13">
        <v>42934</v>
      </c>
      <c r="EC1" s="13">
        <v>42933</v>
      </c>
      <c r="ED1" s="13">
        <v>42930</v>
      </c>
      <c r="EE1" s="13">
        <v>42929</v>
      </c>
      <c r="EF1" s="13">
        <v>42928</v>
      </c>
      <c r="EG1" s="13">
        <v>42927</v>
      </c>
      <c r="EH1" s="13">
        <v>42926</v>
      </c>
      <c r="EI1" s="13">
        <v>42923</v>
      </c>
      <c r="EJ1" s="13">
        <v>42922</v>
      </c>
      <c r="EK1" s="13">
        <v>42921</v>
      </c>
      <c r="EL1" s="13">
        <v>42920</v>
      </c>
      <c r="EM1" s="13">
        <v>42919</v>
      </c>
    </row>
    <row r="2" spans="1:143" x14ac:dyDescent="0.2">
      <c r="A2" t="str">
        <f>Input!M2</f>
        <v>JM</v>
      </c>
      <c r="B2">
        <v>1360</v>
      </c>
      <c r="C2">
        <v>1360</v>
      </c>
      <c r="D2">
        <v>1360</v>
      </c>
      <c r="E2">
        <v>1360</v>
      </c>
      <c r="F2">
        <v>1360</v>
      </c>
      <c r="G2">
        <v>1360</v>
      </c>
      <c r="H2">
        <v>1380</v>
      </c>
      <c r="I2">
        <v>1380</v>
      </c>
      <c r="J2">
        <v>1380</v>
      </c>
      <c r="K2">
        <v>1380</v>
      </c>
      <c r="L2">
        <v>1380</v>
      </c>
      <c r="M2">
        <v>1380</v>
      </c>
      <c r="N2">
        <v>1380</v>
      </c>
      <c r="O2">
        <v>1380</v>
      </c>
      <c r="P2">
        <v>1380</v>
      </c>
      <c r="Q2">
        <v>1380</v>
      </c>
      <c r="R2">
        <v>1380</v>
      </c>
      <c r="S2">
        <v>1380</v>
      </c>
      <c r="T2">
        <v>1380</v>
      </c>
      <c r="U2">
        <v>1380</v>
      </c>
      <c r="V2">
        <v>1380</v>
      </c>
      <c r="W2">
        <v>1380</v>
      </c>
      <c r="X2">
        <v>1380</v>
      </c>
      <c r="Y2">
        <v>1380</v>
      </c>
      <c r="Z2">
        <v>1380</v>
      </c>
      <c r="AA2">
        <v>1380</v>
      </c>
      <c r="AB2">
        <v>1380</v>
      </c>
      <c r="AC2">
        <v>1380</v>
      </c>
      <c r="AD2">
        <v>1380</v>
      </c>
      <c r="AE2">
        <v>1350</v>
      </c>
      <c r="AF2">
        <v>1350</v>
      </c>
      <c r="AG2">
        <v>1300</v>
      </c>
      <c r="AH2">
        <v>1300</v>
      </c>
      <c r="AI2">
        <v>1280</v>
      </c>
      <c r="AJ2">
        <v>1280</v>
      </c>
      <c r="AK2">
        <v>1280</v>
      </c>
      <c r="AL2">
        <v>1280</v>
      </c>
      <c r="AM2">
        <v>1280</v>
      </c>
      <c r="AN2">
        <v>1280</v>
      </c>
      <c r="AO2">
        <v>1280</v>
      </c>
      <c r="AP2">
        <v>1280</v>
      </c>
      <c r="AQ2">
        <v>1250</v>
      </c>
      <c r="AR2">
        <v>1250</v>
      </c>
      <c r="AS2">
        <v>1250</v>
      </c>
      <c r="AT2">
        <v>1250</v>
      </c>
      <c r="AU2">
        <v>1250</v>
      </c>
      <c r="AV2">
        <v>1250</v>
      </c>
      <c r="AW2">
        <v>1250</v>
      </c>
      <c r="AX2">
        <v>1250</v>
      </c>
      <c r="AY2">
        <v>1250</v>
      </c>
      <c r="AZ2">
        <v>1250</v>
      </c>
      <c r="BA2">
        <v>1250</v>
      </c>
      <c r="BB2">
        <v>1250</v>
      </c>
      <c r="BC2">
        <v>1250</v>
      </c>
      <c r="BD2">
        <v>1250</v>
      </c>
      <c r="BE2">
        <v>1250</v>
      </c>
      <c r="BF2">
        <v>1250</v>
      </c>
      <c r="BG2">
        <v>1250</v>
      </c>
      <c r="BH2">
        <v>1300</v>
      </c>
      <c r="BI2">
        <v>1300</v>
      </c>
      <c r="BJ2">
        <v>1300</v>
      </c>
      <c r="BK2">
        <v>1300</v>
      </c>
      <c r="BL2">
        <v>1300</v>
      </c>
      <c r="BM2">
        <v>1300</v>
      </c>
      <c r="BN2">
        <v>1300</v>
      </c>
      <c r="BO2">
        <v>1340</v>
      </c>
      <c r="BP2">
        <v>1340</v>
      </c>
      <c r="BQ2">
        <v>1340</v>
      </c>
      <c r="BR2">
        <v>1340</v>
      </c>
      <c r="BS2">
        <v>1340</v>
      </c>
      <c r="BT2">
        <v>1340</v>
      </c>
      <c r="BU2">
        <v>1340</v>
      </c>
      <c r="BV2">
        <v>1390</v>
      </c>
      <c r="BW2">
        <v>1390</v>
      </c>
      <c r="BX2">
        <v>1420</v>
      </c>
      <c r="BY2">
        <v>1420</v>
      </c>
      <c r="BZ2">
        <v>1450</v>
      </c>
      <c r="CA2">
        <v>1450</v>
      </c>
      <c r="CB2">
        <v>1470</v>
      </c>
      <c r="CC2">
        <v>1470</v>
      </c>
      <c r="CD2">
        <v>1470</v>
      </c>
      <c r="CE2">
        <v>1470</v>
      </c>
      <c r="CF2">
        <v>1470</v>
      </c>
      <c r="CG2">
        <v>1470</v>
      </c>
      <c r="CH2">
        <v>1470</v>
      </c>
      <c r="CI2">
        <v>1470</v>
      </c>
      <c r="CJ2">
        <v>1450</v>
      </c>
      <c r="CK2">
        <v>1450</v>
      </c>
      <c r="CL2">
        <v>1450</v>
      </c>
      <c r="CM2">
        <v>1450</v>
      </c>
      <c r="CN2">
        <v>1450</v>
      </c>
      <c r="CO2">
        <v>1400</v>
      </c>
      <c r="CP2">
        <v>1400</v>
      </c>
      <c r="CQ2">
        <v>1400</v>
      </c>
      <c r="CR2">
        <v>1300</v>
      </c>
      <c r="CS2">
        <v>1300</v>
      </c>
      <c r="CT2">
        <v>1300</v>
      </c>
      <c r="CU2">
        <v>1300</v>
      </c>
      <c r="CV2">
        <v>1300</v>
      </c>
      <c r="CW2">
        <v>1350</v>
      </c>
      <c r="CX2">
        <v>1350</v>
      </c>
      <c r="CY2">
        <v>1350</v>
      </c>
      <c r="CZ2">
        <v>1370</v>
      </c>
      <c r="DA2">
        <v>1370</v>
      </c>
      <c r="DB2">
        <v>1370</v>
      </c>
      <c r="DC2">
        <v>1370</v>
      </c>
      <c r="DD2">
        <v>1370</v>
      </c>
      <c r="DE2">
        <v>1370</v>
      </c>
      <c r="DF2">
        <v>1370</v>
      </c>
      <c r="DG2">
        <v>1350</v>
      </c>
      <c r="DH2">
        <v>1300</v>
      </c>
      <c r="DI2">
        <v>1300</v>
      </c>
      <c r="DJ2">
        <v>1300</v>
      </c>
      <c r="DK2">
        <v>1300</v>
      </c>
      <c r="DL2">
        <v>1300</v>
      </c>
      <c r="DM2">
        <v>1300</v>
      </c>
      <c r="DN2">
        <v>1300</v>
      </c>
      <c r="DO2">
        <v>1300</v>
      </c>
      <c r="DP2">
        <v>1300</v>
      </c>
      <c r="DQ2">
        <v>1300</v>
      </c>
      <c r="DR2">
        <v>1300</v>
      </c>
      <c r="DS2">
        <v>1300</v>
      </c>
      <c r="DT2">
        <v>1280</v>
      </c>
      <c r="DU2">
        <v>1250</v>
      </c>
      <c r="DV2">
        <v>1250</v>
      </c>
      <c r="DW2">
        <v>1250</v>
      </c>
      <c r="DX2">
        <v>1250</v>
      </c>
      <c r="DY2">
        <v>1250</v>
      </c>
      <c r="DZ2">
        <v>1250</v>
      </c>
      <c r="EA2">
        <v>1180</v>
      </c>
      <c r="EB2">
        <v>1180</v>
      </c>
      <c r="EC2">
        <v>1180</v>
      </c>
      <c r="ED2">
        <v>1180</v>
      </c>
      <c r="EE2">
        <v>1150</v>
      </c>
      <c r="EF2">
        <v>1130</v>
      </c>
      <c r="EG2">
        <v>1130</v>
      </c>
      <c r="EH2">
        <v>1130</v>
      </c>
      <c r="EI2">
        <v>1130</v>
      </c>
      <c r="EJ2">
        <v>1130</v>
      </c>
      <c r="EK2">
        <v>1130</v>
      </c>
      <c r="EL2">
        <v>1110</v>
      </c>
      <c r="EM2">
        <v>1110</v>
      </c>
    </row>
    <row r="3" spans="1:143" x14ac:dyDescent="0.2">
      <c r="A3" t="str">
        <f>Input!M3</f>
        <v>J</v>
      </c>
      <c r="B3">
        <v>2050</v>
      </c>
      <c r="C3">
        <v>2150</v>
      </c>
      <c r="D3">
        <v>2150</v>
      </c>
      <c r="E3">
        <v>2150</v>
      </c>
      <c r="F3">
        <v>2150</v>
      </c>
      <c r="G3">
        <v>2150</v>
      </c>
      <c r="H3">
        <v>2250</v>
      </c>
      <c r="I3">
        <v>2250</v>
      </c>
      <c r="J3">
        <v>2250</v>
      </c>
      <c r="K3">
        <v>2250</v>
      </c>
      <c r="L3">
        <v>2250</v>
      </c>
      <c r="M3">
        <v>2250</v>
      </c>
      <c r="N3">
        <v>2250</v>
      </c>
      <c r="O3">
        <v>2350</v>
      </c>
      <c r="P3">
        <v>2350</v>
      </c>
      <c r="Q3">
        <v>2350</v>
      </c>
      <c r="R3">
        <v>2350</v>
      </c>
      <c r="S3">
        <v>2350</v>
      </c>
      <c r="T3">
        <v>2350</v>
      </c>
      <c r="U3">
        <v>2400</v>
      </c>
      <c r="V3">
        <v>2400</v>
      </c>
      <c r="W3">
        <v>2350</v>
      </c>
      <c r="X3">
        <v>2350</v>
      </c>
      <c r="Y3">
        <v>2300</v>
      </c>
      <c r="Z3">
        <v>2300</v>
      </c>
      <c r="AA3">
        <v>2300</v>
      </c>
      <c r="AB3">
        <v>2300</v>
      </c>
      <c r="AC3">
        <v>2300</v>
      </c>
      <c r="AD3">
        <v>2300</v>
      </c>
      <c r="AE3">
        <v>2250</v>
      </c>
      <c r="AF3">
        <v>2250</v>
      </c>
      <c r="AG3">
        <v>2150</v>
      </c>
      <c r="AH3">
        <v>2150</v>
      </c>
      <c r="AI3">
        <v>2150</v>
      </c>
      <c r="AJ3">
        <v>2050</v>
      </c>
      <c r="AK3">
        <v>2050</v>
      </c>
      <c r="AL3">
        <v>2050</v>
      </c>
      <c r="AM3">
        <v>2000</v>
      </c>
      <c r="AN3">
        <v>2000</v>
      </c>
      <c r="AO3">
        <v>1950</v>
      </c>
      <c r="AP3">
        <v>1950</v>
      </c>
      <c r="AQ3">
        <v>1900</v>
      </c>
      <c r="AR3">
        <v>1900</v>
      </c>
      <c r="AS3">
        <v>1800</v>
      </c>
      <c r="AT3">
        <v>1800</v>
      </c>
      <c r="AU3">
        <v>1800</v>
      </c>
      <c r="AV3">
        <v>1800</v>
      </c>
      <c r="AW3">
        <v>1750</v>
      </c>
      <c r="AX3">
        <v>1750</v>
      </c>
      <c r="AY3">
        <v>1750</v>
      </c>
      <c r="AZ3">
        <v>1750</v>
      </c>
      <c r="BA3">
        <v>1750</v>
      </c>
      <c r="BB3">
        <v>1750</v>
      </c>
      <c r="BC3">
        <v>1800</v>
      </c>
      <c r="BD3">
        <v>1800</v>
      </c>
      <c r="BE3">
        <v>1800</v>
      </c>
      <c r="BF3">
        <v>1800</v>
      </c>
      <c r="BG3">
        <v>1800</v>
      </c>
      <c r="BH3">
        <v>1800</v>
      </c>
      <c r="BI3">
        <v>1800</v>
      </c>
      <c r="BJ3">
        <v>1800</v>
      </c>
      <c r="BK3">
        <v>1800</v>
      </c>
      <c r="BL3">
        <v>1900</v>
      </c>
      <c r="BM3">
        <v>1900</v>
      </c>
      <c r="BN3">
        <v>1900</v>
      </c>
      <c r="BO3">
        <v>1900</v>
      </c>
      <c r="BP3">
        <v>2050</v>
      </c>
      <c r="BQ3">
        <v>2050</v>
      </c>
      <c r="BR3">
        <v>2100</v>
      </c>
      <c r="BS3">
        <v>2100</v>
      </c>
      <c r="BT3">
        <v>2200</v>
      </c>
      <c r="BU3">
        <v>2200</v>
      </c>
      <c r="BV3">
        <v>2300</v>
      </c>
      <c r="BW3">
        <v>2300</v>
      </c>
      <c r="BX3">
        <v>2300</v>
      </c>
      <c r="BY3">
        <v>2300</v>
      </c>
      <c r="BZ3">
        <v>2300</v>
      </c>
      <c r="CA3">
        <v>2350</v>
      </c>
      <c r="CB3">
        <v>2350</v>
      </c>
      <c r="CC3">
        <v>2400</v>
      </c>
      <c r="CD3">
        <v>2400</v>
      </c>
      <c r="CE3">
        <v>2400</v>
      </c>
      <c r="CF3">
        <v>2400</v>
      </c>
      <c r="CG3">
        <v>2400</v>
      </c>
      <c r="CH3">
        <v>2400</v>
      </c>
      <c r="CI3">
        <v>2400</v>
      </c>
      <c r="CJ3">
        <v>2400</v>
      </c>
      <c r="CK3">
        <v>2400</v>
      </c>
      <c r="CL3">
        <v>2400</v>
      </c>
      <c r="CM3">
        <v>2400</v>
      </c>
      <c r="CN3">
        <v>2400</v>
      </c>
      <c r="CO3">
        <v>2400</v>
      </c>
      <c r="CP3">
        <v>2400</v>
      </c>
      <c r="CQ3">
        <v>2400</v>
      </c>
      <c r="CR3">
        <v>2400</v>
      </c>
      <c r="CS3">
        <v>2300</v>
      </c>
      <c r="CT3">
        <v>2300</v>
      </c>
      <c r="CU3">
        <v>2300</v>
      </c>
      <c r="CV3">
        <v>2300</v>
      </c>
      <c r="CW3">
        <v>2340</v>
      </c>
      <c r="CX3">
        <v>2340</v>
      </c>
      <c r="CY3">
        <v>2340</v>
      </c>
      <c r="CZ3">
        <v>2340</v>
      </c>
      <c r="DA3">
        <v>2300</v>
      </c>
      <c r="DB3">
        <v>2240</v>
      </c>
      <c r="DC3">
        <v>2240</v>
      </c>
      <c r="DD3">
        <v>2240</v>
      </c>
      <c r="DE3">
        <v>2180</v>
      </c>
      <c r="DF3">
        <v>2180</v>
      </c>
      <c r="DG3">
        <v>2180</v>
      </c>
      <c r="DH3">
        <v>2100</v>
      </c>
      <c r="DI3">
        <v>2100</v>
      </c>
      <c r="DJ3">
        <v>2100</v>
      </c>
      <c r="DK3">
        <v>2100</v>
      </c>
      <c r="DL3">
        <v>2100</v>
      </c>
      <c r="DM3">
        <v>2080</v>
      </c>
      <c r="DN3">
        <v>2080</v>
      </c>
      <c r="DO3">
        <v>2030</v>
      </c>
      <c r="DP3">
        <v>2030</v>
      </c>
      <c r="DQ3">
        <v>2030</v>
      </c>
      <c r="DR3">
        <v>2030</v>
      </c>
      <c r="DS3">
        <v>2030</v>
      </c>
      <c r="DT3">
        <v>1936.8</v>
      </c>
      <c r="DU3">
        <v>1936.8</v>
      </c>
      <c r="DV3">
        <v>1936.8</v>
      </c>
      <c r="DW3">
        <v>1936.8</v>
      </c>
      <c r="DX3">
        <v>1936.8</v>
      </c>
      <c r="DY3">
        <v>1936.8</v>
      </c>
      <c r="DZ3">
        <v>1936.8</v>
      </c>
      <c r="EA3">
        <v>1936.8</v>
      </c>
      <c r="EB3">
        <v>1936.8</v>
      </c>
      <c r="EC3">
        <v>1936.8</v>
      </c>
      <c r="ED3">
        <v>1930</v>
      </c>
      <c r="EE3">
        <v>1930</v>
      </c>
      <c r="EF3">
        <v>1930</v>
      </c>
      <c r="EG3">
        <v>1884.8</v>
      </c>
      <c r="EH3">
        <v>1884.8</v>
      </c>
      <c r="EI3">
        <v>1832.8</v>
      </c>
      <c r="EJ3">
        <v>1832.8</v>
      </c>
      <c r="EK3">
        <v>1832.8</v>
      </c>
      <c r="EL3">
        <v>1832.8</v>
      </c>
      <c r="EM3">
        <v>1832.8</v>
      </c>
    </row>
    <row r="4" spans="1:143" x14ac:dyDescent="0.2">
      <c r="A4" t="str">
        <f>Input!M4</f>
        <v>RB</v>
      </c>
      <c r="B4">
        <v>4020</v>
      </c>
      <c r="C4">
        <v>4010</v>
      </c>
      <c r="D4">
        <v>4010</v>
      </c>
      <c r="E4">
        <v>4031</v>
      </c>
      <c r="F4">
        <v>4062</v>
      </c>
      <c r="G4">
        <v>3979</v>
      </c>
      <c r="H4">
        <v>3907</v>
      </c>
      <c r="I4">
        <v>3907</v>
      </c>
      <c r="J4">
        <v>3896</v>
      </c>
      <c r="K4">
        <v>3876</v>
      </c>
      <c r="L4">
        <v>3970</v>
      </c>
      <c r="M4">
        <v>4051</v>
      </c>
      <c r="N4">
        <v>4051</v>
      </c>
      <c r="O4">
        <v>4021</v>
      </c>
      <c r="P4">
        <v>4072</v>
      </c>
      <c r="Q4">
        <v>4155</v>
      </c>
      <c r="R4">
        <v>4224</v>
      </c>
      <c r="S4">
        <v>4254</v>
      </c>
      <c r="T4">
        <v>4234</v>
      </c>
      <c r="U4">
        <v>4255</v>
      </c>
      <c r="V4">
        <v>4296</v>
      </c>
      <c r="W4">
        <v>4285</v>
      </c>
      <c r="X4">
        <v>4308</v>
      </c>
      <c r="Y4">
        <v>4481</v>
      </c>
      <c r="Z4">
        <v>4522</v>
      </c>
      <c r="AA4">
        <v>4492</v>
      </c>
      <c r="AB4">
        <v>4605</v>
      </c>
      <c r="AC4">
        <v>4667</v>
      </c>
      <c r="AD4">
        <v>4636.3999999999996</v>
      </c>
      <c r="AE4">
        <v>4729</v>
      </c>
      <c r="AF4">
        <v>4801</v>
      </c>
      <c r="AG4">
        <v>4843</v>
      </c>
      <c r="AH4">
        <v>4750</v>
      </c>
      <c r="AI4">
        <v>4698</v>
      </c>
      <c r="AJ4">
        <v>4647</v>
      </c>
      <c r="AK4">
        <v>4719</v>
      </c>
      <c r="AL4">
        <v>4811</v>
      </c>
      <c r="AM4">
        <v>4853</v>
      </c>
      <c r="AN4">
        <v>4719</v>
      </c>
      <c r="AO4">
        <v>4667</v>
      </c>
      <c r="AP4">
        <v>4564.2</v>
      </c>
      <c r="AQ4">
        <v>4492</v>
      </c>
      <c r="AR4">
        <v>4320</v>
      </c>
      <c r="AS4">
        <v>4536</v>
      </c>
      <c r="AT4">
        <v>4402</v>
      </c>
      <c r="AU4">
        <v>4371</v>
      </c>
      <c r="AV4">
        <v>4299</v>
      </c>
      <c r="AW4">
        <v>4247</v>
      </c>
      <c r="AX4">
        <v>4247</v>
      </c>
      <c r="AY4">
        <v>4247</v>
      </c>
      <c r="AZ4">
        <v>4268</v>
      </c>
      <c r="BA4">
        <v>4247</v>
      </c>
      <c r="BB4">
        <v>4237</v>
      </c>
      <c r="BC4">
        <v>4165</v>
      </c>
      <c r="BD4">
        <v>4144</v>
      </c>
      <c r="BE4">
        <v>4123</v>
      </c>
      <c r="BF4">
        <v>4123</v>
      </c>
      <c r="BG4">
        <v>4093</v>
      </c>
      <c r="BH4">
        <v>4041</v>
      </c>
      <c r="BI4">
        <v>4031</v>
      </c>
      <c r="BJ4">
        <v>4031</v>
      </c>
      <c r="BK4">
        <v>4021</v>
      </c>
      <c r="BL4">
        <v>4020.6</v>
      </c>
      <c r="BM4">
        <v>4020.6</v>
      </c>
      <c r="BN4">
        <v>4041</v>
      </c>
      <c r="BO4">
        <v>4072</v>
      </c>
      <c r="BP4">
        <v>4051.5</v>
      </c>
      <c r="BQ4">
        <v>4041</v>
      </c>
      <c r="BR4">
        <v>3990</v>
      </c>
      <c r="BS4">
        <v>4010.3</v>
      </c>
      <c r="BT4">
        <v>4113.3999999999996</v>
      </c>
      <c r="BU4">
        <v>4113.3999999999996</v>
      </c>
      <c r="BV4">
        <v>4144.3</v>
      </c>
      <c r="BW4">
        <v>4031</v>
      </c>
      <c r="BX4">
        <v>4010.3</v>
      </c>
      <c r="BY4">
        <v>4020.6</v>
      </c>
      <c r="BZ4">
        <v>4041</v>
      </c>
      <c r="CA4">
        <v>3969</v>
      </c>
      <c r="CB4">
        <v>3979</v>
      </c>
      <c r="CC4">
        <v>3969</v>
      </c>
      <c r="CD4">
        <v>3969</v>
      </c>
      <c r="CE4">
        <v>3990</v>
      </c>
      <c r="CF4">
        <v>4000</v>
      </c>
      <c r="CG4">
        <v>4103.1000000000004</v>
      </c>
      <c r="CH4">
        <v>4123.7</v>
      </c>
      <c r="CI4">
        <v>4134</v>
      </c>
      <c r="CJ4">
        <v>4134</v>
      </c>
      <c r="CK4">
        <v>4165</v>
      </c>
      <c r="CL4">
        <v>4195.8999999999996</v>
      </c>
      <c r="CM4">
        <v>4195.8999999999996</v>
      </c>
      <c r="CN4">
        <v>4175.3</v>
      </c>
      <c r="CO4">
        <v>4175.3</v>
      </c>
      <c r="CP4">
        <v>4206.2</v>
      </c>
      <c r="CQ4">
        <v>4237.1000000000004</v>
      </c>
      <c r="CR4">
        <v>4257.7</v>
      </c>
      <c r="CS4">
        <v>4278.3999999999996</v>
      </c>
      <c r="CT4">
        <v>4278.3999999999996</v>
      </c>
      <c r="CU4">
        <v>4175.3</v>
      </c>
      <c r="CV4">
        <v>4123.7</v>
      </c>
      <c r="CW4">
        <v>4134</v>
      </c>
      <c r="CX4">
        <v>4154.6000000000004</v>
      </c>
      <c r="CY4">
        <v>4154.6000000000004</v>
      </c>
      <c r="CZ4">
        <v>4226.8</v>
      </c>
      <c r="DA4">
        <v>4144.3</v>
      </c>
      <c r="DB4">
        <v>4154.6000000000004</v>
      </c>
      <c r="DC4">
        <v>4237.1000000000004</v>
      </c>
      <c r="DD4">
        <v>4206.2</v>
      </c>
      <c r="DE4">
        <v>4103.1000000000004</v>
      </c>
      <c r="DF4">
        <v>4103.1000000000004</v>
      </c>
      <c r="DG4">
        <v>4072</v>
      </c>
      <c r="DH4">
        <v>4103.1000000000004</v>
      </c>
      <c r="DI4">
        <v>4165</v>
      </c>
      <c r="DJ4">
        <v>4196</v>
      </c>
      <c r="DK4">
        <v>4165</v>
      </c>
      <c r="DL4">
        <v>4152</v>
      </c>
      <c r="DM4">
        <v>4185</v>
      </c>
      <c r="DN4">
        <v>4175.3</v>
      </c>
      <c r="DO4">
        <v>4000</v>
      </c>
      <c r="DP4">
        <v>3969</v>
      </c>
      <c r="DQ4">
        <v>3969</v>
      </c>
      <c r="DR4">
        <v>3969</v>
      </c>
      <c r="DS4">
        <v>3939</v>
      </c>
      <c r="DT4">
        <v>3866</v>
      </c>
      <c r="DU4">
        <v>3866</v>
      </c>
      <c r="DV4">
        <v>3866</v>
      </c>
      <c r="DW4">
        <v>3866</v>
      </c>
      <c r="DX4">
        <v>3845.4</v>
      </c>
      <c r="DY4">
        <v>3825</v>
      </c>
      <c r="DZ4">
        <v>3845.4</v>
      </c>
      <c r="EA4">
        <v>3845.4</v>
      </c>
      <c r="EB4">
        <v>3835</v>
      </c>
      <c r="EC4">
        <v>3835</v>
      </c>
      <c r="ED4">
        <v>3814.4</v>
      </c>
      <c r="EE4">
        <v>3824.7</v>
      </c>
      <c r="EF4">
        <v>3814</v>
      </c>
      <c r="EG4">
        <v>3773.2</v>
      </c>
      <c r="EH4">
        <v>3732.6</v>
      </c>
      <c r="EI4">
        <v>3690.7</v>
      </c>
      <c r="EJ4">
        <v>3742</v>
      </c>
      <c r="EK4">
        <v>3742</v>
      </c>
      <c r="EL4">
        <v>3742</v>
      </c>
      <c r="EM4">
        <v>3691</v>
      </c>
    </row>
    <row r="5" spans="1:143" x14ac:dyDescent="0.2">
      <c r="A5" t="str">
        <f>Input!M5</f>
        <v>I</v>
      </c>
      <c r="B5">
        <v>541.1</v>
      </c>
      <c r="C5">
        <v>535.79999999999995</v>
      </c>
      <c r="D5">
        <v>537.9</v>
      </c>
      <c r="E5">
        <v>548.70000000000005</v>
      </c>
      <c r="F5">
        <v>543.29999999999995</v>
      </c>
      <c r="G5">
        <v>539</v>
      </c>
      <c r="H5">
        <v>533.6</v>
      </c>
      <c r="I5">
        <v>535.79999999999995</v>
      </c>
      <c r="J5">
        <v>540.1</v>
      </c>
      <c r="K5">
        <v>545.4</v>
      </c>
      <c r="L5">
        <v>553</v>
      </c>
      <c r="M5">
        <v>553</v>
      </c>
      <c r="N5">
        <v>553</v>
      </c>
      <c r="O5">
        <v>545.4</v>
      </c>
      <c r="P5">
        <v>531.5</v>
      </c>
      <c r="Q5">
        <v>530.4</v>
      </c>
      <c r="R5">
        <v>528.20000000000005</v>
      </c>
      <c r="S5">
        <v>531.5</v>
      </c>
      <c r="T5">
        <v>522.79999999999995</v>
      </c>
      <c r="U5">
        <v>512</v>
      </c>
      <c r="V5">
        <v>512</v>
      </c>
      <c r="W5">
        <v>514.20000000000005</v>
      </c>
      <c r="X5">
        <v>519.6</v>
      </c>
      <c r="Y5">
        <v>527.20000000000005</v>
      </c>
      <c r="Z5">
        <v>521.79999999999995</v>
      </c>
      <c r="AA5">
        <v>519.6</v>
      </c>
      <c r="AB5">
        <v>522</v>
      </c>
      <c r="AC5">
        <v>524</v>
      </c>
      <c r="AD5">
        <v>513.20000000000005</v>
      </c>
      <c r="AE5">
        <v>507.8</v>
      </c>
      <c r="AF5">
        <v>507.8</v>
      </c>
      <c r="AG5">
        <v>502.4</v>
      </c>
      <c r="AH5">
        <v>497</v>
      </c>
      <c r="AI5">
        <v>500.3</v>
      </c>
      <c r="AJ5">
        <v>494.9</v>
      </c>
      <c r="AK5">
        <v>514.20000000000005</v>
      </c>
      <c r="AL5">
        <v>535.79999999999995</v>
      </c>
      <c r="AM5">
        <v>535.79999999999995</v>
      </c>
      <c r="AN5">
        <v>508.9</v>
      </c>
      <c r="AO5">
        <v>504.6</v>
      </c>
      <c r="AP5">
        <v>503.5</v>
      </c>
      <c r="AQ5">
        <v>498.1</v>
      </c>
      <c r="AR5">
        <v>501.3</v>
      </c>
      <c r="AS5">
        <v>498.1</v>
      </c>
      <c r="AT5">
        <v>485.2</v>
      </c>
      <c r="AU5">
        <v>479.8</v>
      </c>
      <c r="AV5">
        <v>477</v>
      </c>
      <c r="AW5">
        <v>476.6</v>
      </c>
      <c r="AX5">
        <v>481</v>
      </c>
      <c r="AY5">
        <v>479</v>
      </c>
      <c r="AZ5">
        <v>484</v>
      </c>
      <c r="BA5">
        <v>480.9</v>
      </c>
      <c r="BB5">
        <v>479</v>
      </c>
      <c r="BC5">
        <v>481</v>
      </c>
      <c r="BD5">
        <v>484</v>
      </c>
      <c r="BE5">
        <v>490</v>
      </c>
      <c r="BF5">
        <v>489.5</v>
      </c>
      <c r="BG5">
        <v>483</v>
      </c>
      <c r="BH5">
        <v>482</v>
      </c>
      <c r="BI5">
        <v>477</v>
      </c>
      <c r="BJ5">
        <v>477</v>
      </c>
      <c r="BK5">
        <v>477</v>
      </c>
      <c r="BL5">
        <v>494.9</v>
      </c>
      <c r="BM5">
        <v>494.9</v>
      </c>
      <c r="BN5">
        <v>500.3</v>
      </c>
      <c r="BO5">
        <v>500.3</v>
      </c>
      <c r="BP5">
        <v>494.9</v>
      </c>
      <c r="BQ5">
        <v>486.3</v>
      </c>
      <c r="BR5">
        <v>491</v>
      </c>
      <c r="BS5">
        <v>494.9</v>
      </c>
      <c r="BT5">
        <v>494.9</v>
      </c>
      <c r="BU5">
        <v>494.9</v>
      </c>
      <c r="BV5">
        <v>494.9</v>
      </c>
      <c r="BW5">
        <v>492.7</v>
      </c>
      <c r="BX5">
        <v>509.9</v>
      </c>
      <c r="BY5">
        <v>509.9</v>
      </c>
      <c r="BZ5">
        <v>509.9</v>
      </c>
      <c r="CA5">
        <v>509.9</v>
      </c>
      <c r="CB5">
        <v>515.29999999999995</v>
      </c>
      <c r="CC5">
        <v>525</v>
      </c>
      <c r="CD5">
        <v>532.5</v>
      </c>
      <c r="CE5">
        <v>532.5</v>
      </c>
      <c r="CF5">
        <v>554</v>
      </c>
      <c r="CG5">
        <v>570.20000000000005</v>
      </c>
      <c r="CH5">
        <v>580.9</v>
      </c>
      <c r="CI5">
        <v>584.1</v>
      </c>
      <c r="CJ5">
        <v>584.1</v>
      </c>
      <c r="CK5">
        <v>589.5</v>
      </c>
      <c r="CL5">
        <v>600.29999999999995</v>
      </c>
      <c r="CM5">
        <v>594.9</v>
      </c>
      <c r="CN5">
        <v>591.70000000000005</v>
      </c>
      <c r="CO5">
        <v>589.5</v>
      </c>
      <c r="CP5">
        <v>594.9</v>
      </c>
      <c r="CQ5">
        <v>598.1</v>
      </c>
      <c r="CR5">
        <v>607.79999999999995</v>
      </c>
      <c r="CS5">
        <v>607.79999999999995</v>
      </c>
      <c r="CT5">
        <v>616.4</v>
      </c>
      <c r="CU5">
        <v>611</v>
      </c>
      <c r="CV5">
        <v>600.29999999999995</v>
      </c>
      <c r="CW5">
        <v>600.29999999999995</v>
      </c>
      <c r="CX5">
        <v>607.79999999999995</v>
      </c>
      <c r="CY5">
        <v>613.20000000000005</v>
      </c>
      <c r="CZ5">
        <v>613.20000000000005</v>
      </c>
      <c r="DA5">
        <v>605.6</v>
      </c>
      <c r="DB5">
        <v>632.5</v>
      </c>
      <c r="DC5">
        <v>632.5</v>
      </c>
      <c r="DD5">
        <v>621.79999999999995</v>
      </c>
      <c r="DE5">
        <v>613.20000000000005</v>
      </c>
      <c r="DF5">
        <v>597</v>
      </c>
      <c r="DG5">
        <v>600.29999999999995</v>
      </c>
      <c r="DH5">
        <v>605.6</v>
      </c>
      <c r="DI5">
        <v>605.6</v>
      </c>
      <c r="DJ5">
        <v>629.1</v>
      </c>
      <c r="DK5">
        <v>625.79999999999995</v>
      </c>
      <c r="DL5">
        <v>622.6</v>
      </c>
      <c r="DM5">
        <v>635</v>
      </c>
      <c r="DN5">
        <v>627.1</v>
      </c>
      <c r="DO5">
        <v>621.6</v>
      </c>
      <c r="DP5">
        <v>616.20000000000005</v>
      </c>
      <c r="DQ5">
        <v>616.20000000000005</v>
      </c>
      <c r="DR5">
        <v>616.20000000000005</v>
      </c>
      <c r="DS5">
        <v>576</v>
      </c>
      <c r="DT5">
        <v>576</v>
      </c>
      <c r="DU5">
        <v>570.5</v>
      </c>
      <c r="DV5">
        <v>578.20000000000005</v>
      </c>
      <c r="DW5">
        <v>567.29999999999995</v>
      </c>
      <c r="DX5">
        <v>567.29999999999995</v>
      </c>
      <c r="DY5">
        <v>570.5</v>
      </c>
      <c r="DZ5">
        <v>572.70000000000005</v>
      </c>
      <c r="EA5">
        <v>564</v>
      </c>
      <c r="EB5">
        <v>542.29999999999995</v>
      </c>
      <c r="EC5">
        <v>529.20000000000005</v>
      </c>
      <c r="ED5">
        <v>534.70000000000005</v>
      </c>
      <c r="EE5">
        <v>534.70000000000005</v>
      </c>
      <c r="EF5">
        <v>534.70000000000005</v>
      </c>
      <c r="EG5">
        <v>523.79999999999995</v>
      </c>
      <c r="EH5">
        <v>522.70000000000005</v>
      </c>
      <c r="EI5">
        <v>515.1</v>
      </c>
      <c r="EJ5">
        <v>515.1</v>
      </c>
      <c r="EK5">
        <v>515.1</v>
      </c>
      <c r="EL5">
        <v>523.79999999999995</v>
      </c>
      <c r="EM5">
        <v>515.1</v>
      </c>
    </row>
    <row r="6" spans="1:143" x14ac:dyDescent="0.2">
      <c r="A6" t="str">
        <f>Input!M6</f>
        <v>P</v>
      </c>
      <c r="B6">
        <v>5140</v>
      </c>
      <c r="C6">
        <v>5120</v>
      </c>
      <c r="D6">
        <v>5140</v>
      </c>
      <c r="E6">
        <v>5080</v>
      </c>
      <c r="F6">
        <v>5090</v>
      </c>
      <c r="G6">
        <v>5070</v>
      </c>
      <c r="H6">
        <v>5110</v>
      </c>
      <c r="I6">
        <v>5090</v>
      </c>
      <c r="J6">
        <v>5100</v>
      </c>
      <c r="K6">
        <v>5150</v>
      </c>
      <c r="L6">
        <v>5150</v>
      </c>
      <c r="M6">
        <v>5210</v>
      </c>
      <c r="N6">
        <v>5250</v>
      </c>
      <c r="O6">
        <v>5250</v>
      </c>
      <c r="P6">
        <v>5220</v>
      </c>
      <c r="Q6">
        <v>5250</v>
      </c>
      <c r="R6">
        <v>5220</v>
      </c>
      <c r="S6">
        <v>5200</v>
      </c>
      <c r="T6">
        <v>5190</v>
      </c>
      <c r="U6">
        <v>5100</v>
      </c>
      <c r="V6">
        <v>5120</v>
      </c>
      <c r="W6">
        <v>5110</v>
      </c>
      <c r="X6">
        <v>5040</v>
      </c>
      <c r="Y6">
        <v>5050</v>
      </c>
      <c r="Z6">
        <v>4990</v>
      </c>
      <c r="AA6">
        <v>5100</v>
      </c>
      <c r="AB6">
        <v>5140</v>
      </c>
      <c r="AC6">
        <v>5150</v>
      </c>
      <c r="AD6">
        <v>5180</v>
      </c>
      <c r="AE6">
        <v>5140</v>
      </c>
      <c r="AF6">
        <v>5220</v>
      </c>
      <c r="AG6">
        <v>5220</v>
      </c>
      <c r="AH6">
        <v>5240</v>
      </c>
      <c r="AI6">
        <v>5230</v>
      </c>
      <c r="AJ6">
        <v>5230</v>
      </c>
      <c r="AK6">
        <v>5240</v>
      </c>
      <c r="AL6">
        <v>5300</v>
      </c>
      <c r="AM6">
        <v>5330</v>
      </c>
      <c r="AN6">
        <v>5360</v>
      </c>
      <c r="AO6">
        <v>5340</v>
      </c>
      <c r="AP6">
        <v>5340</v>
      </c>
      <c r="AQ6">
        <v>5330</v>
      </c>
      <c r="AR6">
        <v>5350</v>
      </c>
      <c r="AS6">
        <v>5360</v>
      </c>
      <c r="AT6">
        <v>5470</v>
      </c>
      <c r="AU6">
        <v>5490</v>
      </c>
      <c r="AV6">
        <v>5480</v>
      </c>
      <c r="AW6">
        <v>5490</v>
      </c>
      <c r="AX6">
        <v>5550</v>
      </c>
      <c r="AY6">
        <v>5580</v>
      </c>
      <c r="AZ6">
        <v>5590</v>
      </c>
      <c r="BA6">
        <v>5600</v>
      </c>
      <c r="BB6">
        <v>5710</v>
      </c>
      <c r="BC6">
        <v>5700</v>
      </c>
      <c r="BD6">
        <v>5730</v>
      </c>
      <c r="BE6">
        <v>5700</v>
      </c>
      <c r="BF6">
        <v>5710</v>
      </c>
      <c r="BG6">
        <v>5670</v>
      </c>
      <c r="BH6">
        <v>5710</v>
      </c>
      <c r="BI6">
        <v>5740</v>
      </c>
      <c r="BJ6">
        <v>5760</v>
      </c>
      <c r="BK6">
        <v>5770</v>
      </c>
      <c r="BL6">
        <v>5800</v>
      </c>
      <c r="BM6">
        <v>5770</v>
      </c>
      <c r="BN6">
        <v>5760</v>
      </c>
      <c r="BO6">
        <v>5750</v>
      </c>
      <c r="BP6">
        <v>5760</v>
      </c>
      <c r="BQ6">
        <v>5710</v>
      </c>
      <c r="BR6">
        <v>5660</v>
      </c>
      <c r="BS6">
        <v>5670</v>
      </c>
      <c r="BT6">
        <v>5870</v>
      </c>
      <c r="BU6">
        <v>5710</v>
      </c>
      <c r="BV6">
        <v>5720</v>
      </c>
      <c r="BW6">
        <v>5650</v>
      </c>
      <c r="BX6">
        <v>5650</v>
      </c>
      <c r="BY6">
        <v>5650</v>
      </c>
      <c r="BZ6">
        <v>5670</v>
      </c>
      <c r="CA6">
        <v>5600</v>
      </c>
      <c r="CB6">
        <v>5600</v>
      </c>
      <c r="CC6">
        <v>5670</v>
      </c>
      <c r="CD6">
        <v>5680</v>
      </c>
      <c r="CE6">
        <v>5670</v>
      </c>
      <c r="CF6">
        <v>5710</v>
      </c>
      <c r="CG6">
        <v>5780</v>
      </c>
      <c r="CH6">
        <v>5800</v>
      </c>
      <c r="CI6">
        <v>5810</v>
      </c>
      <c r="CJ6">
        <v>5790</v>
      </c>
      <c r="CK6">
        <v>5810</v>
      </c>
      <c r="CL6">
        <v>5830</v>
      </c>
      <c r="CM6">
        <v>5780</v>
      </c>
      <c r="CN6">
        <v>5690</v>
      </c>
      <c r="CO6">
        <v>5730</v>
      </c>
      <c r="CP6">
        <v>5620</v>
      </c>
      <c r="CQ6">
        <v>5600</v>
      </c>
      <c r="CR6">
        <v>5620</v>
      </c>
      <c r="CS6">
        <v>5600</v>
      </c>
      <c r="CT6">
        <v>5630</v>
      </c>
      <c r="CU6">
        <v>5610</v>
      </c>
      <c r="CV6">
        <v>5580</v>
      </c>
      <c r="CW6">
        <v>5590</v>
      </c>
      <c r="CX6">
        <v>5600</v>
      </c>
      <c r="CY6">
        <v>5640</v>
      </c>
      <c r="CZ6">
        <v>5650</v>
      </c>
      <c r="DA6">
        <v>5640</v>
      </c>
      <c r="DB6">
        <v>5650</v>
      </c>
      <c r="DC6">
        <v>5650</v>
      </c>
      <c r="DD6">
        <v>5610</v>
      </c>
      <c r="DE6">
        <v>5570</v>
      </c>
      <c r="DF6">
        <v>5560</v>
      </c>
      <c r="DG6">
        <v>5560</v>
      </c>
      <c r="DH6">
        <v>5620</v>
      </c>
      <c r="DI6">
        <v>5620</v>
      </c>
      <c r="DJ6">
        <v>5600</v>
      </c>
      <c r="DK6">
        <v>5620</v>
      </c>
      <c r="DL6">
        <v>5610</v>
      </c>
      <c r="DM6">
        <v>5580</v>
      </c>
      <c r="DN6">
        <v>5560</v>
      </c>
      <c r="DO6">
        <v>5540</v>
      </c>
      <c r="DP6">
        <v>5580</v>
      </c>
      <c r="DQ6">
        <v>5630</v>
      </c>
      <c r="DR6">
        <v>5690</v>
      </c>
      <c r="DS6">
        <v>5670</v>
      </c>
      <c r="DT6">
        <v>5640</v>
      </c>
      <c r="DU6">
        <v>5650</v>
      </c>
      <c r="DV6">
        <v>5610</v>
      </c>
      <c r="DW6">
        <v>5580</v>
      </c>
      <c r="DX6">
        <v>5550</v>
      </c>
      <c r="DY6">
        <v>5610</v>
      </c>
      <c r="DZ6">
        <v>5600</v>
      </c>
      <c r="EA6">
        <v>5560</v>
      </c>
      <c r="EB6">
        <v>5650</v>
      </c>
      <c r="EC6">
        <v>5640</v>
      </c>
      <c r="ED6">
        <v>5610</v>
      </c>
      <c r="EE6">
        <v>5670</v>
      </c>
      <c r="EF6">
        <v>5710</v>
      </c>
      <c r="EG6">
        <v>5710</v>
      </c>
      <c r="EH6">
        <v>5700</v>
      </c>
      <c r="EI6">
        <v>5650</v>
      </c>
      <c r="EJ6">
        <v>5650</v>
      </c>
      <c r="EK6">
        <v>5570</v>
      </c>
      <c r="EL6">
        <v>5550</v>
      </c>
      <c r="EM6">
        <v>5620</v>
      </c>
    </row>
    <row r="7" spans="1:143" x14ac:dyDescent="0.2">
      <c r="A7" t="str">
        <f>Input!M7</f>
        <v>RM</v>
      </c>
      <c r="B7">
        <v>2250</v>
      </c>
      <c r="C7">
        <v>2250</v>
      </c>
      <c r="D7">
        <v>2280</v>
      </c>
      <c r="E7">
        <v>2270</v>
      </c>
      <c r="F7">
        <v>2250</v>
      </c>
      <c r="G7">
        <v>2250</v>
      </c>
      <c r="H7">
        <v>2250</v>
      </c>
      <c r="I7">
        <v>2250</v>
      </c>
      <c r="J7">
        <v>2250</v>
      </c>
      <c r="K7">
        <v>2240</v>
      </c>
      <c r="L7">
        <v>2250</v>
      </c>
      <c r="M7">
        <v>2250</v>
      </c>
      <c r="N7">
        <v>2260</v>
      </c>
      <c r="O7">
        <v>2260</v>
      </c>
      <c r="P7">
        <v>2270</v>
      </c>
      <c r="Q7">
        <v>2270</v>
      </c>
      <c r="R7">
        <v>2270</v>
      </c>
      <c r="S7">
        <v>2280</v>
      </c>
      <c r="T7">
        <v>2290</v>
      </c>
      <c r="U7">
        <v>2290</v>
      </c>
      <c r="V7">
        <v>2300</v>
      </c>
      <c r="W7">
        <v>2300</v>
      </c>
      <c r="X7">
        <v>2290</v>
      </c>
      <c r="Y7">
        <v>2290</v>
      </c>
      <c r="Z7">
        <v>2313</v>
      </c>
      <c r="AA7">
        <v>2326</v>
      </c>
      <c r="AB7">
        <v>2326</v>
      </c>
      <c r="AC7">
        <v>2334</v>
      </c>
      <c r="AD7">
        <v>2320</v>
      </c>
      <c r="AE7">
        <v>2320</v>
      </c>
      <c r="AF7">
        <v>2330</v>
      </c>
      <c r="AG7">
        <v>2300</v>
      </c>
      <c r="AH7">
        <v>2300</v>
      </c>
      <c r="AI7">
        <v>2300</v>
      </c>
      <c r="AJ7">
        <v>2300</v>
      </c>
      <c r="AK7">
        <v>2320</v>
      </c>
      <c r="AL7">
        <v>2320</v>
      </c>
      <c r="AM7">
        <v>2320</v>
      </c>
      <c r="AN7">
        <v>2290</v>
      </c>
      <c r="AO7">
        <v>2300</v>
      </c>
      <c r="AP7">
        <v>2300</v>
      </c>
      <c r="AQ7">
        <v>2330</v>
      </c>
      <c r="AR7">
        <v>2330</v>
      </c>
      <c r="AS7">
        <v>2330</v>
      </c>
      <c r="AT7">
        <v>2330</v>
      </c>
      <c r="AU7">
        <v>2330</v>
      </c>
      <c r="AV7">
        <v>2380</v>
      </c>
      <c r="AW7">
        <v>2330</v>
      </c>
      <c r="AX7">
        <v>2300</v>
      </c>
      <c r="AY7">
        <v>2310</v>
      </c>
      <c r="AZ7">
        <v>2280</v>
      </c>
      <c r="BA7">
        <v>2280</v>
      </c>
      <c r="BB7">
        <v>2280</v>
      </c>
      <c r="BC7">
        <v>2264</v>
      </c>
      <c r="BD7">
        <v>2274</v>
      </c>
      <c r="BE7">
        <v>2280</v>
      </c>
      <c r="BF7">
        <v>2270</v>
      </c>
      <c r="BG7">
        <v>2265</v>
      </c>
      <c r="BH7">
        <v>2292</v>
      </c>
      <c r="BI7">
        <v>2292</v>
      </c>
      <c r="BJ7">
        <v>2305</v>
      </c>
      <c r="BK7">
        <v>2298</v>
      </c>
      <c r="BL7">
        <v>2320</v>
      </c>
      <c r="BM7">
        <v>2309</v>
      </c>
      <c r="BN7">
        <v>2331</v>
      </c>
      <c r="BO7">
        <v>2349</v>
      </c>
      <c r="BP7">
        <v>2351</v>
      </c>
      <c r="BQ7">
        <v>2345</v>
      </c>
      <c r="BR7">
        <v>2370</v>
      </c>
      <c r="BS7">
        <v>2392</v>
      </c>
      <c r="BT7">
        <v>2385</v>
      </c>
      <c r="BU7">
        <v>2392</v>
      </c>
      <c r="BV7">
        <v>2405</v>
      </c>
      <c r="BW7">
        <v>2405</v>
      </c>
      <c r="BX7">
        <v>2364</v>
      </c>
      <c r="BY7">
        <v>2359</v>
      </c>
      <c r="BZ7">
        <v>2390</v>
      </c>
      <c r="CA7">
        <v>2337</v>
      </c>
      <c r="CB7">
        <v>2353</v>
      </c>
      <c r="CC7">
        <v>2353</v>
      </c>
      <c r="CD7">
        <v>2356</v>
      </c>
      <c r="CE7">
        <v>2382</v>
      </c>
      <c r="CF7">
        <v>2374</v>
      </c>
      <c r="CG7">
        <v>2291</v>
      </c>
      <c r="CH7">
        <v>2340</v>
      </c>
      <c r="CI7">
        <v>2340</v>
      </c>
      <c r="CJ7">
        <v>2340</v>
      </c>
      <c r="CK7">
        <v>2330</v>
      </c>
      <c r="CL7">
        <v>2320</v>
      </c>
      <c r="CM7">
        <v>2213</v>
      </c>
      <c r="CN7">
        <v>2257</v>
      </c>
      <c r="CO7">
        <v>2400</v>
      </c>
      <c r="CP7">
        <v>2400</v>
      </c>
      <c r="CQ7">
        <v>2400</v>
      </c>
      <c r="CR7">
        <v>2300</v>
      </c>
      <c r="CS7">
        <v>2300</v>
      </c>
      <c r="CT7">
        <v>2300</v>
      </c>
      <c r="CU7">
        <v>2300</v>
      </c>
      <c r="CV7">
        <v>2300</v>
      </c>
      <c r="CW7">
        <v>2320</v>
      </c>
      <c r="CX7">
        <v>2320</v>
      </c>
      <c r="CY7">
        <v>2320</v>
      </c>
      <c r="CZ7">
        <v>2320</v>
      </c>
      <c r="DA7">
        <v>2320</v>
      </c>
      <c r="DB7">
        <v>2320</v>
      </c>
      <c r="DC7">
        <v>2320</v>
      </c>
      <c r="DD7">
        <v>2292</v>
      </c>
      <c r="DE7">
        <v>2292</v>
      </c>
      <c r="DF7">
        <v>2278</v>
      </c>
      <c r="DG7">
        <v>2253</v>
      </c>
      <c r="DH7">
        <v>2300</v>
      </c>
      <c r="DI7">
        <v>2280</v>
      </c>
      <c r="DJ7">
        <v>2313</v>
      </c>
      <c r="DK7">
        <v>2313</v>
      </c>
      <c r="DL7">
        <v>2310</v>
      </c>
      <c r="DM7">
        <v>2313</v>
      </c>
      <c r="DN7">
        <v>2367</v>
      </c>
      <c r="DO7">
        <v>2339</v>
      </c>
      <c r="DP7">
        <v>2354</v>
      </c>
      <c r="DQ7">
        <v>2330</v>
      </c>
      <c r="DR7">
        <v>2358</v>
      </c>
      <c r="DS7">
        <v>2332</v>
      </c>
      <c r="DT7">
        <v>2285</v>
      </c>
      <c r="DU7">
        <v>2282</v>
      </c>
      <c r="DV7">
        <v>2274</v>
      </c>
      <c r="DW7">
        <v>2325</v>
      </c>
      <c r="DX7">
        <v>2294</v>
      </c>
      <c r="DY7">
        <v>2360</v>
      </c>
      <c r="DZ7">
        <v>2360</v>
      </c>
      <c r="EA7">
        <v>2340</v>
      </c>
      <c r="EB7">
        <v>2360</v>
      </c>
      <c r="EC7">
        <v>2360</v>
      </c>
      <c r="ED7">
        <v>2413</v>
      </c>
      <c r="EE7">
        <v>2413</v>
      </c>
      <c r="EF7">
        <v>2437</v>
      </c>
      <c r="EG7">
        <v>2436</v>
      </c>
      <c r="EH7">
        <v>2419</v>
      </c>
      <c r="EI7">
        <v>2374</v>
      </c>
      <c r="EJ7">
        <v>2450</v>
      </c>
      <c r="EK7">
        <v>2450</v>
      </c>
      <c r="EL7">
        <v>2420</v>
      </c>
      <c r="EM7">
        <v>2320</v>
      </c>
    </row>
    <row r="8" spans="1:143" x14ac:dyDescent="0.2">
      <c r="A8" t="str">
        <f>Input!M8</f>
        <v>ZN</v>
      </c>
      <c r="B8">
        <v>26120</v>
      </c>
      <c r="C8">
        <v>26240</v>
      </c>
      <c r="D8">
        <v>26090</v>
      </c>
      <c r="E8">
        <v>26090</v>
      </c>
      <c r="F8">
        <v>26120</v>
      </c>
      <c r="G8">
        <v>25980</v>
      </c>
      <c r="H8">
        <v>26000</v>
      </c>
      <c r="I8">
        <v>26110</v>
      </c>
      <c r="J8">
        <v>26210</v>
      </c>
      <c r="K8">
        <v>26210</v>
      </c>
      <c r="L8">
        <v>26220</v>
      </c>
      <c r="M8">
        <v>26120</v>
      </c>
      <c r="N8">
        <v>26200</v>
      </c>
      <c r="O8">
        <v>26300</v>
      </c>
      <c r="P8">
        <v>26020</v>
      </c>
      <c r="Q8">
        <v>26050</v>
      </c>
      <c r="R8">
        <v>25840</v>
      </c>
      <c r="S8">
        <v>25950</v>
      </c>
      <c r="T8">
        <v>25720</v>
      </c>
      <c r="U8">
        <v>25650</v>
      </c>
      <c r="V8">
        <v>25490</v>
      </c>
      <c r="W8">
        <v>25440</v>
      </c>
      <c r="X8">
        <v>25460</v>
      </c>
      <c r="Y8">
        <v>25770</v>
      </c>
      <c r="Z8">
        <v>25560</v>
      </c>
      <c r="AA8">
        <v>25570</v>
      </c>
      <c r="AB8">
        <v>25640</v>
      </c>
      <c r="AC8">
        <v>25630</v>
      </c>
      <c r="AD8">
        <v>25690</v>
      </c>
      <c r="AE8">
        <v>25550</v>
      </c>
      <c r="AF8">
        <v>25530</v>
      </c>
      <c r="AG8">
        <v>25450</v>
      </c>
      <c r="AH8">
        <v>25250</v>
      </c>
      <c r="AI8">
        <v>25250</v>
      </c>
      <c r="AJ8">
        <v>24800</v>
      </c>
      <c r="AK8">
        <v>24990</v>
      </c>
      <c r="AL8">
        <v>24980</v>
      </c>
      <c r="AM8">
        <v>25620</v>
      </c>
      <c r="AN8">
        <v>25810</v>
      </c>
      <c r="AO8">
        <v>25230</v>
      </c>
      <c r="AP8">
        <v>25030</v>
      </c>
      <c r="AQ8">
        <v>25120</v>
      </c>
      <c r="AR8">
        <v>25250</v>
      </c>
      <c r="AS8">
        <v>25630</v>
      </c>
      <c r="AT8">
        <v>25840</v>
      </c>
      <c r="AU8">
        <v>25920</v>
      </c>
      <c r="AV8">
        <v>25420</v>
      </c>
      <c r="AW8">
        <v>25520</v>
      </c>
      <c r="AX8">
        <v>25400</v>
      </c>
      <c r="AY8">
        <v>25530</v>
      </c>
      <c r="AZ8">
        <v>25530</v>
      </c>
      <c r="BA8">
        <v>26110</v>
      </c>
      <c r="BB8">
        <v>26160</v>
      </c>
      <c r="BC8">
        <v>26030</v>
      </c>
      <c r="BD8">
        <v>25880</v>
      </c>
      <c r="BE8">
        <v>25800</v>
      </c>
      <c r="BF8">
        <v>26150</v>
      </c>
      <c r="BG8">
        <v>26200</v>
      </c>
      <c r="BH8">
        <v>26310</v>
      </c>
      <c r="BI8">
        <v>26340</v>
      </c>
      <c r="BJ8">
        <v>26650</v>
      </c>
      <c r="BK8">
        <v>26300</v>
      </c>
      <c r="BL8">
        <v>26110</v>
      </c>
      <c r="BM8">
        <v>26150</v>
      </c>
      <c r="BN8">
        <v>26520</v>
      </c>
      <c r="BO8">
        <v>26420</v>
      </c>
      <c r="BP8">
        <v>26420</v>
      </c>
      <c r="BQ8">
        <v>26080</v>
      </c>
      <c r="BR8">
        <v>26020</v>
      </c>
      <c r="BS8">
        <v>26040</v>
      </c>
      <c r="BT8">
        <v>25910</v>
      </c>
      <c r="BU8">
        <v>26350</v>
      </c>
      <c r="BV8">
        <v>26530</v>
      </c>
      <c r="BW8">
        <v>26650</v>
      </c>
      <c r="BX8">
        <v>26500</v>
      </c>
      <c r="BY8">
        <v>26930</v>
      </c>
      <c r="BZ8">
        <v>27120</v>
      </c>
      <c r="CA8">
        <v>26400</v>
      </c>
      <c r="CB8">
        <v>26150</v>
      </c>
      <c r="CC8">
        <v>26250</v>
      </c>
      <c r="CD8">
        <v>26350</v>
      </c>
      <c r="CE8">
        <v>25880</v>
      </c>
      <c r="CF8">
        <v>25650</v>
      </c>
      <c r="CG8">
        <v>26010</v>
      </c>
      <c r="CH8">
        <v>25930</v>
      </c>
      <c r="CI8">
        <v>26020</v>
      </c>
      <c r="CJ8">
        <v>25600</v>
      </c>
      <c r="CK8">
        <v>25480</v>
      </c>
      <c r="CL8">
        <v>25290</v>
      </c>
      <c r="CM8">
        <v>25480</v>
      </c>
      <c r="CN8">
        <v>25490</v>
      </c>
      <c r="CO8">
        <v>25180</v>
      </c>
      <c r="CP8">
        <v>25660</v>
      </c>
      <c r="CQ8">
        <v>25630</v>
      </c>
      <c r="CR8">
        <v>25720</v>
      </c>
      <c r="CS8">
        <v>26420</v>
      </c>
      <c r="CT8">
        <v>26520</v>
      </c>
      <c r="CU8">
        <v>26110</v>
      </c>
      <c r="CV8">
        <v>26000</v>
      </c>
      <c r="CW8">
        <v>26100</v>
      </c>
      <c r="CX8">
        <v>26300</v>
      </c>
      <c r="CY8">
        <v>26240</v>
      </c>
      <c r="CZ8">
        <v>26510</v>
      </c>
      <c r="DA8">
        <v>26780</v>
      </c>
      <c r="DB8">
        <v>26230</v>
      </c>
      <c r="DC8">
        <v>26600</v>
      </c>
      <c r="DD8">
        <v>27030</v>
      </c>
      <c r="DE8">
        <v>26500</v>
      </c>
      <c r="DF8">
        <v>26450</v>
      </c>
      <c r="DG8">
        <v>24900</v>
      </c>
      <c r="DH8">
        <v>24650</v>
      </c>
      <c r="DI8">
        <v>24320</v>
      </c>
      <c r="DJ8">
        <v>24280</v>
      </c>
      <c r="DK8">
        <v>24400</v>
      </c>
      <c r="DL8">
        <v>24350</v>
      </c>
      <c r="DM8">
        <v>23990</v>
      </c>
      <c r="DN8">
        <v>23420</v>
      </c>
      <c r="DO8">
        <v>23560</v>
      </c>
      <c r="DP8">
        <v>23680</v>
      </c>
      <c r="DQ8">
        <v>23090</v>
      </c>
      <c r="DR8">
        <v>23200</v>
      </c>
      <c r="DS8">
        <v>23320</v>
      </c>
      <c r="DT8">
        <v>23220</v>
      </c>
      <c r="DU8">
        <v>23320</v>
      </c>
      <c r="DV8">
        <v>23500</v>
      </c>
      <c r="DW8">
        <v>23200</v>
      </c>
      <c r="DX8">
        <v>22960</v>
      </c>
      <c r="DY8">
        <v>22980</v>
      </c>
      <c r="DZ8">
        <v>22830</v>
      </c>
      <c r="EA8">
        <v>22930</v>
      </c>
      <c r="EB8">
        <v>23270</v>
      </c>
      <c r="EC8">
        <v>22970</v>
      </c>
      <c r="ED8">
        <v>22930</v>
      </c>
      <c r="EE8">
        <v>23400</v>
      </c>
      <c r="EF8">
        <v>23450</v>
      </c>
      <c r="EG8">
        <v>23230</v>
      </c>
      <c r="EH8">
        <v>23300</v>
      </c>
      <c r="EI8">
        <v>23100</v>
      </c>
      <c r="EJ8">
        <v>23120</v>
      </c>
      <c r="EK8">
        <v>23330</v>
      </c>
      <c r="EL8">
        <v>23290</v>
      </c>
      <c r="EM8">
        <v>22970</v>
      </c>
    </row>
    <row r="9" spans="1:143" x14ac:dyDescent="0.2">
      <c r="A9" t="str">
        <f>Input!M9</f>
        <v>HC</v>
      </c>
      <c r="B9">
        <v>4120</v>
      </c>
      <c r="C9">
        <v>4120</v>
      </c>
      <c r="D9">
        <v>4080</v>
      </c>
      <c r="E9">
        <v>4080</v>
      </c>
      <c r="F9">
        <v>4080</v>
      </c>
      <c r="G9">
        <v>4060</v>
      </c>
      <c r="H9">
        <v>4060</v>
      </c>
      <c r="I9">
        <v>4100</v>
      </c>
      <c r="J9">
        <v>4100</v>
      </c>
      <c r="K9">
        <v>4100</v>
      </c>
      <c r="L9">
        <v>4160</v>
      </c>
      <c r="M9">
        <v>4190</v>
      </c>
      <c r="N9">
        <v>4190</v>
      </c>
      <c r="O9">
        <v>4200</v>
      </c>
      <c r="P9">
        <v>4210</v>
      </c>
      <c r="Q9">
        <v>4230</v>
      </c>
      <c r="R9">
        <v>4230</v>
      </c>
      <c r="S9">
        <v>4250</v>
      </c>
      <c r="T9">
        <v>4240</v>
      </c>
      <c r="U9">
        <v>4230</v>
      </c>
      <c r="V9">
        <v>4250</v>
      </c>
      <c r="W9">
        <v>4250</v>
      </c>
      <c r="X9">
        <v>4250</v>
      </c>
      <c r="Y9">
        <v>4300</v>
      </c>
      <c r="Z9">
        <v>4330</v>
      </c>
      <c r="AA9">
        <v>4280</v>
      </c>
      <c r="AB9">
        <v>4280</v>
      </c>
      <c r="AC9">
        <v>4310</v>
      </c>
      <c r="AD9">
        <v>4330</v>
      </c>
      <c r="AE9">
        <v>4260</v>
      </c>
      <c r="AF9">
        <v>4260</v>
      </c>
      <c r="AG9">
        <v>4260</v>
      </c>
      <c r="AH9">
        <v>4300</v>
      </c>
      <c r="AI9">
        <v>4240</v>
      </c>
      <c r="AJ9">
        <v>4180</v>
      </c>
      <c r="AK9">
        <v>4200</v>
      </c>
      <c r="AL9">
        <v>4240</v>
      </c>
      <c r="AM9">
        <v>4300</v>
      </c>
      <c r="AN9">
        <v>4260</v>
      </c>
      <c r="AO9">
        <v>4220</v>
      </c>
      <c r="AP9">
        <v>4220</v>
      </c>
      <c r="AQ9">
        <v>4160</v>
      </c>
      <c r="AR9">
        <v>4120</v>
      </c>
      <c r="AS9">
        <v>4120</v>
      </c>
      <c r="AT9">
        <v>4120</v>
      </c>
      <c r="AU9">
        <v>4120</v>
      </c>
      <c r="AV9">
        <v>4040</v>
      </c>
      <c r="AW9">
        <v>4040</v>
      </c>
      <c r="AX9">
        <v>4060</v>
      </c>
      <c r="AY9">
        <v>4100</v>
      </c>
      <c r="AZ9">
        <v>4100</v>
      </c>
      <c r="BA9">
        <v>4100</v>
      </c>
      <c r="BB9">
        <v>4100</v>
      </c>
      <c r="BC9">
        <v>4030</v>
      </c>
      <c r="BD9">
        <v>4060</v>
      </c>
      <c r="BE9">
        <v>4000</v>
      </c>
      <c r="BF9">
        <v>4060</v>
      </c>
      <c r="BG9">
        <v>4030</v>
      </c>
      <c r="BH9">
        <v>3980</v>
      </c>
      <c r="BI9">
        <v>3960</v>
      </c>
      <c r="BJ9">
        <v>4020</v>
      </c>
      <c r="BK9">
        <v>3960</v>
      </c>
      <c r="BL9">
        <v>3980</v>
      </c>
      <c r="BM9">
        <v>4020</v>
      </c>
      <c r="BN9">
        <v>4060</v>
      </c>
      <c r="BO9">
        <v>4180</v>
      </c>
      <c r="BP9">
        <v>4190</v>
      </c>
      <c r="BQ9">
        <v>4190</v>
      </c>
      <c r="BR9">
        <v>4070</v>
      </c>
      <c r="BS9">
        <v>4070</v>
      </c>
      <c r="BT9">
        <v>4190</v>
      </c>
      <c r="BU9">
        <v>4190</v>
      </c>
      <c r="BV9">
        <v>4190</v>
      </c>
      <c r="BW9">
        <v>4140</v>
      </c>
      <c r="BX9">
        <v>4020</v>
      </c>
      <c r="BY9">
        <v>4000</v>
      </c>
      <c r="BZ9">
        <v>4050</v>
      </c>
      <c r="CA9">
        <v>3960</v>
      </c>
      <c r="CB9">
        <v>3960</v>
      </c>
      <c r="CC9">
        <v>3910</v>
      </c>
      <c r="CD9">
        <v>3910</v>
      </c>
      <c r="CE9">
        <v>3950</v>
      </c>
      <c r="CF9">
        <v>3970</v>
      </c>
      <c r="CG9">
        <v>4080</v>
      </c>
      <c r="CH9">
        <v>4080</v>
      </c>
      <c r="CI9">
        <v>4130</v>
      </c>
      <c r="CJ9">
        <v>4140</v>
      </c>
      <c r="CK9">
        <v>4140</v>
      </c>
      <c r="CL9">
        <v>4180</v>
      </c>
      <c r="CM9">
        <v>4200</v>
      </c>
      <c r="CN9">
        <v>4200</v>
      </c>
      <c r="CO9">
        <v>4180</v>
      </c>
      <c r="CP9">
        <v>4250</v>
      </c>
      <c r="CQ9">
        <v>4260</v>
      </c>
      <c r="CR9">
        <v>4270</v>
      </c>
      <c r="CS9">
        <v>4320</v>
      </c>
      <c r="CT9">
        <v>4320</v>
      </c>
      <c r="CU9">
        <v>4090</v>
      </c>
      <c r="CV9">
        <v>4060</v>
      </c>
      <c r="CW9">
        <v>4090</v>
      </c>
      <c r="CX9">
        <v>4160</v>
      </c>
      <c r="CY9">
        <v>4090</v>
      </c>
      <c r="CZ9">
        <v>4120</v>
      </c>
      <c r="DA9">
        <v>4020</v>
      </c>
      <c r="DB9">
        <v>4050</v>
      </c>
      <c r="DC9">
        <v>4140</v>
      </c>
      <c r="DD9">
        <v>4140</v>
      </c>
      <c r="DE9">
        <v>4090</v>
      </c>
      <c r="DF9">
        <v>4090</v>
      </c>
      <c r="DG9">
        <v>4000</v>
      </c>
      <c r="DH9">
        <v>3930</v>
      </c>
      <c r="DI9">
        <v>4050</v>
      </c>
      <c r="DJ9">
        <v>4110</v>
      </c>
      <c r="DK9">
        <v>4100</v>
      </c>
      <c r="DL9">
        <v>4080</v>
      </c>
      <c r="DM9">
        <v>4100</v>
      </c>
      <c r="DN9">
        <v>4120</v>
      </c>
      <c r="DO9">
        <v>3910</v>
      </c>
      <c r="DP9">
        <v>3890</v>
      </c>
      <c r="DQ9">
        <v>3860</v>
      </c>
      <c r="DR9">
        <v>3860</v>
      </c>
      <c r="DS9">
        <v>3790</v>
      </c>
      <c r="DT9">
        <v>3790</v>
      </c>
      <c r="DU9">
        <v>3770</v>
      </c>
      <c r="DV9">
        <v>3800</v>
      </c>
      <c r="DW9">
        <v>3750</v>
      </c>
      <c r="DX9">
        <v>3750</v>
      </c>
      <c r="DY9">
        <v>3730</v>
      </c>
      <c r="DZ9">
        <v>3810</v>
      </c>
      <c r="EA9">
        <v>3810</v>
      </c>
      <c r="EB9">
        <v>3810</v>
      </c>
      <c r="EC9">
        <v>3780</v>
      </c>
      <c r="ED9">
        <v>3720</v>
      </c>
      <c r="EE9">
        <v>3690</v>
      </c>
      <c r="EF9">
        <v>3690</v>
      </c>
      <c r="EG9">
        <v>3630</v>
      </c>
      <c r="EH9">
        <v>3590</v>
      </c>
      <c r="EI9">
        <v>3560</v>
      </c>
      <c r="EJ9">
        <v>3560</v>
      </c>
      <c r="EK9">
        <v>3590</v>
      </c>
      <c r="EL9">
        <v>3570</v>
      </c>
      <c r="EM9">
        <v>3530</v>
      </c>
    </row>
    <row r="10" spans="1:143" x14ac:dyDescent="0.2">
      <c r="A10" t="str">
        <f>Input!M10</f>
        <v>A</v>
      </c>
      <c r="B10">
        <v>3650</v>
      </c>
      <c r="C10">
        <v>3650</v>
      </c>
      <c r="D10">
        <v>3650</v>
      </c>
      <c r="E10">
        <v>3650</v>
      </c>
      <c r="F10">
        <v>3650</v>
      </c>
      <c r="G10">
        <v>3650</v>
      </c>
      <c r="H10">
        <v>3650</v>
      </c>
      <c r="I10">
        <v>3650</v>
      </c>
      <c r="J10">
        <v>3700</v>
      </c>
      <c r="K10">
        <v>3700</v>
      </c>
      <c r="L10">
        <v>3700</v>
      </c>
      <c r="M10">
        <v>3700</v>
      </c>
      <c r="N10">
        <v>3700</v>
      </c>
      <c r="O10">
        <v>3700</v>
      </c>
      <c r="P10">
        <v>3700</v>
      </c>
      <c r="Q10">
        <v>3700</v>
      </c>
      <c r="R10">
        <v>3700</v>
      </c>
      <c r="S10">
        <v>3700</v>
      </c>
      <c r="T10">
        <v>3700</v>
      </c>
      <c r="U10">
        <v>3700</v>
      </c>
      <c r="V10">
        <v>3700</v>
      </c>
      <c r="W10">
        <v>3700</v>
      </c>
      <c r="X10">
        <v>3700</v>
      </c>
      <c r="Y10">
        <v>3700</v>
      </c>
      <c r="Z10">
        <v>3700</v>
      </c>
      <c r="AA10">
        <v>3700</v>
      </c>
      <c r="AB10">
        <v>3700</v>
      </c>
      <c r="AC10">
        <v>3700</v>
      </c>
      <c r="AD10">
        <v>3700</v>
      </c>
      <c r="AE10">
        <v>3700</v>
      </c>
      <c r="AF10">
        <v>3700</v>
      </c>
      <c r="AG10">
        <v>3700</v>
      </c>
      <c r="AH10">
        <v>3700</v>
      </c>
      <c r="AI10">
        <v>3700</v>
      </c>
      <c r="AJ10">
        <v>3700</v>
      </c>
      <c r="AK10">
        <v>3700</v>
      </c>
      <c r="AL10">
        <v>3700</v>
      </c>
      <c r="AM10">
        <v>3700</v>
      </c>
      <c r="AN10">
        <v>3700</v>
      </c>
      <c r="AO10">
        <v>3700</v>
      </c>
      <c r="AP10">
        <v>3700</v>
      </c>
      <c r="AQ10">
        <v>3700</v>
      </c>
      <c r="AR10">
        <v>3700</v>
      </c>
      <c r="AS10">
        <v>3700</v>
      </c>
      <c r="AT10">
        <v>3700</v>
      </c>
      <c r="AU10">
        <v>3700</v>
      </c>
      <c r="AV10">
        <v>3700</v>
      </c>
      <c r="AW10">
        <v>3700</v>
      </c>
      <c r="AX10">
        <v>3700</v>
      </c>
      <c r="AY10">
        <v>3700</v>
      </c>
      <c r="AZ10">
        <v>3700</v>
      </c>
      <c r="BA10">
        <v>3700</v>
      </c>
      <c r="BB10">
        <v>3700</v>
      </c>
      <c r="BC10">
        <v>3700</v>
      </c>
      <c r="BD10">
        <v>3700</v>
      </c>
      <c r="BE10">
        <v>3700</v>
      </c>
      <c r="BF10">
        <v>3700</v>
      </c>
      <c r="BG10">
        <v>3700</v>
      </c>
      <c r="BH10">
        <v>3700</v>
      </c>
      <c r="BI10">
        <v>3700</v>
      </c>
      <c r="BJ10">
        <v>3700</v>
      </c>
      <c r="BK10">
        <v>3700</v>
      </c>
      <c r="BL10">
        <v>3720</v>
      </c>
      <c r="BM10">
        <v>3720</v>
      </c>
      <c r="BN10">
        <v>3720</v>
      </c>
      <c r="BO10">
        <v>3720</v>
      </c>
      <c r="BP10">
        <v>3720</v>
      </c>
      <c r="BQ10">
        <v>3720</v>
      </c>
      <c r="BR10">
        <v>3750</v>
      </c>
      <c r="BS10">
        <v>3750</v>
      </c>
      <c r="BT10">
        <v>3750</v>
      </c>
      <c r="BU10">
        <v>3750</v>
      </c>
      <c r="BV10">
        <v>3650</v>
      </c>
      <c r="BW10">
        <v>3650</v>
      </c>
      <c r="BX10">
        <v>3650</v>
      </c>
      <c r="BY10">
        <v>3650</v>
      </c>
      <c r="BZ10">
        <v>3650</v>
      </c>
      <c r="CA10">
        <v>3900</v>
      </c>
      <c r="CB10">
        <v>3900</v>
      </c>
      <c r="CC10">
        <v>3600</v>
      </c>
      <c r="CD10">
        <v>3900</v>
      </c>
      <c r="CE10">
        <v>3900</v>
      </c>
      <c r="CF10">
        <v>3900</v>
      </c>
      <c r="CG10">
        <v>3900</v>
      </c>
      <c r="CH10">
        <v>3900</v>
      </c>
      <c r="CI10">
        <v>3900</v>
      </c>
      <c r="CJ10">
        <v>3900</v>
      </c>
      <c r="CK10">
        <v>3900</v>
      </c>
      <c r="CL10">
        <v>3900</v>
      </c>
      <c r="CM10">
        <v>3900</v>
      </c>
      <c r="CN10">
        <v>3900</v>
      </c>
      <c r="CO10">
        <v>3900</v>
      </c>
      <c r="CP10">
        <v>3900</v>
      </c>
      <c r="CQ10">
        <v>3900</v>
      </c>
      <c r="CR10">
        <v>3900</v>
      </c>
      <c r="CS10">
        <v>3900</v>
      </c>
      <c r="CT10">
        <v>3900</v>
      </c>
      <c r="CU10">
        <v>3900</v>
      </c>
      <c r="CV10">
        <v>3900</v>
      </c>
      <c r="CW10">
        <v>3900</v>
      </c>
      <c r="CX10">
        <v>3900</v>
      </c>
      <c r="CY10">
        <v>3900</v>
      </c>
      <c r="CZ10">
        <v>3900</v>
      </c>
      <c r="DA10">
        <v>3900</v>
      </c>
      <c r="DB10">
        <v>3900</v>
      </c>
      <c r="DC10">
        <v>3900</v>
      </c>
      <c r="DD10">
        <v>3900</v>
      </c>
      <c r="DE10">
        <v>3900</v>
      </c>
      <c r="DF10">
        <v>3900</v>
      </c>
      <c r="DG10">
        <v>3900</v>
      </c>
      <c r="DH10">
        <v>3900</v>
      </c>
      <c r="DI10">
        <v>3900</v>
      </c>
      <c r="DJ10">
        <v>3900</v>
      </c>
      <c r="DK10">
        <v>3900</v>
      </c>
      <c r="DL10">
        <v>3900</v>
      </c>
      <c r="DM10">
        <v>3900</v>
      </c>
      <c r="DN10">
        <v>4050</v>
      </c>
      <c r="DO10">
        <v>4010</v>
      </c>
      <c r="DP10">
        <v>4010</v>
      </c>
      <c r="DQ10">
        <v>4010</v>
      </c>
      <c r="DR10">
        <v>4010</v>
      </c>
      <c r="DS10">
        <v>4010</v>
      </c>
      <c r="DT10">
        <v>4010</v>
      </c>
      <c r="DU10">
        <v>4010</v>
      </c>
      <c r="DV10">
        <v>4010</v>
      </c>
      <c r="DW10">
        <v>4010</v>
      </c>
      <c r="DX10">
        <v>4010</v>
      </c>
      <c r="DY10">
        <v>4010</v>
      </c>
      <c r="DZ10">
        <v>4010</v>
      </c>
      <c r="EA10">
        <v>4010</v>
      </c>
      <c r="EB10">
        <v>4010</v>
      </c>
      <c r="EC10">
        <v>4010</v>
      </c>
      <c r="ED10">
        <v>4010</v>
      </c>
      <c r="EE10">
        <v>4010</v>
      </c>
      <c r="EF10">
        <v>4010</v>
      </c>
      <c r="EG10">
        <v>4010</v>
      </c>
      <c r="EH10">
        <v>4010</v>
      </c>
      <c r="EI10">
        <v>4010</v>
      </c>
      <c r="EJ10">
        <v>3980</v>
      </c>
      <c r="EK10">
        <v>4010</v>
      </c>
      <c r="EL10">
        <v>4010</v>
      </c>
      <c r="EM10">
        <v>4010</v>
      </c>
    </row>
    <row r="11" spans="1:143" x14ac:dyDescent="0.2">
      <c r="A11" t="str">
        <f>Input!M11</f>
        <v>ZC</v>
      </c>
      <c r="B11">
        <v>750</v>
      </c>
      <c r="C11">
        <v>745</v>
      </c>
      <c r="D11">
        <v>745</v>
      </c>
      <c r="E11">
        <v>743</v>
      </c>
      <c r="F11">
        <v>742</v>
      </c>
      <c r="G11">
        <v>742</v>
      </c>
      <c r="H11">
        <v>740</v>
      </c>
      <c r="I11">
        <v>739</v>
      </c>
      <c r="J11">
        <v>737</v>
      </c>
      <c r="K11">
        <v>737</v>
      </c>
      <c r="L11">
        <v>736</v>
      </c>
      <c r="M11">
        <v>730</v>
      </c>
      <c r="N11">
        <v>725</v>
      </c>
      <c r="O11">
        <v>722</v>
      </c>
      <c r="P11">
        <v>717</v>
      </c>
      <c r="Q11">
        <v>715</v>
      </c>
      <c r="R11">
        <v>711</v>
      </c>
      <c r="S11">
        <v>709</v>
      </c>
      <c r="T11">
        <v>708</v>
      </c>
      <c r="U11">
        <v>708</v>
      </c>
      <c r="V11">
        <v>705</v>
      </c>
      <c r="W11">
        <v>705</v>
      </c>
      <c r="X11">
        <v>703</v>
      </c>
      <c r="Y11">
        <v>703</v>
      </c>
      <c r="Z11">
        <v>700</v>
      </c>
      <c r="AA11">
        <v>699</v>
      </c>
      <c r="AB11">
        <v>699</v>
      </c>
      <c r="AC11">
        <v>699</v>
      </c>
      <c r="AD11">
        <v>697</v>
      </c>
      <c r="AE11">
        <v>695</v>
      </c>
      <c r="AF11">
        <v>695</v>
      </c>
      <c r="AG11">
        <v>693</v>
      </c>
      <c r="AH11">
        <v>692</v>
      </c>
      <c r="AI11">
        <v>692</v>
      </c>
      <c r="AJ11">
        <v>692</v>
      </c>
      <c r="AK11">
        <v>691</v>
      </c>
      <c r="AL11">
        <v>691</v>
      </c>
      <c r="AM11">
        <v>691</v>
      </c>
      <c r="AN11">
        <v>689</v>
      </c>
      <c r="AO11">
        <v>688</v>
      </c>
      <c r="AP11">
        <v>683</v>
      </c>
      <c r="AQ11">
        <v>680</v>
      </c>
      <c r="AR11">
        <v>679</v>
      </c>
      <c r="AS11">
        <v>674</v>
      </c>
      <c r="AT11">
        <v>670</v>
      </c>
      <c r="AU11">
        <v>670</v>
      </c>
      <c r="AV11">
        <v>670</v>
      </c>
      <c r="AW11">
        <v>671</v>
      </c>
      <c r="AX11">
        <v>671</v>
      </c>
      <c r="AY11">
        <v>671</v>
      </c>
      <c r="AZ11">
        <v>673</v>
      </c>
      <c r="BA11">
        <v>675</v>
      </c>
      <c r="BB11">
        <v>678</v>
      </c>
      <c r="BC11">
        <v>680</v>
      </c>
      <c r="BD11">
        <v>680</v>
      </c>
      <c r="BE11">
        <v>683</v>
      </c>
      <c r="BF11">
        <v>690</v>
      </c>
      <c r="BG11">
        <v>700</v>
      </c>
      <c r="BH11">
        <v>700</v>
      </c>
      <c r="BI11">
        <v>705</v>
      </c>
      <c r="BJ11">
        <v>708</v>
      </c>
      <c r="BK11">
        <v>712</v>
      </c>
      <c r="BL11">
        <v>716</v>
      </c>
      <c r="BM11">
        <v>718</v>
      </c>
      <c r="BN11">
        <v>718</v>
      </c>
      <c r="BO11">
        <v>718</v>
      </c>
      <c r="BP11">
        <v>721</v>
      </c>
      <c r="BQ11">
        <v>721</v>
      </c>
      <c r="BR11">
        <v>727</v>
      </c>
      <c r="BS11">
        <v>730</v>
      </c>
      <c r="BT11">
        <v>726</v>
      </c>
      <c r="BU11">
        <v>726</v>
      </c>
      <c r="BV11">
        <v>726</v>
      </c>
      <c r="BW11">
        <v>723</v>
      </c>
      <c r="BX11">
        <v>723</v>
      </c>
      <c r="BY11">
        <v>723</v>
      </c>
      <c r="BZ11">
        <v>716</v>
      </c>
      <c r="CA11">
        <v>716</v>
      </c>
      <c r="CB11">
        <v>716</v>
      </c>
      <c r="CC11">
        <v>716</v>
      </c>
      <c r="CD11">
        <v>714</v>
      </c>
      <c r="CE11">
        <v>711</v>
      </c>
      <c r="CF11">
        <v>708</v>
      </c>
      <c r="CG11">
        <v>708</v>
      </c>
      <c r="CH11">
        <v>701</v>
      </c>
      <c r="CI11">
        <v>692</v>
      </c>
      <c r="CJ11">
        <v>677</v>
      </c>
      <c r="CK11">
        <v>670</v>
      </c>
      <c r="CL11">
        <v>661</v>
      </c>
      <c r="CM11">
        <v>655</v>
      </c>
      <c r="CN11">
        <v>649</v>
      </c>
      <c r="CO11">
        <v>644</v>
      </c>
      <c r="CP11">
        <v>637</v>
      </c>
      <c r="CQ11">
        <v>635</v>
      </c>
      <c r="CR11">
        <v>634</v>
      </c>
      <c r="CS11">
        <v>630.29999999999995</v>
      </c>
      <c r="CT11">
        <v>631</v>
      </c>
      <c r="CU11">
        <v>626</v>
      </c>
      <c r="CV11">
        <v>624</v>
      </c>
      <c r="CW11">
        <v>624</v>
      </c>
      <c r="CX11">
        <v>621</v>
      </c>
      <c r="CY11">
        <v>620</v>
      </c>
      <c r="CZ11">
        <v>620</v>
      </c>
      <c r="DA11">
        <v>621</v>
      </c>
      <c r="DB11">
        <v>621</v>
      </c>
      <c r="DC11">
        <v>620</v>
      </c>
      <c r="DD11">
        <v>625</v>
      </c>
      <c r="DE11">
        <v>625</v>
      </c>
      <c r="DF11">
        <v>627</v>
      </c>
      <c r="DG11">
        <v>627</v>
      </c>
      <c r="DH11">
        <v>630</v>
      </c>
      <c r="DI11">
        <v>634</v>
      </c>
      <c r="DJ11">
        <v>637</v>
      </c>
      <c r="DK11">
        <v>637</v>
      </c>
      <c r="DL11">
        <v>639</v>
      </c>
      <c r="DM11">
        <v>638</v>
      </c>
      <c r="DN11">
        <v>638</v>
      </c>
      <c r="DO11">
        <v>638</v>
      </c>
      <c r="DP11">
        <v>640</v>
      </c>
      <c r="DQ11">
        <v>640</v>
      </c>
      <c r="DR11">
        <v>641</v>
      </c>
      <c r="DS11">
        <v>642</v>
      </c>
      <c r="DT11">
        <v>642</v>
      </c>
      <c r="DU11">
        <v>642</v>
      </c>
      <c r="DV11">
        <v>645</v>
      </c>
      <c r="DW11">
        <v>645</v>
      </c>
      <c r="DX11">
        <v>641</v>
      </c>
      <c r="DY11">
        <v>641</v>
      </c>
      <c r="DZ11">
        <v>640</v>
      </c>
      <c r="EA11">
        <v>635</v>
      </c>
      <c r="EB11">
        <v>634</v>
      </c>
      <c r="EC11">
        <v>628</v>
      </c>
      <c r="ED11">
        <v>624</v>
      </c>
      <c r="EE11">
        <v>624</v>
      </c>
      <c r="EF11">
        <v>618</v>
      </c>
      <c r="EG11">
        <v>618</v>
      </c>
      <c r="EH11">
        <v>612</v>
      </c>
      <c r="EI11">
        <v>610</v>
      </c>
      <c r="EJ11">
        <v>608</v>
      </c>
      <c r="EK11">
        <v>604</v>
      </c>
      <c r="EL11">
        <v>594</v>
      </c>
      <c r="EM11">
        <v>594</v>
      </c>
    </row>
    <row r="12" spans="1:143" x14ac:dyDescent="0.2">
      <c r="A12" t="str">
        <f>Input!M12</f>
        <v>CF</v>
      </c>
      <c r="B12">
        <v>15450</v>
      </c>
      <c r="C12">
        <v>15450</v>
      </c>
      <c r="D12">
        <v>15450</v>
      </c>
      <c r="E12">
        <v>15450</v>
      </c>
      <c r="F12">
        <v>15450</v>
      </c>
      <c r="G12">
        <v>15450</v>
      </c>
      <c r="H12">
        <v>15450</v>
      </c>
      <c r="I12">
        <v>15450</v>
      </c>
      <c r="J12">
        <v>15450</v>
      </c>
      <c r="K12">
        <v>15450</v>
      </c>
      <c r="L12">
        <v>15450</v>
      </c>
      <c r="M12">
        <v>15450</v>
      </c>
      <c r="N12">
        <v>15450</v>
      </c>
      <c r="O12">
        <v>15450</v>
      </c>
      <c r="P12">
        <v>15450</v>
      </c>
      <c r="Q12">
        <v>15450</v>
      </c>
      <c r="R12">
        <v>15450</v>
      </c>
      <c r="S12">
        <v>15450</v>
      </c>
      <c r="T12">
        <v>15450</v>
      </c>
      <c r="U12">
        <v>15450</v>
      </c>
      <c r="V12">
        <v>15500</v>
      </c>
      <c r="W12">
        <v>15500</v>
      </c>
      <c r="X12">
        <v>15500</v>
      </c>
      <c r="Y12">
        <v>15500</v>
      </c>
      <c r="Z12">
        <v>15505</v>
      </c>
      <c r="AA12">
        <v>15575</v>
      </c>
      <c r="AB12">
        <v>15575</v>
      </c>
      <c r="AC12">
        <v>15575</v>
      </c>
      <c r="AD12">
        <v>15575</v>
      </c>
      <c r="AE12">
        <v>15575</v>
      </c>
      <c r="AF12">
        <v>15575</v>
      </c>
      <c r="AG12">
        <v>15575</v>
      </c>
      <c r="AH12">
        <v>15575</v>
      </c>
      <c r="AI12">
        <v>15580</v>
      </c>
      <c r="AJ12">
        <v>15600</v>
      </c>
      <c r="AK12">
        <v>15600</v>
      </c>
      <c r="AL12">
        <v>15600</v>
      </c>
      <c r="AM12">
        <v>15600</v>
      </c>
      <c r="AN12">
        <v>15600</v>
      </c>
      <c r="AO12">
        <v>15600</v>
      </c>
      <c r="AP12">
        <v>15600</v>
      </c>
      <c r="AQ12">
        <v>15600</v>
      </c>
      <c r="AR12">
        <v>15705</v>
      </c>
      <c r="AS12">
        <v>15705</v>
      </c>
      <c r="AT12">
        <v>15725</v>
      </c>
      <c r="AU12">
        <v>15725</v>
      </c>
      <c r="AV12">
        <v>15755</v>
      </c>
      <c r="AW12">
        <v>15755</v>
      </c>
      <c r="AX12">
        <v>15805</v>
      </c>
      <c r="AY12">
        <v>15905</v>
      </c>
      <c r="AZ12">
        <v>15985</v>
      </c>
      <c r="BA12">
        <v>16045</v>
      </c>
      <c r="BB12">
        <v>16100</v>
      </c>
      <c r="BC12">
        <v>16045</v>
      </c>
      <c r="BD12">
        <v>16045</v>
      </c>
      <c r="BE12">
        <v>16055</v>
      </c>
      <c r="BF12">
        <v>16050</v>
      </c>
      <c r="BG12">
        <v>16065</v>
      </c>
      <c r="BH12">
        <v>16065</v>
      </c>
      <c r="BI12">
        <v>16035</v>
      </c>
      <c r="BJ12">
        <v>16035</v>
      </c>
      <c r="BK12">
        <v>16035</v>
      </c>
      <c r="BL12">
        <v>16045</v>
      </c>
      <c r="BM12">
        <v>16045</v>
      </c>
      <c r="BN12">
        <v>16045</v>
      </c>
      <c r="BO12">
        <v>16045</v>
      </c>
      <c r="BP12">
        <v>16045</v>
      </c>
      <c r="BQ12">
        <v>16050</v>
      </c>
      <c r="BR12">
        <v>16045</v>
      </c>
      <c r="BS12">
        <v>16045</v>
      </c>
      <c r="BT12">
        <v>16045</v>
      </c>
      <c r="BU12">
        <v>16075</v>
      </c>
      <c r="BV12">
        <v>16075</v>
      </c>
      <c r="BW12">
        <v>16065</v>
      </c>
      <c r="BX12">
        <v>16065</v>
      </c>
      <c r="BY12">
        <v>16085</v>
      </c>
      <c r="BZ12">
        <v>16085</v>
      </c>
      <c r="CA12">
        <v>16095</v>
      </c>
      <c r="CB12">
        <v>16095</v>
      </c>
      <c r="CC12">
        <v>16065</v>
      </c>
      <c r="CD12">
        <v>16065</v>
      </c>
      <c r="CE12">
        <v>16065</v>
      </c>
      <c r="CF12">
        <v>16065</v>
      </c>
      <c r="CG12">
        <v>16055</v>
      </c>
      <c r="CH12">
        <v>16055</v>
      </c>
      <c r="CI12">
        <v>16055</v>
      </c>
      <c r="CJ12">
        <v>15855</v>
      </c>
      <c r="CK12">
        <v>15855</v>
      </c>
      <c r="CL12">
        <v>15855</v>
      </c>
      <c r="CM12">
        <v>15855</v>
      </c>
      <c r="CN12">
        <v>15855</v>
      </c>
      <c r="CO12">
        <v>15855</v>
      </c>
      <c r="CP12">
        <v>15855</v>
      </c>
      <c r="CQ12">
        <v>15845</v>
      </c>
      <c r="CR12">
        <v>15845</v>
      </c>
      <c r="CS12">
        <v>15845</v>
      </c>
      <c r="CT12">
        <v>15845</v>
      </c>
      <c r="CU12">
        <v>15845</v>
      </c>
      <c r="CV12">
        <v>15845</v>
      </c>
      <c r="CW12">
        <v>15845</v>
      </c>
      <c r="CX12">
        <v>15845</v>
      </c>
      <c r="CY12">
        <v>15845</v>
      </c>
      <c r="CZ12">
        <v>15845</v>
      </c>
      <c r="DA12">
        <v>15785</v>
      </c>
      <c r="DB12">
        <v>15785</v>
      </c>
      <c r="DC12">
        <v>15785</v>
      </c>
      <c r="DD12">
        <v>15785</v>
      </c>
      <c r="DE12">
        <v>15785</v>
      </c>
      <c r="DF12">
        <v>15785</v>
      </c>
      <c r="DG12">
        <v>15785</v>
      </c>
      <c r="DH12">
        <v>15785</v>
      </c>
      <c r="DI12">
        <v>15785</v>
      </c>
      <c r="DJ12">
        <v>15785</v>
      </c>
      <c r="DK12">
        <v>15785</v>
      </c>
      <c r="DL12">
        <v>15785</v>
      </c>
      <c r="DM12">
        <v>15785</v>
      </c>
      <c r="DN12">
        <v>15805</v>
      </c>
      <c r="DO12">
        <v>15805</v>
      </c>
      <c r="DP12">
        <v>15805</v>
      </c>
      <c r="DQ12">
        <v>15805</v>
      </c>
      <c r="DR12">
        <v>15805</v>
      </c>
      <c r="DS12">
        <v>15825</v>
      </c>
      <c r="DT12">
        <v>15825</v>
      </c>
      <c r="DU12">
        <v>15825</v>
      </c>
      <c r="DV12">
        <v>15825</v>
      </c>
      <c r="DW12">
        <v>15825</v>
      </c>
      <c r="DX12">
        <v>15825</v>
      </c>
      <c r="DY12">
        <v>15815</v>
      </c>
      <c r="DZ12">
        <v>15815</v>
      </c>
      <c r="EA12">
        <v>15815</v>
      </c>
      <c r="EB12">
        <v>15800</v>
      </c>
      <c r="EC12">
        <v>15800</v>
      </c>
      <c r="ED12">
        <v>15800</v>
      </c>
      <c r="EE12">
        <v>15800</v>
      </c>
      <c r="EF12">
        <v>15800</v>
      </c>
      <c r="EG12">
        <v>15800</v>
      </c>
      <c r="EH12">
        <v>15800</v>
      </c>
      <c r="EI12">
        <v>15800</v>
      </c>
      <c r="EJ12">
        <v>15800</v>
      </c>
      <c r="EK12">
        <v>15800</v>
      </c>
      <c r="EL12">
        <v>15800</v>
      </c>
      <c r="EM12">
        <v>15800</v>
      </c>
    </row>
    <row r="13" spans="1:143" x14ac:dyDescent="0.2">
      <c r="A13" t="str">
        <f>Input!M13</f>
        <v>MA</v>
      </c>
      <c r="B13">
        <v>3100</v>
      </c>
      <c r="C13">
        <v>3100</v>
      </c>
      <c r="D13">
        <v>3100</v>
      </c>
      <c r="E13">
        <v>3100</v>
      </c>
      <c r="F13">
        <v>3150</v>
      </c>
      <c r="G13">
        <v>3170</v>
      </c>
      <c r="H13">
        <v>3170</v>
      </c>
      <c r="I13">
        <v>3200</v>
      </c>
      <c r="J13">
        <v>3250</v>
      </c>
      <c r="K13">
        <v>3270</v>
      </c>
      <c r="L13">
        <v>3270</v>
      </c>
      <c r="M13">
        <v>3310</v>
      </c>
      <c r="N13">
        <v>3310</v>
      </c>
      <c r="O13">
        <v>3260</v>
      </c>
      <c r="P13">
        <v>3250</v>
      </c>
      <c r="Q13">
        <v>3250</v>
      </c>
      <c r="R13">
        <v>3200</v>
      </c>
      <c r="S13">
        <v>3200</v>
      </c>
      <c r="T13">
        <v>3200</v>
      </c>
      <c r="U13">
        <v>3250</v>
      </c>
      <c r="V13">
        <v>3250</v>
      </c>
      <c r="W13">
        <v>3350</v>
      </c>
      <c r="X13">
        <v>3400</v>
      </c>
      <c r="Y13">
        <v>3450</v>
      </c>
      <c r="Z13">
        <v>3500</v>
      </c>
      <c r="AA13">
        <v>3500</v>
      </c>
      <c r="AB13">
        <v>3500</v>
      </c>
      <c r="AC13">
        <v>3490</v>
      </c>
      <c r="AD13">
        <v>3450</v>
      </c>
      <c r="AE13">
        <v>3440</v>
      </c>
      <c r="AF13">
        <v>3390</v>
      </c>
      <c r="AG13">
        <v>3360</v>
      </c>
      <c r="AH13">
        <v>3350</v>
      </c>
      <c r="AI13">
        <v>3340</v>
      </c>
      <c r="AJ13">
        <v>3320</v>
      </c>
      <c r="AK13">
        <v>3360</v>
      </c>
      <c r="AL13">
        <v>3350</v>
      </c>
      <c r="AM13">
        <v>3310</v>
      </c>
      <c r="AN13">
        <v>3280</v>
      </c>
      <c r="AO13">
        <v>3290</v>
      </c>
      <c r="AP13">
        <v>3290</v>
      </c>
      <c r="AQ13">
        <v>3200</v>
      </c>
      <c r="AR13">
        <v>3120</v>
      </c>
      <c r="AS13">
        <v>3190</v>
      </c>
      <c r="AT13">
        <v>3170</v>
      </c>
      <c r="AU13">
        <v>3170</v>
      </c>
      <c r="AV13">
        <v>3100</v>
      </c>
      <c r="AW13">
        <v>3010</v>
      </c>
      <c r="AX13">
        <v>2990</v>
      </c>
      <c r="AY13">
        <v>2950</v>
      </c>
      <c r="AZ13">
        <v>2940</v>
      </c>
      <c r="BA13">
        <v>2980</v>
      </c>
      <c r="BB13">
        <v>2940</v>
      </c>
      <c r="BC13">
        <v>2950</v>
      </c>
      <c r="BD13">
        <v>2950</v>
      </c>
      <c r="BE13">
        <v>2930</v>
      </c>
      <c r="BF13">
        <v>2920</v>
      </c>
      <c r="BG13">
        <v>2910</v>
      </c>
      <c r="BH13">
        <v>2850</v>
      </c>
      <c r="BI13">
        <v>2830</v>
      </c>
      <c r="BJ13">
        <v>2800</v>
      </c>
      <c r="BK13">
        <v>2770</v>
      </c>
      <c r="BL13">
        <v>2810</v>
      </c>
      <c r="BM13">
        <v>2830</v>
      </c>
      <c r="BN13">
        <v>2810</v>
      </c>
      <c r="BO13">
        <v>2840</v>
      </c>
      <c r="BP13">
        <v>2790</v>
      </c>
      <c r="BQ13">
        <v>2750</v>
      </c>
      <c r="BR13">
        <v>2770</v>
      </c>
      <c r="BS13">
        <v>2730</v>
      </c>
      <c r="BT13">
        <v>2780</v>
      </c>
      <c r="BU13">
        <v>2725</v>
      </c>
      <c r="BV13">
        <v>2720</v>
      </c>
      <c r="BW13">
        <v>2730</v>
      </c>
      <c r="BX13">
        <v>2640</v>
      </c>
      <c r="BY13">
        <v>2725</v>
      </c>
      <c r="BZ13">
        <v>2745</v>
      </c>
      <c r="CA13">
        <v>2720</v>
      </c>
      <c r="CB13">
        <v>2675</v>
      </c>
      <c r="CC13">
        <v>2710</v>
      </c>
      <c r="CD13">
        <v>2730</v>
      </c>
      <c r="CE13">
        <v>2685</v>
      </c>
      <c r="CF13">
        <v>2720</v>
      </c>
      <c r="CG13">
        <v>2785</v>
      </c>
      <c r="CH13">
        <v>2820</v>
      </c>
      <c r="CI13">
        <v>2790</v>
      </c>
      <c r="CJ13">
        <v>2760</v>
      </c>
      <c r="CK13">
        <v>2790</v>
      </c>
      <c r="CL13">
        <v>2860</v>
      </c>
      <c r="CM13">
        <v>2860</v>
      </c>
      <c r="CN13">
        <v>2840</v>
      </c>
      <c r="CO13">
        <v>2840</v>
      </c>
      <c r="CP13">
        <v>2840</v>
      </c>
      <c r="CQ13">
        <v>2820</v>
      </c>
      <c r="CR13">
        <v>2820</v>
      </c>
      <c r="CS13">
        <v>2790</v>
      </c>
      <c r="CT13">
        <v>2790</v>
      </c>
      <c r="CU13">
        <v>2760</v>
      </c>
      <c r="CV13">
        <v>2640</v>
      </c>
      <c r="CW13">
        <v>2590</v>
      </c>
      <c r="CX13">
        <v>2540</v>
      </c>
      <c r="CY13">
        <v>2460</v>
      </c>
      <c r="CZ13">
        <v>2460</v>
      </c>
      <c r="DA13">
        <v>2460</v>
      </c>
      <c r="DB13">
        <v>2460</v>
      </c>
      <c r="DC13">
        <v>2460</v>
      </c>
      <c r="DD13">
        <v>2480</v>
      </c>
      <c r="DE13">
        <v>2480</v>
      </c>
      <c r="DF13">
        <v>2470</v>
      </c>
      <c r="DG13">
        <v>2460</v>
      </c>
      <c r="DH13">
        <v>2440</v>
      </c>
      <c r="DI13">
        <v>2440</v>
      </c>
      <c r="DJ13">
        <v>2420</v>
      </c>
      <c r="DK13">
        <v>2420</v>
      </c>
      <c r="DL13">
        <v>2420</v>
      </c>
      <c r="DM13">
        <v>2390</v>
      </c>
      <c r="DN13">
        <v>2390</v>
      </c>
      <c r="DO13">
        <v>2370</v>
      </c>
      <c r="DP13">
        <v>2350</v>
      </c>
      <c r="DQ13">
        <v>2350</v>
      </c>
      <c r="DR13">
        <v>2350</v>
      </c>
      <c r="DS13">
        <v>2350</v>
      </c>
      <c r="DT13">
        <v>2350</v>
      </c>
      <c r="DU13">
        <v>2350</v>
      </c>
      <c r="DV13">
        <v>2350</v>
      </c>
      <c r="DW13">
        <v>2350</v>
      </c>
      <c r="DX13">
        <v>2380</v>
      </c>
      <c r="DY13">
        <v>2380</v>
      </c>
      <c r="DZ13">
        <v>2380</v>
      </c>
      <c r="EA13">
        <v>2380</v>
      </c>
      <c r="EB13">
        <v>2380</v>
      </c>
      <c r="EC13">
        <v>2380</v>
      </c>
      <c r="ED13">
        <v>2380</v>
      </c>
      <c r="EE13">
        <v>2380</v>
      </c>
      <c r="EF13">
        <v>2380</v>
      </c>
      <c r="EG13">
        <v>2350</v>
      </c>
      <c r="EH13">
        <v>2330</v>
      </c>
      <c r="EI13">
        <v>2330</v>
      </c>
      <c r="EJ13">
        <v>2330</v>
      </c>
      <c r="EK13">
        <v>2310</v>
      </c>
      <c r="EL13">
        <v>2310</v>
      </c>
      <c r="EM13">
        <v>2290</v>
      </c>
    </row>
    <row r="14" spans="1:143" x14ac:dyDescent="0.2">
      <c r="A14" t="str">
        <f>Input!M14</f>
        <v>BU</v>
      </c>
      <c r="B14">
        <v>2400</v>
      </c>
      <c r="C14">
        <v>2400</v>
      </c>
      <c r="D14">
        <v>2400</v>
      </c>
      <c r="E14">
        <v>2400</v>
      </c>
      <c r="F14">
        <v>2400</v>
      </c>
      <c r="G14">
        <v>2400</v>
      </c>
      <c r="H14">
        <v>2400</v>
      </c>
      <c r="I14">
        <v>2400</v>
      </c>
      <c r="J14">
        <v>2400</v>
      </c>
      <c r="K14">
        <v>2400</v>
      </c>
      <c r="L14">
        <v>2350</v>
      </c>
      <c r="M14">
        <v>2350</v>
      </c>
      <c r="N14">
        <v>2350</v>
      </c>
      <c r="O14">
        <v>2350</v>
      </c>
      <c r="P14">
        <v>2350</v>
      </c>
      <c r="Q14">
        <v>2350</v>
      </c>
      <c r="R14">
        <v>2350</v>
      </c>
      <c r="S14">
        <v>2350</v>
      </c>
      <c r="T14">
        <v>2350</v>
      </c>
      <c r="U14">
        <v>2450</v>
      </c>
      <c r="V14">
        <v>2450</v>
      </c>
      <c r="W14">
        <v>2450</v>
      </c>
      <c r="X14">
        <v>2450</v>
      </c>
      <c r="Y14">
        <v>2450</v>
      </c>
      <c r="Z14">
        <v>2450</v>
      </c>
      <c r="AA14">
        <v>2450</v>
      </c>
      <c r="AB14">
        <v>2500</v>
      </c>
      <c r="AC14">
        <v>2500</v>
      </c>
      <c r="AD14">
        <v>2500</v>
      </c>
      <c r="AE14">
        <v>2450</v>
      </c>
      <c r="AF14">
        <v>2550</v>
      </c>
      <c r="AG14">
        <v>2550</v>
      </c>
      <c r="AH14">
        <v>2550</v>
      </c>
      <c r="AI14">
        <v>2550</v>
      </c>
      <c r="AJ14">
        <v>2550</v>
      </c>
      <c r="AK14">
        <v>2620</v>
      </c>
      <c r="AL14">
        <v>2620</v>
      </c>
      <c r="AM14">
        <v>2620</v>
      </c>
      <c r="AN14">
        <v>2560</v>
      </c>
      <c r="AO14">
        <v>2560</v>
      </c>
      <c r="AP14">
        <v>2500</v>
      </c>
      <c r="AQ14">
        <v>2550</v>
      </c>
      <c r="AR14">
        <v>2550</v>
      </c>
      <c r="AS14">
        <v>2560</v>
      </c>
      <c r="AT14">
        <v>2560</v>
      </c>
      <c r="AU14">
        <v>2560</v>
      </c>
      <c r="AV14">
        <v>2560</v>
      </c>
      <c r="AW14">
        <v>2560</v>
      </c>
      <c r="AX14">
        <v>2510</v>
      </c>
      <c r="AY14">
        <v>2400</v>
      </c>
      <c r="AZ14">
        <v>2400</v>
      </c>
      <c r="BA14">
        <v>2400</v>
      </c>
      <c r="BB14">
        <v>2400</v>
      </c>
      <c r="BC14">
        <v>2400</v>
      </c>
      <c r="BD14">
        <v>2350</v>
      </c>
      <c r="BE14">
        <v>2350</v>
      </c>
      <c r="BF14">
        <v>2350</v>
      </c>
      <c r="BG14">
        <v>2350</v>
      </c>
      <c r="BH14">
        <v>2350</v>
      </c>
      <c r="BI14">
        <v>2350</v>
      </c>
      <c r="BJ14">
        <v>2350</v>
      </c>
      <c r="BK14">
        <v>2350</v>
      </c>
      <c r="BL14">
        <v>2350</v>
      </c>
      <c r="BM14">
        <v>2350</v>
      </c>
      <c r="BN14">
        <v>2350</v>
      </c>
      <c r="BO14">
        <v>2350</v>
      </c>
      <c r="BP14">
        <v>2350</v>
      </c>
      <c r="BQ14">
        <v>2350</v>
      </c>
      <c r="BR14">
        <v>2350</v>
      </c>
      <c r="BS14">
        <v>2350</v>
      </c>
      <c r="BT14">
        <v>2350</v>
      </c>
      <c r="BU14">
        <v>2350</v>
      </c>
      <c r="BV14">
        <v>2300</v>
      </c>
      <c r="BW14">
        <v>2250</v>
      </c>
      <c r="BX14">
        <v>2250</v>
      </c>
      <c r="BY14">
        <v>2250</v>
      </c>
      <c r="BZ14">
        <v>2250</v>
      </c>
      <c r="CA14">
        <v>2350</v>
      </c>
      <c r="CB14">
        <v>2350</v>
      </c>
      <c r="CC14">
        <v>2350</v>
      </c>
      <c r="CD14">
        <v>2350</v>
      </c>
      <c r="CE14">
        <v>2350</v>
      </c>
      <c r="CF14">
        <v>2350</v>
      </c>
      <c r="CG14">
        <v>2350</v>
      </c>
      <c r="CH14">
        <v>2350</v>
      </c>
      <c r="CI14">
        <v>2350</v>
      </c>
      <c r="CJ14">
        <v>2350</v>
      </c>
      <c r="CK14">
        <v>2400</v>
      </c>
      <c r="CL14">
        <v>2450</v>
      </c>
      <c r="CM14">
        <v>2450</v>
      </c>
      <c r="CN14">
        <v>2450</v>
      </c>
      <c r="CO14">
        <v>2450</v>
      </c>
      <c r="CP14">
        <v>2500</v>
      </c>
      <c r="CQ14">
        <v>2500</v>
      </c>
      <c r="CR14">
        <v>2500</v>
      </c>
      <c r="CS14">
        <v>2500</v>
      </c>
      <c r="CT14">
        <v>2550</v>
      </c>
      <c r="CU14">
        <v>2550</v>
      </c>
      <c r="CV14">
        <v>2550</v>
      </c>
      <c r="CW14">
        <v>2600</v>
      </c>
      <c r="CX14">
        <v>2600</v>
      </c>
      <c r="CY14">
        <v>2620</v>
      </c>
      <c r="CZ14">
        <v>2620</v>
      </c>
      <c r="DA14">
        <v>2620</v>
      </c>
      <c r="DB14">
        <v>2620</v>
      </c>
      <c r="DC14">
        <v>2620</v>
      </c>
      <c r="DD14">
        <v>2620</v>
      </c>
      <c r="DE14">
        <v>2620</v>
      </c>
      <c r="DF14">
        <v>2620</v>
      </c>
      <c r="DG14">
        <v>2620</v>
      </c>
      <c r="DH14">
        <v>2670</v>
      </c>
      <c r="DI14">
        <v>2550</v>
      </c>
      <c r="DJ14">
        <v>2550</v>
      </c>
      <c r="DK14">
        <v>2580</v>
      </c>
      <c r="DL14">
        <v>2580</v>
      </c>
      <c r="DM14">
        <v>2580</v>
      </c>
      <c r="DN14">
        <v>2630</v>
      </c>
      <c r="DO14">
        <v>2630</v>
      </c>
      <c r="DP14">
        <v>2710</v>
      </c>
      <c r="DQ14">
        <v>2710</v>
      </c>
      <c r="DR14">
        <v>2710</v>
      </c>
      <c r="DS14">
        <v>2680</v>
      </c>
      <c r="DT14">
        <v>2630</v>
      </c>
      <c r="DU14">
        <v>2630</v>
      </c>
      <c r="DV14">
        <v>2600</v>
      </c>
      <c r="DW14">
        <v>2600</v>
      </c>
      <c r="DX14">
        <v>2550</v>
      </c>
      <c r="DY14">
        <v>2550</v>
      </c>
      <c r="DZ14">
        <v>2550</v>
      </c>
      <c r="EA14">
        <v>2550</v>
      </c>
      <c r="EB14">
        <v>2550</v>
      </c>
      <c r="EC14">
        <v>2400</v>
      </c>
      <c r="ED14">
        <v>2350</v>
      </c>
      <c r="EE14">
        <v>2270</v>
      </c>
      <c r="EF14">
        <v>2270</v>
      </c>
      <c r="EG14">
        <v>2270</v>
      </c>
      <c r="EH14">
        <v>2200</v>
      </c>
      <c r="EI14">
        <v>2200</v>
      </c>
      <c r="EJ14">
        <v>2200</v>
      </c>
      <c r="EK14">
        <v>2200</v>
      </c>
      <c r="EL14">
        <v>2150</v>
      </c>
      <c r="EM14">
        <v>2150</v>
      </c>
    </row>
    <row r="15" spans="1:143" x14ac:dyDescent="0.2">
      <c r="A15" t="str">
        <f>Input!M15</f>
        <v>L</v>
      </c>
      <c r="B15">
        <v>9830</v>
      </c>
      <c r="C15">
        <v>9830</v>
      </c>
      <c r="D15">
        <v>9910</v>
      </c>
      <c r="E15">
        <v>9835</v>
      </c>
      <c r="F15">
        <v>9805</v>
      </c>
      <c r="G15">
        <v>9775</v>
      </c>
      <c r="H15">
        <v>9800</v>
      </c>
      <c r="I15">
        <v>9780</v>
      </c>
      <c r="J15">
        <v>9760</v>
      </c>
      <c r="K15">
        <v>9790</v>
      </c>
      <c r="L15">
        <v>9865</v>
      </c>
      <c r="M15">
        <v>9800</v>
      </c>
      <c r="N15">
        <v>9870</v>
      </c>
      <c r="O15">
        <v>9720</v>
      </c>
      <c r="P15">
        <v>9715</v>
      </c>
      <c r="Q15">
        <v>9805</v>
      </c>
      <c r="R15">
        <v>9745</v>
      </c>
      <c r="S15">
        <v>9800</v>
      </c>
      <c r="T15">
        <v>9870</v>
      </c>
      <c r="U15">
        <v>9625</v>
      </c>
      <c r="V15">
        <v>9650</v>
      </c>
      <c r="W15">
        <v>9505</v>
      </c>
      <c r="X15">
        <v>9505</v>
      </c>
      <c r="Y15">
        <v>9490</v>
      </c>
      <c r="Z15">
        <v>9475</v>
      </c>
      <c r="AA15">
        <v>9565</v>
      </c>
      <c r="AB15">
        <v>9545</v>
      </c>
      <c r="AC15">
        <v>9520</v>
      </c>
      <c r="AD15">
        <v>9525</v>
      </c>
      <c r="AE15">
        <v>9530</v>
      </c>
      <c r="AF15">
        <v>9535</v>
      </c>
      <c r="AG15">
        <v>9585</v>
      </c>
      <c r="AH15">
        <v>9630</v>
      </c>
      <c r="AI15">
        <v>9565</v>
      </c>
      <c r="AJ15">
        <v>9595</v>
      </c>
      <c r="AK15">
        <v>9500</v>
      </c>
      <c r="AL15">
        <v>9600</v>
      </c>
      <c r="AM15">
        <v>9700</v>
      </c>
      <c r="AN15">
        <v>9675</v>
      </c>
      <c r="AO15">
        <v>9600</v>
      </c>
      <c r="AP15">
        <v>9550</v>
      </c>
      <c r="AQ15">
        <v>9565</v>
      </c>
      <c r="AR15">
        <v>9450</v>
      </c>
      <c r="AS15">
        <v>9650</v>
      </c>
      <c r="AT15">
        <v>9750</v>
      </c>
      <c r="AU15">
        <v>9680</v>
      </c>
      <c r="AV15">
        <v>9635</v>
      </c>
      <c r="AW15">
        <v>9520</v>
      </c>
      <c r="AX15">
        <v>9500</v>
      </c>
      <c r="AY15">
        <v>9450</v>
      </c>
      <c r="AZ15">
        <v>9550</v>
      </c>
      <c r="BA15">
        <v>9650</v>
      </c>
      <c r="BB15">
        <v>9700</v>
      </c>
      <c r="BC15">
        <v>9700</v>
      </c>
      <c r="BD15">
        <v>9700</v>
      </c>
      <c r="BE15">
        <v>9800</v>
      </c>
      <c r="BF15">
        <v>9670</v>
      </c>
      <c r="BG15">
        <v>9700</v>
      </c>
      <c r="BH15">
        <v>9650</v>
      </c>
      <c r="BI15">
        <v>9500</v>
      </c>
      <c r="BJ15">
        <v>9480</v>
      </c>
      <c r="BK15">
        <v>9400</v>
      </c>
      <c r="BL15">
        <v>9500</v>
      </c>
      <c r="BM15">
        <v>9630</v>
      </c>
      <c r="BN15">
        <v>9650</v>
      </c>
      <c r="BO15">
        <v>9720</v>
      </c>
      <c r="BP15">
        <v>9700</v>
      </c>
      <c r="BQ15">
        <v>9725</v>
      </c>
      <c r="BR15">
        <v>9730</v>
      </c>
      <c r="BS15">
        <v>9570</v>
      </c>
      <c r="BT15">
        <v>9650</v>
      </c>
      <c r="BU15">
        <v>9700</v>
      </c>
      <c r="BV15">
        <v>9575</v>
      </c>
      <c r="BW15">
        <v>9580</v>
      </c>
      <c r="BX15">
        <v>9400</v>
      </c>
      <c r="BY15">
        <v>9400</v>
      </c>
      <c r="BZ15">
        <v>9465</v>
      </c>
      <c r="CA15">
        <v>9340</v>
      </c>
      <c r="CB15">
        <v>9425</v>
      </c>
      <c r="CC15">
        <v>9530</v>
      </c>
      <c r="CD15">
        <v>9500</v>
      </c>
      <c r="CE15">
        <v>9370</v>
      </c>
      <c r="CF15">
        <v>9350</v>
      </c>
      <c r="CG15">
        <v>9360</v>
      </c>
      <c r="CH15">
        <v>9550</v>
      </c>
      <c r="CI15">
        <v>9565</v>
      </c>
      <c r="CJ15">
        <v>9450</v>
      </c>
      <c r="CK15">
        <v>9560</v>
      </c>
      <c r="CL15">
        <v>9720</v>
      </c>
      <c r="CM15">
        <v>9710</v>
      </c>
      <c r="CN15">
        <v>9860</v>
      </c>
      <c r="CO15">
        <v>9760</v>
      </c>
      <c r="CP15">
        <v>9950</v>
      </c>
      <c r="CQ15">
        <v>9905</v>
      </c>
      <c r="CR15">
        <v>10030</v>
      </c>
      <c r="CS15">
        <v>10040</v>
      </c>
      <c r="CT15">
        <v>9825</v>
      </c>
      <c r="CU15">
        <v>9835</v>
      </c>
      <c r="CV15">
        <v>9760</v>
      </c>
      <c r="CW15">
        <v>9625</v>
      </c>
      <c r="CX15">
        <v>9715</v>
      </c>
      <c r="CY15">
        <v>9600</v>
      </c>
      <c r="CZ15">
        <v>9635</v>
      </c>
      <c r="DA15">
        <v>9570</v>
      </c>
      <c r="DB15">
        <v>9575</v>
      </c>
      <c r="DC15">
        <v>9400</v>
      </c>
      <c r="DD15">
        <v>9450</v>
      </c>
      <c r="DE15">
        <v>9325</v>
      </c>
      <c r="DF15">
        <v>9400</v>
      </c>
      <c r="DG15">
        <v>9250</v>
      </c>
      <c r="DH15">
        <v>9200</v>
      </c>
      <c r="DI15">
        <v>9285</v>
      </c>
      <c r="DJ15">
        <v>9320</v>
      </c>
      <c r="DK15">
        <v>9415</v>
      </c>
      <c r="DL15">
        <v>9510</v>
      </c>
      <c r="DM15">
        <v>9300</v>
      </c>
      <c r="DN15">
        <v>9305</v>
      </c>
      <c r="DO15">
        <v>9360</v>
      </c>
      <c r="DP15">
        <v>9300</v>
      </c>
      <c r="DQ15">
        <v>9360</v>
      </c>
      <c r="DR15">
        <v>9450</v>
      </c>
      <c r="DS15">
        <v>9180</v>
      </c>
      <c r="DT15">
        <v>9350</v>
      </c>
      <c r="DU15">
        <v>9350</v>
      </c>
      <c r="DV15">
        <v>9415</v>
      </c>
      <c r="DW15">
        <v>9405</v>
      </c>
      <c r="DX15">
        <v>9485</v>
      </c>
      <c r="DY15">
        <v>9230</v>
      </c>
      <c r="DZ15">
        <v>9195</v>
      </c>
      <c r="EA15">
        <v>9090</v>
      </c>
      <c r="EB15">
        <v>9030</v>
      </c>
      <c r="EC15">
        <v>9100</v>
      </c>
      <c r="ED15">
        <v>9050</v>
      </c>
      <c r="EE15">
        <v>8890</v>
      </c>
      <c r="EF15">
        <v>9005</v>
      </c>
      <c r="EG15">
        <v>8990</v>
      </c>
      <c r="EH15">
        <v>8885</v>
      </c>
      <c r="EI15">
        <v>8850</v>
      </c>
      <c r="EJ15">
        <v>8760</v>
      </c>
      <c r="EK15">
        <v>8900</v>
      </c>
      <c r="EL15">
        <v>8925</v>
      </c>
      <c r="EM15">
        <v>8925</v>
      </c>
    </row>
    <row r="16" spans="1:143" x14ac:dyDescent="0.2">
      <c r="A16" t="str">
        <f>Input!M16</f>
        <v>SR</v>
      </c>
      <c r="B16">
        <v>5970</v>
      </c>
      <c r="C16">
        <v>5970</v>
      </c>
      <c r="D16">
        <v>6000</v>
      </c>
      <c r="E16">
        <v>6000</v>
      </c>
      <c r="F16">
        <v>6000</v>
      </c>
      <c r="G16">
        <v>6000</v>
      </c>
      <c r="H16">
        <v>6040</v>
      </c>
      <c r="I16">
        <v>6040</v>
      </c>
      <c r="J16">
        <v>6040</v>
      </c>
      <c r="K16">
        <v>6040</v>
      </c>
      <c r="L16">
        <v>6100</v>
      </c>
      <c r="M16">
        <v>6100</v>
      </c>
      <c r="N16">
        <v>6140</v>
      </c>
      <c r="O16">
        <v>6140</v>
      </c>
      <c r="P16">
        <v>6170</v>
      </c>
      <c r="Q16">
        <v>6140</v>
      </c>
      <c r="R16">
        <v>6170</v>
      </c>
      <c r="S16">
        <v>6210</v>
      </c>
      <c r="T16">
        <v>6210</v>
      </c>
      <c r="U16">
        <v>6220</v>
      </c>
      <c r="V16">
        <v>6240</v>
      </c>
      <c r="W16">
        <v>6240</v>
      </c>
      <c r="X16">
        <v>6290</v>
      </c>
      <c r="Y16">
        <v>6310</v>
      </c>
      <c r="Z16">
        <v>6310</v>
      </c>
      <c r="AA16">
        <v>6320</v>
      </c>
      <c r="AB16">
        <v>6320</v>
      </c>
      <c r="AC16">
        <v>6320</v>
      </c>
      <c r="AD16">
        <v>6350</v>
      </c>
      <c r="AE16">
        <v>6350</v>
      </c>
      <c r="AF16">
        <v>6420</v>
      </c>
      <c r="AG16">
        <v>6420</v>
      </c>
      <c r="AH16">
        <v>6430</v>
      </c>
      <c r="AI16">
        <v>6470</v>
      </c>
      <c r="AJ16">
        <v>6480</v>
      </c>
      <c r="AK16">
        <v>6480</v>
      </c>
      <c r="AL16">
        <v>6480</v>
      </c>
      <c r="AM16">
        <v>6500</v>
      </c>
      <c r="AN16">
        <v>6500</v>
      </c>
      <c r="AO16">
        <v>6500</v>
      </c>
      <c r="AP16">
        <v>6500</v>
      </c>
      <c r="AQ16">
        <v>6510</v>
      </c>
      <c r="AR16">
        <v>6350</v>
      </c>
      <c r="AS16">
        <v>6350</v>
      </c>
      <c r="AT16">
        <v>6350</v>
      </c>
      <c r="AU16">
        <v>6390</v>
      </c>
      <c r="AV16">
        <v>6400</v>
      </c>
      <c r="AW16">
        <v>6400</v>
      </c>
      <c r="AX16">
        <v>6350</v>
      </c>
      <c r="AY16">
        <v>6400</v>
      </c>
      <c r="AZ16">
        <v>6420</v>
      </c>
      <c r="BA16">
        <v>6420</v>
      </c>
      <c r="BB16">
        <v>6420</v>
      </c>
      <c r="BC16">
        <v>6430</v>
      </c>
      <c r="BD16">
        <v>6430</v>
      </c>
      <c r="BE16">
        <v>6420</v>
      </c>
      <c r="BF16">
        <v>6420</v>
      </c>
      <c r="BG16">
        <v>6430</v>
      </c>
      <c r="BH16">
        <v>6430</v>
      </c>
      <c r="BI16">
        <v>6430</v>
      </c>
      <c r="BJ16">
        <v>6430</v>
      </c>
      <c r="BK16">
        <v>6430</v>
      </c>
      <c r="BL16">
        <v>6450</v>
      </c>
      <c r="BM16">
        <v>6450</v>
      </c>
      <c r="BN16">
        <v>6450</v>
      </c>
      <c r="BO16">
        <v>6450</v>
      </c>
      <c r="BP16">
        <v>6400</v>
      </c>
      <c r="BQ16">
        <v>6400</v>
      </c>
      <c r="BR16">
        <v>6400</v>
      </c>
      <c r="BS16">
        <v>6420</v>
      </c>
      <c r="BT16">
        <v>6450</v>
      </c>
      <c r="BU16">
        <v>6460</v>
      </c>
      <c r="BV16">
        <v>6530</v>
      </c>
      <c r="BW16">
        <v>6460</v>
      </c>
      <c r="BX16">
        <v>6460</v>
      </c>
      <c r="BY16">
        <v>6460</v>
      </c>
      <c r="BZ16">
        <v>6540</v>
      </c>
      <c r="CA16">
        <v>6560</v>
      </c>
      <c r="CB16">
        <v>6560</v>
      </c>
      <c r="CC16">
        <v>6560</v>
      </c>
      <c r="CD16">
        <v>6560</v>
      </c>
      <c r="CE16">
        <v>6540</v>
      </c>
      <c r="CF16">
        <v>6540</v>
      </c>
      <c r="CG16">
        <v>6540</v>
      </c>
      <c r="CH16">
        <v>6550</v>
      </c>
      <c r="CI16">
        <v>6560</v>
      </c>
      <c r="CJ16">
        <v>6650</v>
      </c>
      <c r="CK16">
        <v>6630</v>
      </c>
      <c r="CL16">
        <v>6570</v>
      </c>
      <c r="CM16">
        <v>6550</v>
      </c>
      <c r="CN16">
        <v>6585</v>
      </c>
      <c r="CO16">
        <v>6585</v>
      </c>
      <c r="CP16">
        <v>6590</v>
      </c>
      <c r="CQ16">
        <v>6600</v>
      </c>
      <c r="CR16">
        <v>6660</v>
      </c>
      <c r="CS16">
        <v>6670</v>
      </c>
      <c r="CT16">
        <v>6670</v>
      </c>
      <c r="CU16">
        <v>6680</v>
      </c>
      <c r="CV16">
        <v>6690</v>
      </c>
      <c r="CW16">
        <v>6690</v>
      </c>
      <c r="CX16">
        <v>6700</v>
      </c>
      <c r="CY16">
        <v>6700</v>
      </c>
      <c r="CZ16">
        <v>6710</v>
      </c>
      <c r="DA16">
        <v>6620</v>
      </c>
      <c r="DB16">
        <v>6570</v>
      </c>
      <c r="DC16">
        <v>6500</v>
      </c>
      <c r="DD16">
        <v>6480</v>
      </c>
      <c r="DE16">
        <v>6500</v>
      </c>
      <c r="DF16">
        <v>6480</v>
      </c>
      <c r="DG16">
        <v>6440</v>
      </c>
      <c r="DH16">
        <v>6440</v>
      </c>
      <c r="DI16">
        <v>6430</v>
      </c>
      <c r="DJ16">
        <v>6410</v>
      </c>
      <c r="DK16">
        <v>6430</v>
      </c>
      <c r="DL16">
        <v>6400</v>
      </c>
      <c r="DM16">
        <v>6430</v>
      </c>
      <c r="DN16">
        <v>6410</v>
      </c>
      <c r="DO16">
        <v>6370</v>
      </c>
      <c r="DP16">
        <v>6340</v>
      </c>
      <c r="DQ16">
        <v>6280</v>
      </c>
      <c r="DR16">
        <v>6320</v>
      </c>
      <c r="DS16">
        <v>6300</v>
      </c>
      <c r="DT16">
        <v>6340</v>
      </c>
      <c r="DU16">
        <v>6380</v>
      </c>
      <c r="DV16">
        <v>6380</v>
      </c>
      <c r="DW16">
        <v>6380</v>
      </c>
      <c r="DX16">
        <v>6380</v>
      </c>
      <c r="DY16">
        <v>6520</v>
      </c>
      <c r="DZ16">
        <v>6520</v>
      </c>
      <c r="EA16">
        <v>6480</v>
      </c>
      <c r="EB16">
        <v>6460</v>
      </c>
      <c r="EC16">
        <v>6450</v>
      </c>
      <c r="ED16">
        <v>6450</v>
      </c>
      <c r="EE16">
        <v>6450</v>
      </c>
      <c r="EF16">
        <v>6450</v>
      </c>
      <c r="EG16">
        <v>6450</v>
      </c>
      <c r="EH16">
        <v>6450</v>
      </c>
      <c r="EI16">
        <v>6480</v>
      </c>
      <c r="EJ16">
        <v>6480</v>
      </c>
      <c r="EK16">
        <v>6500</v>
      </c>
      <c r="EL16">
        <v>6630</v>
      </c>
      <c r="EM16">
        <v>6590</v>
      </c>
    </row>
    <row r="17" spans="1:143" x14ac:dyDescent="0.2">
      <c r="A17" t="str">
        <f>Input!M17</f>
        <v>IC</v>
      </c>
      <c r="B17">
        <v>6395.12</v>
      </c>
      <c r="C17">
        <v>6412.21</v>
      </c>
      <c r="D17">
        <v>6369.7300000000005</v>
      </c>
      <c r="E17">
        <v>6345.46</v>
      </c>
      <c r="F17">
        <v>6333.06</v>
      </c>
      <c r="G17">
        <v>6291.72</v>
      </c>
      <c r="H17">
        <v>6266.78</v>
      </c>
      <c r="I17">
        <v>6260.25</v>
      </c>
      <c r="J17">
        <v>6288.47</v>
      </c>
      <c r="K17">
        <v>6324.31</v>
      </c>
      <c r="L17">
        <v>6416.45</v>
      </c>
      <c r="M17">
        <v>6405.17</v>
      </c>
      <c r="N17">
        <v>6387.53</v>
      </c>
      <c r="O17">
        <v>6430.8</v>
      </c>
      <c r="P17">
        <v>6434.45</v>
      </c>
      <c r="Q17">
        <v>6430.16</v>
      </c>
      <c r="R17">
        <v>6398.16</v>
      </c>
      <c r="S17">
        <v>6386.33</v>
      </c>
      <c r="T17">
        <v>6310.17</v>
      </c>
      <c r="U17">
        <v>6222.72</v>
      </c>
      <c r="V17">
        <v>6206.24</v>
      </c>
      <c r="W17">
        <v>6213.4400000000005</v>
      </c>
      <c r="X17">
        <v>6175.87</v>
      </c>
      <c r="Y17">
        <v>6193.9000000000005</v>
      </c>
      <c r="Z17">
        <v>6261.27</v>
      </c>
      <c r="AA17">
        <v>6231.58</v>
      </c>
      <c r="AB17">
        <v>6218.67</v>
      </c>
      <c r="AC17">
        <v>6231.1100000000006</v>
      </c>
      <c r="AD17">
        <v>6186.4400000000005</v>
      </c>
      <c r="AE17">
        <v>6227.4400000000005</v>
      </c>
      <c r="AF17">
        <v>6266.01</v>
      </c>
      <c r="AG17">
        <v>6226.16</v>
      </c>
      <c r="AH17">
        <v>6271.55</v>
      </c>
      <c r="AI17">
        <v>6254.28</v>
      </c>
      <c r="AJ17">
        <v>6182.36</v>
      </c>
      <c r="AK17">
        <v>6161.6500000000005</v>
      </c>
      <c r="AL17">
        <v>6108.83</v>
      </c>
      <c r="AM17">
        <v>6197.1900000000005</v>
      </c>
      <c r="AN17">
        <v>6329.76</v>
      </c>
      <c r="AO17">
        <v>6296.47</v>
      </c>
      <c r="AP17">
        <v>6310.06</v>
      </c>
      <c r="AQ17">
        <v>6278.7</v>
      </c>
      <c r="AR17">
        <v>6220.7300000000005</v>
      </c>
      <c r="AS17">
        <v>6269.54</v>
      </c>
      <c r="AT17">
        <v>6342.99</v>
      </c>
      <c r="AU17">
        <v>6453.35</v>
      </c>
      <c r="AV17">
        <v>6415</v>
      </c>
      <c r="AW17">
        <v>6327.74</v>
      </c>
      <c r="AX17">
        <v>6471</v>
      </c>
      <c r="AY17">
        <v>6548</v>
      </c>
      <c r="AZ17">
        <v>6520</v>
      </c>
      <c r="BA17">
        <v>6651.41</v>
      </c>
      <c r="BB17">
        <v>6661</v>
      </c>
      <c r="BC17">
        <v>6629</v>
      </c>
      <c r="BD17">
        <v>6570</v>
      </c>
      <c r="BE17">
        <v>6596</v>
      </c>
      <c r="BF17">
        <v>6520.57</v>
      </c>
      <c r="BG17">
        <v>6459</v>
      </c>
      <c r="BH17">
        <v>6421</v>
      </c>
      <c r="BI17">
        <v>6503</v>
      </c>
      <c r="BJ17">
        <v>6563</v>
      </c>
      <c r="BK17">
        <v>6504</v>
      </c>
      <c r="BL17">
        <v>6540.88</v>
      </c>
      <c r="BM17">
        <v>6641.55</v>
      </c>
      <c r="BN17">
        <v>6682.99</v>
      </c>
      <c r="BO17">
        <v>6609</v>
      </c>
      <c r="BP17">
        <v>6576.42</v>
      </c>
      <c r="BQ17">
        <v>6596</v>
      </c>
      <c r="BR17">
        <v>6541</v>
      </c>
      <c r="BS17">
        <v>6517.6100000000006</v>
      </c>
      <c r="BT17">
        <v>6623.52</v>
      </c>
      <c r="BU17">
        <v>6630.27</v>
      </c>
      <c r="BV17">
        <v>6622.43</v>
      </c>
      <c r="BW17">
        <v>6690.37</v>
      </c>
      <c r="BX17">
        <v>6659.85</v>
      </c>
      <c r="BY17">
        <v>6686.21</v>
      </c>
      <c r="BZ17">
        <v>6665.08</v>
      </c>
      <c r="CA17">
        <v>6594.01</v>
      </c>
      <c r="CB17">
        <v>6591.1</v>
      </c>
      <c r="CC17">
        <v>6573.54</v>
      </c>
      <c r="CD17">
        <v>6504.17</v>
      </c>
      <c r="CE17">
        <v>6545.1500000000005</v>
      </c>
      <c r="CF17">
        <v>6581.28</v>
      </c>
      <c r="CG17">
        <v>6657.99</v>
      </c>
      <c r="CH17">
        <v>6676.77</v>
      </c>
      <c r="CI17">
        <v>6650.45</v>
      </c>
      <c r="CJ17">
        <v>6653.7300000000005</v>
      </c>
      <c r="CK17">
        <v>6640.91</v>
      </c>
      <c r="CL17">
        <v>6665.52</v>
      </c>
      <c r="CM17">
        <v>6654.95</v>
      </c>
      <c r="CN17">
        <v>6711.28</v>
      </c>
      <c r="CO17">
        <v>6600.33</v>
      </c>
      <c r="CP17">
        <v>6578.38</v>
      </c>
      <c r="CQ17">
        <v>6602.53</v>
      </c>
      <c r="CR17">
        <v>6606.68</v>
      </c>
      <c r="CS17">
        <v>6567.92</v>
      </c>
      <c r="CT17">
        <v>6564.27</v>
      </c>
      <c r="CU17">
        <v>6510.99</v>
      </c>
      <c r="CV17">
        <v>6451.62</v>
      </c>
      <c r="CW17">
        <v>6443.67</v>
      </c>
      <c r="CX17">
        <v>6418.67</v>
      </c>
      <c r="CY17">
        <v>6436.64</v>
      </c>
      <c r="CZ17">
        <v>6342.06</v>
      </c>
      <c r="DA17">
        <v>6313.1500000000005</v>
      </c>
      <c r="DB17">
        <v>6339.28</v>
      </c>
      <c r="DC17">
        <v>6388.96</v>
      </c>
      <c r="DD17">
        <v>6387.37</v>
      </c>
      <c r="DE17">
        <v>6350.29</v>
      </c>
      <c r="DF17">
        <v>6348.9400000000005</v>
      </c>
      <c r="DG17">
        <v>6307.72</v>
      </c>
      <c r="DH17">
        <v>6309.97</v>
      </c>
      <c r="DI17">
        <v>6268.02</v>
      </c>
      <c r="DJ17">
        <v>6220.08</v>
      </c>
      <c r="DK17">
        <v>6279.56</v>
      </c>
      <c r="DL17">
        <v>6303.93</v>
      </c>
      <c r="DM17">
        <v>6316.09</v>
      </c>
      <c r="DN17">
        <v>6266.6500000000005</v>
      </c>
      <c r="DO17">
        <v>6287.21</v>
      </c>
      <c r="DP17">
        <v>6268.1100000000006</v>
      </c>
      <c r="DQ17">
        <v>6310.9000000000005</v>
      </c>
      <c r="DR17">
        <v>6291.6100000000006</v>
      </c>
      <c r="DS17">
        <v>6278.35</v>
      </c>
      <c r="DT17">
        <v>6209.02</v>
      </c>
      <c r="DU17">
        <v>6176.89</v>
      </c>
      <c r="DV17">
        <v>6129.59</v>
      </c>
      <c r="DW17">
        <v>6138.28</v>
      </c>
      <c r="DX17">
        <v>6143.52</v>
      </c>
      <c r="DY17">
        <v>6120.41</v>
      </c>
      <c r="DZ17">
        <v>6106.62</v>
      </c>
      <c r="EA17">
        <v>6006.16</v>
      </c>
      <c r="EB17">
        <v>5884.52</v>
      </c>
      <c r="EC17">
        <v>5992.88</v>
      </c>
      <c r="ED17">
        <v>6125.67</v>
      </c>
      <c r="EE17">
        <v>6168.72</v>
      </c>
      <c r="EF17">
        <v>6066.16</v>
      </c>
      <c r="EG17">
        <v>6176.34</v>
      </c>
      <c r="EH17">
        <v>6209.88</v>
      </c>
      <c r="EI17">
        <v>6205.39</v>
      </c>
      <c r="EJ17">
        <v>6163.1500000000005</v>
      </c>
      <c r="EK17">
        <v>6153.77</v>
      </c>
      <c r="EL17">
        <v>6141.95</v>
      </c>
      <c r="EM17">
        <v>6160.46</v>
      </c>
    </row>
    <row r="18" spans="1:143" x14ac:dyDescent="0.2">
      <c r="A18" t="str">
        <f>Input!M18</f>
        <v>IH</v>
      </c>
      <c r="B18">
        <v>3179.03</v>
      </c>
      <c r="C18">
        <v>3152.27</v>
      </c>
      <c r="D18">
        <v>3178.09</v>
      </c>
      <c r="E18">
        <v>3161.37</v>
      </c>
      <c r="F18">
        <v>3116.7400000000002</v>
      </c>
      <c r="G18">
        <v>3123</v>
      </c>
      <c r="H18">
        <v>3089.89</v>
      </c>
      <c r="I18">
        <v>3067.16</v>
      </c>
      <c r="J18">
        <v>3054.9500000000003</v>
      </c>
      <c r="K18">
        <v>3061.94</v>
      </c>
      <c r="L18">
        <v>3005.66</v>
      </c>
      <c r="M18">
        <v>2993.03</v>
      </c>
      <c r="N18">
        <v>2988.75</v>
      </c>
      <c r="O18">
        <v>2961.12</v>
      </c>
      <c r="P18">
        <v>2951.13</v>
      </c>
      <c r="Q18">
        <v>2935.16</v>
      </c>
      <c r="R18">
        <v>2931.07</v>
      </c>
      <c r="S18">
        <v>2936.17</v>
      </c>
      <c r="T18">
        <v>2904.71</v>
      </c>
      <c r="U18">
        <v>2857.4</v>
      </c>
      <c r="V18">
        <v>2857.2400000000002</v>
      </c>
      <c r="W18">
        <v>2868.64</v>
      </c>
      <c r="X18">
        <v>2874.31</v>
      </c>
      <c r="Y18">
        <v>2883.27</v>
      </c>
      <c r="Z18">
        <v>2886.15</v>
      </c>
      <c r="AA18">
        <v>2900.41</v>
      </c>
      <c r="AB18">
        <v>2875.7200000000003</v>
      </c>
      <c r="AC18">
        <v>2860.1</v>
      </c>
      <c r="AD18">
        <v>2819.48</v>
      </c>
      <c r="AE18">
        <v>2830.9900000000002</v>
      </c>
      <c r="AF18">
        <v>2851.9500000000003</v>
      </c>
      <c r="AG18">
        <v>2846.9</v>
      </c>
      <c r="AH18">
        <v>2875.9900000000002</v>
      </c>
      <c r="AI18">
        <v>2875.83</v>
      </c>
      <c r="AJ18">
        <v>2847.05</v>
      </c>
      <c r="AK18">
        <v>2840.38</v>
      </c>
      <c r="AL18">
        <v>2876.5</v>
      </c>
      <c r="AM18">
        <v>2884.88</v>
      </c>
      <c r="AN18">
        <v>2861.18</v>
      </c>
      <c r="AO18">
        <v>2836.63</v>
      </c>
      <c r="AP18">
        <v>2872.2000000000003</v>
      </c>
      <c r="AQ18">
        <v>2865.27</v>
      </c>
      <c r="AR18">
        <v>2880.29</v>
      </c>
      <c r="AS18">
        <v>2891.2400000000002</v>
      </c>
      <c r="AT18">
        <v>2981.9500000000003</v>
      </c>
      <c r="AU18">
        <v>3016.23</v>
      </c>
      <c r="AV18">
        <v>2995</v>
      </c>
      <c r="AW18">
        <v>2905.09</v>
      </c>
      <c r="AX18">
        <v>2888</v>
      </c>
      <c r="AY18">
        <v>2864</v>
      </c>
      <c r="AZ18">
        <v>2846</v>
      </c>
      <c r="BA18">
        <v>2871.42</v>
      </c>
      <c r="BB18">
        <v>2874</v>
      </c>
      <c r="BC18">
        <v>2852</v>
      </c>
      <c r="BD18">
        <v>2816</v>
      </c>
      <c r="BE18">
        <v>2831</v>
      </c>
      <c r="BF18">
        <v>2816.1</v>
      </c>
      <c r="BG18">
        <v>2785</v>
      </c>
      <c r="BH18">
        <v>2772</v>
      </c>
      <c r="BI18">
        <v>2778</v>
      </c>
      <c r="BJ18">
        <v>2790</v>
      </c>
      <c r="BK18">
        <v>2790</v>
      </c>
      <c r="BL18">
        <v>2811.21</v>
      </c>
      <c r="BM18">
        <v>2796.61</v>
      </c>
      <c r="BN18">
        <v>2781.3</v>
      </c>
      <c r="BO18">
        <v>2749</v>
      </c>
      <c r="BP18">
        <v>2756.48</v>
      </c>
      <c r="BQ18">
        <v>2739</v>
      </c>
      <c r="BR18">
        <v>2737</v>
      </c>
      <c r="BS18">
        <v>2743.62</v>
      </c>
      <c r="BT18">
        <v>2738.23</v>
      </c>
      <c r="BU18">
        <v>2731.34</v>
      </c>
      <c r="BV18">
        <v>2728.45</v>
      </c>
      <c r="BW18">
        <v>2717.51</v>
      </c>
      <c r="BX18">
        <v>2711.64</v>
      </c>
      <c r="BY18">
        <v>2707.62</v>
      </c>
      <c r="BZ18">
        <v>2675.65</v>
      </c>
      <c r="CA18">
        <v>2675.08</v>
      </c>
      <c r="CB18">
        <v>2658.4900000000002</v>
      </c>
      <c r="CC18">
        <v>2667.79</v>
      </c>
      <c r="CD18">
        <v>2678.16</v>
      </c>
      <c r="CE18">
        <v>2671.21</v>
      </c>
      <c r="CF18">
        <v>2667.32</v>
      </c>
      <c r="CG18">
        <v>2681.73</v>
      </c>
      <c r="CH18">
        <v>2672.4500000000003</v>
      </c>
      <c r="CI18">
        <v>2666.55</v>
      </c>
      <c r="CJ18">
        <v>2678.15</v>
      </c>
      <c r="CK18">
        <v>2672.1</v>
      </c>
      <c r="CL18">
        <v>2675.19</v>
      </c>
      <c r="CM18">
        <v>2690.7200000000003</v>
      </c>
      <c r="CN18">
        <v>2688.2200000000003</v>
      </c>
      <c r="CO18">
        <v>2678.27</v>
      </c>
      <c r="CP18">
        <v>2692.17</v>
      </c>
      <c r="CQ18">
        <v>2704.9700000000003</v>
      </c>
      <c r="CR18">
        <v>2716.9700000000003</v>
      </c>
      <c r="CS18">
        <v>2734.59</v>
      </c>
      <c r="CT18">
        <v>2708.59</v>
      </c>
      <c r="CU18">
        <v>2707.5</v>
      </c>
      <c r="CV18">
        <v>2708.39</v>
      </c>
      <c r="CW18">
        <v>2734.64</v>
      </c>
      <c r="CX18">
        <v>2737.51</v>
      </c>
      <c r="CY18">
        <v>2741.04</v>
      </c>
      <c r="CZ18">
        <v>2690.7400000000002</v>
      </c>
      <c r="DA18">
        <v>2654.08</v>
      </c>
      <c r="DB18">
        <v>2655.68</v>
      </c>
      <c r="DC18">
        <v>2633.76</v>
      </c>
      <c r="DD18">
        <v>2613.94</v>
      </c>
      <c r="DE18">
        <v>2605.25</v>
      </c>
      <c r="DF18">
        <v>2595.67</v>
      </c>
      <c r="DG18">
        <v>2593.77</v>
      </c>
      <c r="DH18">
        <v>2608.0500000000002</v>
      </c>
      <c r="DI18">
        <v>2585.04</v>
      </c>
      <c r="DJ18">
        <v>2573.59</v>
      </c>
      <c r="DK18">
        <v>2600.6799999999998</v>
      </c>
      <c r="DL18">
        <v>2629.26</v>
      </c>
      <c r="DM18">
        <v>2628.06</v>
      </c>
      <c r="DN18">
        <v>2629.66</v>
      </c>
      <c r="DO18">
        <v>2649.85</v>
      </c>
      <c r="DP18">
        <v>2662.61</v>
      </c>
      <c r="DQ18">
        <v>2693.37</v>
      </c>
      <c r="DR18">
        <v>2668.92</v>
      </c>
      <c r="DS18">
        <v>2645.8</v>
      </c>
      <c r="DT18">
        <v>2633.55</v>
      </c>
      <c r="DU18">
        <v>2625.96</v>
      </c>
      <c r="DV18">
        <v>2630.51</v>
      </c>
      <c r="DW18">
        <v>2654.53</v>
      </c>
      <c r="DX18">
        <v>2649.48</v>
      </c>
      <c r="DY18">
        <v>2649.58</v>
      </c>
      <c r="DZ18">
        <v>2654.06</v>
      </c>
      <c r="EA18">
        <v>2644.51</v>
      </c>
      <c r="EB18">
        <v>2606.0700000000002</v>
      </c>
      <c r="EC18">
        <v>2650.65</v>
      </c>
      <c r="ED18">
        <v>2602.84</v>
      </c>
      <c r="EE18">
        <v>2584.67</v>
      </c>
      <c r="EF18">
        <v>2587.6</v>
      </c>
      <c r="EG18">
        <v>2572.9299999999998</v>
      </c>
      <c r="EH18">
        <v>2547.6799999999998</v>
      </c>
      <c r="EI18">
        <v>2542.44</v>
      </c>
      <c r="EJ18">
        <v>2537.96</v>
      </c>
      <c r="EK18">
        <v>2526.59</v>
      </c>
      <c r="EL18">
        <v>2513.52</v>
      </c>
      <c r="EM18">
        <v>2533.3000000000002</v>
      </c>
    </row>
    <row r="19" spans="1:143" x14ac:dyDescent="0.2">
      <c r="A19" t="str">
        <f>Input!M19</f>
        <v>IF</v>
      </c>
      <c r="B19">
        <v>4387.45</v>
      </c>
      <c r="C19">
        <v>4364.1499999999996</v>
      </c>
      <c r="D19">
        <v>4377.7300000000005</v>
      </c>
      <c r="E19">
        <v>4364.68</v>
      </c>
      <c r="F19">
        <v>4311.96</v>
      </c>
      <c r="G19">
        <v>4289.96</v>
      </c>
      <c r="H19">
        <v>4253.16</v>
      </c>
      <c r="I19">
        <v>4237.46</v>
      </c>
      <c r="J19">
        <v>4248.25</v>
      </c>
      <c r="K19">
        <v>4250.6900000000005</v>
      </c>
      <c r="L19">
        <v>4216.21</v>
      </c>
      <c r="M19">
        <v>4198.38</v>
      </c>
      <c r="N19">
        <v>4196.1099999999997</v>
      </c>
      <c r="O19">
        <v>4171.07</v>
      </c>
      <c r="P19">
        <v>4164.21</v>
      </c>
      <c r="Q19">
        <v>4143.92</v>
      </c>
      <c r="R19">
        <v>4131.37</v>
      </c>
      <c r="S19">
        <v>4134.7</v>
      </c>
      <c r="T19">
        <v>4082.2000000000003</v>
      </c>
      <c r="U19">
        <v>4023.88</v>
      </c>
      <c r="V19">
        <v>4019.1800000000003</v>
      </c>
      <c r="W19">
        <v>4027.9500000000003</v>
      </c>
      <c r="X19">
        <v>4026.89</v>
      </c>
      <c r="Y19">
        <v>4042.73</v>
      </c>
      <c r="Z19">
        <v>4063.53</v>
      </c>
      <c r="AA19">
        <v>4068.56</v>
      </c>
      <c r="AB19">
        <v>4032.98</v>
      </c>
      <c r="AC19">
        <v>4017.05</v>
      </c>
      <c r="AD19">
        <v>3973.36</v>
      </c>
      <c r="AE19">
        <v>3986.9900000000002</v>
      </c>
      <c r="AF19">
        <v>4025.82</v>
      </c>
      <c r="AG19">
        <v>4012.6600000000003</v>
      </c>
      <c r="AH19">
        <v>4049.56</v>
      </c>
      <c r="AI19">
        <v>4037.9300000000003</v>
      </c>
      <c r="AJ19">
        <v>3980.9700000000003</v>
      </c>
      <c r="AK19">
        <v>3973.35</v>
      </c>
      <c r="AL19">
        <v>4002.53</v>
      </c>
      <c r="AM19">
        <v>4028.4900000000002</v>
      </c>
      <c r="AN19">
        <v>4026.6600000000003</v>
      </c>
      <c r="AO19">
        <v>3991.11</v>
      </c>
      <c r="AP19">
        <v>4027.44</v>
      </c>
      <c r="AQ19">
        <v>4014.81</v>
      </c>
      <c r="AR19">
        <v>4019.52</v>
      </c>
      <c r="AS19">
        <v>4047.9300000000003</v>
      </c>
      <c r="AT19">
        <v>4160.1499999999996</v>
      </c>
      <c r="AU19">
        <v>4233.88</v>
      </c>
      <c r="AV19">
        <v>4203</v>
      </c>
      <c r="AW19">
        <v>4083.33</v>
      </c>
      <c r="AX19">
        <v>4101</v>
      </c>
      <c r="AY19">
        <v>4087</v>
      </c>
      <c r="AZ19">
        <v>4060</v>
      </c>
      <c r="BA19">
        <v>4116.6400000000003</v>
      </c>
      <c r="BB19">
        <v>4131</v>
      </c>
      <c r="BC19">
        <v>4099</v>
      </c>
      <c r="BD19">
        <v>4045</v>
      </c>
      <c r="BE19">
        <v>4074</v>
      </c>
      <c r="BF19">
        <v>4039.05</v>
      </c>
      <c r="BG19">
        <v>4001</v>
      </c>
      <c r="BH19">
        <v>3966</v>
      </c>
      <c r="BI19">
        <v>3983</v>
      </c>
      <c r="BJ19">
        <v>4000</v>
      </c>
      <c r="BK19">
        <v>3990</v>
      </c>
      <c r="BL19">
        <v>4008.33</v>
      </c>
      <c r="BM19">
        <v>4008.23</v>
      </c>
      <c r="BN19">
        <v>4008.73</v>
      </c>
      <c r="BO19">
        <v>3963</v>
      </c>
      <c r="BP19">
        <v>3952.04</v>
      </c>
      <c r="BQ19">
        <v>3929</v>
      </c>
      <c r="BR19">
        <v>3920</v>
      </c>
      <c r="BS19">
        <v>3924.2000000000003</v>
      </c>
      <c r="BT19">
        <v>3931.2000000000003</v>
      </c>
      <c r="BU19">
        <v>3920.65</v>
      </c>
      <c r="BV19">
        <v>3917.57</v>
      </c>
      <c r="BW19">
        <v>3919.92</v>
      </c>
      <c r="BX19">
        <v>3909.89</v>
      </c>
      <c r="BY19">
        <v>3904.39</v>
      </c>
      <c r="BZ19">
        <v>3860.08</v>
      </c>
      <c r="CA19">
        <v>3838.7200000000003</v>
      </c>
      <c r="CB19">
        <v>3822.29</v>
      </c>
      <c r="CC19">
        <v>3826.84</v>
      </c>
      <c r="CD19">
        <v>3818.11</v>
      </c>
      <c r="CE19">
        <v>3819.66</v>
      </c>
      <c r="CF19">
        <v>3824.52</v>
      </c>
      <c r="CG19">
        <v>3850.56</v>
      </c>
      <c r="CH19">
        <v>3846.57</v>
      </c>
      <c r="CI19">
        <v>3832</v>
      </c>
      <c r="CJ19">
        <v>3847.31</v>
      </c>
      <c r="CK19">
        <v>3836.41</v>
      </c>
      <c r="CL19">
        <v>3831.19</v>
      </c>
      <c r="CM19">
        <v>3842.2400000000002</v>
      </c>
      <c r="CN19">
        <v>3843.1800000000003</v>
      </c>
      <c r="CO19">
        <v>3818.41</v>
      </c>
      <c r="CP19">
        <v>3831.25</v>
      </c>
      <c r="CQ19">
        <v>3849.26</v>
      </c>
      <c r="CR19">
        <v>3853.37</v>
      </c>
      <c r="CS19">
        <v>3861.69</v>
      </c>
      <c r="CT19">
        <v>3843.64</v>
      </c>
      <c r="CU19">
        <v>3824.1</v>
      </c>
      <c r="CV19">
        <v>3812.31</v>
      </c>
      <c r="CW19">
        <v>3838.86</v>
      </c>
      <c r="CX19">
        <v>3836.17</v>
      </c>
      <c r="CY19">
        <v>3850.44</v>
      </c>
      <c r="CZ19">
        <v>3782.51</v>
      </c>
      <c r="DA19">
        <v>3747.98</v>
      </c>
      <c r="DB19">
        <v>3753.94</v>
      </c>
      <c r="DC19">
        <v>3750.14</v>
      </c>
      <c r="DD19">
        <v>3734.84</v>
      </c>
      <c r="DE19">
        <v>3717.61</v>
      </c>
      <c r="DF19">
        <v>3714.36</v>
      </c>
      <c r="DG19">
        <v>3695.5</v>
      </c>
      <c r="DH19">
        <v>3706.05</v>
      </c>
      <c r="DI19">
        <v>3687.98</v>
      </c>
      <c r="DJ19">
        <v>3665.73</v>
      </c>
      <c r="DK19">
        <v>3704.6</v>
      </c>
      <c r="DL19">
        <v>3732.53</v>
      </c>
      <c r="DM19">
        <v>3727.78</v>
      </c>
      <c r="DN19">
        <v>3714.02</v>
      </c>
      <c r="DO19">
        <v>3734.91</v>
      </c>
      <c r="DP19">
        <v>3740.69</v>
      </c>
      <c r="DQ19">
        <v>3783.31</v>
      </c>
      <c r="DR19">
        <v>3761.5</v>
      </c>
      <c r="DS19">
        <v>3742.85</v>
      </c>
      <c r="DT19">
        <v>3719.28</v>
      </c>
      <c r="DU19">
        <v>3700.21</v>
      </c>
      <c r="DV19">
        <v>3699.05</v>
      </c>
      <c r="DW19">
        <v>3731.77</v>
      </c>
      <c r="DX19">
        <v>3739.21</v>
      </c>
      <c r="DY19">
        <v>3739.9900000000002</v>
      </c>
      <c r="DZ19">
        <v>3734.37</v>
      </c>
      <c r="EA19">
        <v>3707.73</v>
      </c>
      <c r="EB19">
        <v>3638.79</v>
      </c>
      <c r="EC19">
        <v>3697.25</v>
      </c>
      <c r="ED19">
        <v>3683.85</v>
      </c>
      <c r="EE19">
        <v>3676.75</v>
      </c>
      <c r="EF19">
        <v>3665.7000000000003</v>
      </c>
      <c r="EG19">
        <v>3677.62</v>
      </c>
      <c r="EH19">
        <v>3655.38</v>
      </c>
      <c r="EI19">
        <v>3647.69</v>
      </c>
      <c r="EJ19">
        <v>3636.23</v>
      </c>
      <c r="EK19">
        <v>3630.9700000000003</v>
      </c>
      <c r="EL19">
        <v>3617.88</v>
      </c>
      <c r="EM19">
        <v>3648.81</v>
      </c>
    </row>
    <row r="20" spans="1:143" x14ac:dyDescent="0.2">
      <c r="A20" t="str">
        <f>Input!M20</f>
        <v>CU</v>
      </c>
      <c r="B20">
        <v>53210</v>
      </c>
      <c r="C20">
        <v>53560</v>
      </c>
      <c r="D20">
        <v>52590</v>
      </c>
      <c r="E20">
        <v>53490</v>
      </c>
      <c r="F20">
        <v>53460</v>
      </c>
      <c r="G20">
        <v>53420</v>
      </c>
      <c r="H20">
        <v>53500</v>
      </c>
      <c r="I20">
        <v>53690</v>
      </c>
      <c r="J20">
        <v>54520</v>
      </c>
      <c r="K20">
        <v>54330</v>
      </c>
      <c r="L20">
        <v>54330</v>
      </c>
      <c r="M20">
        <v>54690</v>
      </c>
      <c r="N20">
        <v>54640</v>
      </c>
      <c r="O20">
        <v>54470</v>
      </c>
      <c r="P20">
        <v>54350</v>
      </c>
      <c r="Q20">
        <v>54760</v>
      </c>
      <c r="R20">
        <v>54650</v>
      </c>
      <c r="S20">
        <v>54640</v>
      </c>
      <c r="T20">
        <v>54690</v>
      </c>
      <c r="U20">
        <v>55240</v>
      </c>
      <c r="V20">
        <v>54920</v>
      </c>
      <c r="W20">
        <v>54620</v>
      </c>
      <c r="X20">
        <v>54290</v>
      </c>
      <c r="Y20">
        <v>54650</v>
      </c>
      <c r="Z20">
        <v>53940</v>
      </c>
      <c r="AA20">
        <v>53910</v>
      </c>
      <c r="AB20">
        <v>53360</v>
      </c>
      <c r="AC20">
        <v>53360</v>
      </c>
      <c r="AD20">
        <v>53360</v>
      </c>
      <c r="AE20">
        <v>52530</v>
      </c>
      <c r="AF20">
        <v>52460</v>
      </c>
      <c r="AG20">
        <v>52010</v>
      </c>
      <c r="AH20">
        <v>51760</v>
      </c>
      <c r="AI20">
        <v>51660</v>
      </c>
      <c r="AJ20">
        <v>51400</v>
      </c>
      <c r="AK20">
        <v>51320</v>
      </c>
      <c r="AL20">
        <v>51330</v>
      </c>
      <c r="AM20">
        <v>53320</v>
      </c>
      <c r="AN20">
        <v>53350</v>
      </c>
      <c r="AO20">
        <v>52640</v>
      </c>
      <c r="AP20">
        <v>52510</v>
      </c>
      <c r="AQ20">
        <v>53050</v>
      </c>
      <c r="AR20">
        <v>53490</v>
      </c>
      <c r="AS20">
        <v>54340</v>
      </c>
      <c r="AT20">
        <v>53770</v>
      </c>
      <c r="AU20">
        <v>53790</v>
      </c>
      <c r="AV20">
        <v>53100</v>
      </c>
      <c r="AW20">
        <v>52930</v>
      </c>
      <c r="AX20">
        <v>52800</v>
      </c>
      <c r="AY20">
        <v>53000</v>
      </c>
      <c r="AZ20">
        <v>52880</v>
      </c>
      <c r="BA20">
        <v>53960</v>
      </c>
      <c r="BB20">
        <v>53430</v>
      </c>
      <c r="BC20">
        <v>53440</v>
      </c>
      <c r="BD20">
        <v>53670</v>
      </c>
      <c r="BE20">
        <v>53780</v>
      </c>
      <c r="BF20">
        <v>54580</v>
      </c>
      <c r="BG20">
        <v>54370</v>
      </c>
      <c r="BH20">
        <v>54460</v>
      </c>
      <c r="BI20">
        <v>54330</v>
      </c>
      <c r="BJ20">
        <v>54440</v>
      </c>
      <c r="BK20">
        <v>53730</v>
      </c>
      <c r="BL20">
        <v>53720</v>
      </c>
      <c r="BM20">
        <v>54680</v>
      </c>
      <c r="BN20">
        <v>55240</v>
      </c>
      <c r="BO20">
        <v>55610</v>
      </c>
      <c r="BP20">
        <v>56070</v>
      </c>
      <c r="BQ20">
        <v>55000</v>
      </c>
      <c r="BR20">
        <v>54920</v>
      </c>
      <c r="BS20">
        <v>54890</v>
      </c>
      <c r="BT20">
        <v>55380</v>
      </c>
      <c r="BU20">
        <v>55670</v>
      </c>
      <c r="BV20">
        <v>53760</v>
      </c>
      <c r="BW20">
        <v>53670</v>
      </c>
      <c r="BX20">
        <v>53630</v>
      </c>
      <c r="BY20">
        <v>52730</v>
      </c>
      <c r="BZ20">
        <v>52500</v>
      </c>
      <c r="CA20">
        <v>51460</v>
      </c>
      <c r="CB20">
        <v>50530</v>
      </c>
      <c r="CC20">
        <v>50440</v>
      </c>
      <c r="CD20">
        <v>50830</v>
      </c>
      <c r="CE20">
        <v>50470</v>
      </c>
      <c r="CF20">
        <v>49770</v>
      </c>
      <c r="CG20">
        <v>50330</v>
      </c>
      <c r="CH20">
        <v>50790</v>
      </c>
      <c r="CI20">
        <v>50860</v>
      </c>
      <c r="CJ20">
        <v>50580</v>
      </c>
      <c r="CK20">
        <v>50470</v>
      </c>
      <c r="CL20">
        <v>50580</v>
      </c>
      <c r="CM20">
        <v>51290</v>
      </c>
      <c r="CN20">
        <v>51450</v>
      </c>
      <c r="CO20">
        <v>51210</v>
      </c>
      <c r="CP20">
        <v>52670</v>
      </c>
      <c r="CQ20">
        <v>53140</v>
      </c>
      <c r="CR20">
        <v>52960</v>
      </c>
      <c r="CS20">
        <v>53300</v>
      </c>
      <c r="CT20">
        <v>53180</v>
      </c>
      <c r="CU20">
        <v>52620</v>
      </c>
      <c r="CV20">
        <v>52680</v>
      </c>
      <c r="CW20">
        <v>52620</v>
      </c>
      <c r="CX20">
        <v>52670</v>
      </c>
      <c r="CY20">
        <v>52320</v>
      </c>
      <c r="CZ20">
        <v>52260</v>
      </c>
      <c r="DA20">
        <v>51500</v>
      </c>
      <c r="DB20">
        <v>51170</v>
      </c>
      <c r="DC20">
        <v>51330</v>
      </c>
      <c r="DD20">
        <v>50880</v>
      </c>
      <c r="DE20">
        <v>50520</v>
      </c>
      <c r="DF20">
        <v>51110</v>
      </c>
      <c r="DG20">
        <v>49940</v>
      </c>
      <c r="DH20">
        <v>50110</v>
      </c>
      <c r="DI20">
        <v>50040</v>
      </c>
      <c r="DJ20">
        <v>49850</v>
      </c>
      <c r="DK20">
        <v>50620</v>
      </c>
      <c r="DL20">
        <v>50810</v>
      </c>
      <c r="DM20">
        <v>50440</v>
      </c>
      <c r="DN20">
        <v>50030</v>
      </c>
      <c r="DO20">
        <v>50220</v>
      </c>
      <c r="DP20">
        <v>50270</v>
      </c>
      <c r="DQ20">
        <v>49940</v>
      </c>
      <c r="DR20">
        <v>50220</v>
      </c>
      <c r="DS20">
        <v>50240</v>
      </c>
      <c r="DT20">
        <v>49910</v>
      </c>
      <c r="DU20">
        <v>49890</v>
      </c>
      <c r="DV20">
        <v>49520</v>
      </c>
      <c r="DW20">
        <v>48040</v>
      </c>
      <c r="DX20">
        <v>47730</v>
      </c>
      <c r="DY20">
        <v>47700</v>
      </c>
      <c r="DZ20">
        <v>47590</v>
      </c>
      <c r="EA20">
        <v>47550</v>
      </c>
      <c r="EB20">
        <v>47720</v>
      </c>
      <c r="EC20">
        <v>47180</v>
      </c>
      <c r="ED20">
        <v>46900</v>
      </c>
      <c r="EE20">
        <v>47000</v>
      </c>
      <c r="EF20">
        <v>47030</v>
      </c>
      <c r="EG20">
        <v>46710</v>
      </c>
      <c r="EH20">
        <v>46800</v>
      </c>
      <c r="EI20">
        <v>46760</v>
      </c>
      <c r="EJ20">
        <v>46780</v>
      </c>
      <c r="EK20">
        <v>47120</v>
      </c>
      <c r="EL20">
        <v>46960</v>
      </c>
      <c r="EM20">
        <v>47130</v>
      </c>
    </row>
    <row r="21" spans="1:143" x14ac:dyDescent="0.2">
      <c r="A21" t="str">
        <f>Input!M21</f>
        <v>CS</v>
      </c>
      <c r="B21">
        <v>2250</v>
      </c>
      <c r="C21">
        <v>2250</v>
      </c>
      <c r="D21">
        <v>2250</v>
      </c>
      <c r="E21">
        <v>2250</v>
      </c>
      <c r="F21">
        <v>2250</v>
      </c>
      <c r="G21">
        <v>2250</v>
      </c>
      <c r="H21">
        <v>2250</v>
      </c>
      <c r="I21">
        <v>2250</v>
      </c>
      <c r="J21">
        <v>2250</v>
      </c>
      <c r="K21">
        <v>2250</v>
      </c>
      <c r="L21">
        <v>2250</v>
      </c>
      <c r="M21">
        <v>2250</v>
      </c>
      <c r="N21">
        <v>2250</v>
      </c>
      <c r="O21">
        <v>2250</v>
      </c>
      <c r="P21">
        <v>2250</v>
      </c>
      <c r="Q21">
        <v>2250</v>
      </c>
      <c r="R21">
        <v>2250</v>
      </c>
      <c r="S21">
        <v>2250</v>
      </c>
      <c r="T21">
        <v>2250</v>
      </c>
      <c r="U21">
        <v>2250</v>
      </c>
      <c r="V21">
        <v>2250</v>
      </c>
      <c r="W21">
        <v>2250</v>
      </c>
      <c r="X21">
        <v>2250</v>
      </c>
      <c r="Y21">
        <v>2250</v>
      </c>
      <c r="Z21">
        <v>2220</v>
      </c>
      <c r="AA21">
        <v>2220</v>
      </c>
      <c r="AB21">
        <v>2220</v>
      </c>
      <c r="AC21">
        <v>2200</v>
      </c>
      <c r="AD21">
        <v>2200</v>
      </c>
      <c r="AE21">
        <v>2200</v>
      </c>
      <c r="AF21">
        <v>2200</v>
      </c>
      <c r="AG21">
        <v>2200</v>
      </c>
      <c r="AH21">
        <v>2200</v>
      </c>
      <c r="AI21">
        <v>2200</v>
      </c>
      <c r="AJ21">
        <v>2200</v>
      </c>
      <c r="AK21">
        <v>2200</v>
      </c>
      <c r="AL21">
        <v>2200</v>
      </c>
      <c r="AM21">
        <v>2200</v>
      </c>
      <c r="AN21">
        <v>2200</v>
      </c>
      <c r="AO21">
        <v>2220</v>
      </c>
      <c r="AP21">
        <v>2220</v>
      </c>
      <c r="AQ21">
        <v>2220</v>
      </c>
      <c r="AR21">
        <v>2220</v>
      </c>
      <c r="AS21">
        <v>2220</v>
      </c>
      <c r="AT21">
        <v>2220</v>
      </c>
      <c r="AU21">
        <v>2220</v>
      </c>
      <c r="AV21">
        <v>2220</v>
      </c>
      <c r="AW21">
        <v>2220</v>
      </c>
      <c r="AX21">
        <v>2250</v>
      </c>
      <c r="AY21">
        <v>2250</v>
      </c>
      <c r="AZ21">
        <v>2250</v>
      </c>
      <c r="BA21">
        <v>2250</v>
      </c>
      <c r="BB21">
        <v>2200</v>
      </c>
      <c r="BC21">
        <v>2200</v>
      </c>
      <c r="BD21">
        <v>2200</v>
      </c>
      <c r="BE21">
        <v>2200</v>
      </c>
      <c r="BF21">
        <v>2200</v>
      </c>
      <c r="BG21">
        <v>2200</v>
      </c>
      <c r="BH21">
        <v>2305</v>
      </c>
      <c r="BI21">
        <v>2285</v>
      </c>
      <c r="BJ21">
        <v>2285</v>
      </c>
      <c r="BK21">
        <v>2285</v>
      </c>
      <c r="BL21">
        <v>2285</v>
      </c>
      <c r="BM21">
        <v>2285</v>
      </c>
      <c r="BN21">
        <v>2285</v>
      </c>
      <c r="BO21">
        <v>2285</v>
      </c>
      <c r="BP21">
        <v>2285</v>
      </c>
      <c r="BQ21">
        <v>2285</v>
      </c>
      <c r="BR21">
        <v>2285</v>
      </c>
      <c r="BS21">
        <v>2285</v>
      </c>
      <c r="BT21">
        <v>2255</v>
      </c>
      <c r="BU21">
        <v>2255</v>
      </c>
      <c r="BV21">
        <v>2185</v>
      </c>
      <c r="BW21">
        <v>2185</v>
      </c>
      <c r="BX21">
        <v>2185</v>
      </c>
      <c r="BY21">
        <v>2185</v>
      </c>
      <c r="BZ21">
        <v>2185</v>
      </c>
      <c r="CA21">
        <v>2215</v>
      </c>
      <c r="CB21">
        <v>2215</v>
      </c>
      <c r="CC21">
        <v>2215</v>
      </c>
      <c r="CD21">
        <v>2215</v>
      </c>
      <c r="CE21">
        <v>2215</v>
      </c>
      <c r="CF21">
        <v>2255</v>
      </c>
      <c r="CG21">
        <v>2255</v>
      </c>
      <c r="CH21">
        <v>2255</v>
      </c>
      <c r="CI21">
        <v>2255</v>
      </c>
      <c r="CJ21">
        <v>2255</v>
      </c>
      <c r="CK21">
        <v>2275</v>
      </c>
      <c r="CL21">
        <v>2285</v>
      </c>
      <c r="CM21">
        <v>2295</v>
      </c>
      <c r="CN21">
        <v>2295</v>
      </c>
      <c r="CO21">
        <v>2295</v>
      </c>
      <c r="CP21">
        <v>2305</v>
      </c>
      <c r="CQ21">
        <v>2305</v>
      </c>
      <c r="CR21">
        <v>2305</v>
      </c>
      <c r="CS21">
        <v>2305</v>
      </c>
      <c r="CT21">
        <v>2305</v>
      </c>
      <c r="CU21">
        <v>2295</v>
      </c>
      <c r="CV21">
        <v>2295</v>
      </c>
      <c r="CW21">
        <v>2295</v>
      </c>
      <c r="CX21">
        <v>2295</v>
      </c>
      <c r="CY21">
        <v>2295</v>
      </c>
      <c r="CZ21">
        <v>2265</v>
      </c>
      <c r="DA21">
        <v>2265</v>
      </c>
      <c r="DB21">
        <v>2265</v>
      </c>
      <c r="DC21">
        <v>2265</v>
      </c>
      <c r="DD21">
        <v>2265</v>
      </c>
      <c r="DE21">
        <v>2265</v>
      </c>
      <c r="DF21">
        <v>2185</v>
      </c>
      <c r="DG21">
        <v>2185</v>
      </c>
      <c r="DH21">
        <v>2185</v>
      </c>
      <c r="DI21">
        <v>2135</v>
      </c>
      <c r="DJ21">
        <v>2105</v>
      </c>
      <c r="DK21">
        <v>2105</v>
      </c>
      <c r="DL21">
        <v>2085</v>
      </c>
      <c r="DM21">
        <v>2085</v>
      </c>
      <c r="DN21">
        <v>2085</v>
      </c>
      <c r="DO21">
        <v>2105</v>
      </c>
      <c r="DP21">
        <v>2105</v>
      </c>
      <c r="DQ21">
        <v>2135</v>
      </c>
      <c r="DR21">
        <v>2135</v>
      </c>
      <c r="DS21">
        <v>2135</v>
      </c>
      <c r="DT21">
        <v>2155</v>
      </c>
      <c r="DU21">
        <v>2155</v>
      </c>
      <c r="DV21">
        <v>2155</v>
      </c>
      <c r="DW21">
        <v>2205</v>
      </c>
      <c r="DX21">
        <v>2205</v>
      </c>
      <c r="DY21">
        <v>2205</v>
      </c>
      <c r="DZ21">
        <v>2205</v>
      </c>
      <c r="EA21">
        <v>2205</v>
      </c>
      <c r="EB21">
        <v>2205</v>
      </c>
      <c r="EC21">
        <v>2205</v>
      </c>
      <c r="ED21">
        <v>2205</v>
      </c>
      <c r="EE21">
        <v>2205</v>
      </c>
      <c r="EF21">
        <v>2205</v>
      </c>
      <c r="EG21">
        <v>2205</v>
      </c>
      <c r="EH21">
        <v>2205</v>
      </c>
      <c r="EI21">
        <v>2185</v>
      </c>
      <c r="EJ21">
        <v>2185</v>
      </c>
      <c r="EK21">
        <v>2185</v>
      </c>
      <c r="EL21">
        <v>2185</v>
      </c>
      <c r="EM21">
        <v>2185</v>
      </c>
    </row>
    <row r="22" spans="1:143" x14ac:dyDescent="0.2">
      <c r="A22" t="str">
        <f>Input!M22</f>
        <v>AL</v>
      </c>
      <c r="B22">
        <v>14460</v>
      </c>
      <c r="C22">
        <v>14550</v>
      </c>
      <c r="D22">
        <v>14410</v>
      </c>
      <c r="E22">
        <v>14360</v>
      </c>
      <c r="F22">
        <v>14350</v>
      </c>
      <c r="G22">
        <v>14440</v>
      </c>
      <c r="H22">
        <v>14410</v>
      </c>
      <c r="I22">
        <v>14430</v>
      </c>
      <c r="J22">
        <v>14690</v>
      </c>
      <c r="K22">
        <v>14920</v>
      </c>
      <c r="L22">
        <v>14810</v>
      </c>
      <c r="M22">
        <v>14900</v>
      </c>
      <c r="N22">
        <v>14710</v>
      </c>
      <c r="O22">
        <v>14690</v>
      </c>
      <c r="P22">
        <v>14700</v>
      </c>
      <c r="Q22">
        <v>14760</v>
      </c>
      <c r="R22">
        <v>14570</v>
      </c>
      <c r="S22">
        <v>14650</v>
      </c>
      <c r="T22">
        <v>14600</v>
      </c>
      <c r="U22">
        <v>14690</v>
      </c>
      <c r="V22">
        <v>14370</v>
      </c>
      <c r="W22">
        <v>14220</v>
      </c>
      <c r="X22">
        <v>14100</v>
      </c>
      <c r="Y22">
        <v>14410</v>
      </c>
      <c r="Z22">
        <v>14260</v>
      </c>
      <c r="AA22">
        <v>14270</v>
      </c>
      <c r="AB22">
        <v>14320</v>
      </c>
      <c r="AC22">
        <v>14170</v>
      </c>
      <c r="AD22">
        <v>14160</v>
      </c>
      <c r="AE22">
        <v>14040</v>
      </c>
      <c r="AF22">
        <v>13970</v>
      </c>
      <c r="AG22">
        <v>13920</v>
      </c>
      <c r="AH22">
        <v>13910</v>
      </c>
      <c r="AI22">
        <v>13950</v>
      </c>
      <c r="AJ22">
        <v>13910</v>
      </c>
      <c r="AK22">
        <v>13910</v>
      </c>
      <c r="AL22">
        <v>14030</v>
      </c>
      <c r="AM22">
        <v>14400</v>
      </c>
      <c r="AN22">
        <v>14190</v>
      </c>
      <c r="AO22">
        <v>14290</v>
      </c>
      <c r="AP22">
        <v>14150</v>
      </c>
      <c r="AQ22">
        <v>14410</v>
      </c>
      <c r="AR22">
        <v>14570</v>
      </c>
      <c r="AS22">
        <v>14750</v>
      </c>
      <c r="AT22">
        <v>14780</v>
      </c>
      <c r="AU22">
        <v>14750</v>
      </c>
      <c r="AV22">
        <v>14840</v>
      </c>
      <c r="AW22">
        <v>15100</v>
      </c>
      <c r="AX22">
        <v>15230</v>
      </c>
      <c r="AY22">
        <v>15350</v>
      </c>
      <c r="AZ22">
        <v>15150</v>
      </c>
      <c r="BA22">
        <v>15300</v>
      </c>
      <c r="BB22">
        <v>15350</v>
      </c>
      <c r="BC22">
        <v>15280</v>
      </c>
      <c r="BD22">
        <v>15420</v>
      </c>
      <c r="BE22">
        <v>15680</v>
      </c>
      <c r="BF22">
        <v>15910</v>
      </c>
      <c r="BG22">
        <v>15860</v>
      </c>
      <c r="BH22">
        <v>15980</v>
      </c>
      <c r="BI22">
        <v>15900</v>
      </c>
      <c r="BJ22">
        <v>16120</v>
      </c>
      <c r="BK22">
        <v>16070</v>
      </c>
      <c r="BL22">
        <v>16080</v>
      </c>
      <c r="BM22">
        <v>16180</v>
      </c>
      <c r="BN22">
        <v>16230</v>
      </c>
      <c r="BO22">
        <v>16200</v>
      </c>
      <c r="BP22">
        <v>16140</v>
      </c>
      <c r="BQ22">
        <v>16120</v>
      </c>
      <c r="BR22">
        <v>16090</v>
      </c>
      <c r="BS22">
        <v>15960</v>
      </c>
      <c r="BT22">
        <v>16000</v>
      </c>
      <c r="BU22">
        <v>16040</v>
      </c>
      <c r="BV22">
        <v>16240</v>
      </c>
      <c r="BW22">
        <v>16240</v>
      </c>
      <c r="BX22">
        <v>16050</v>
      </c>
      <c r="BY22">
        <v>16120</v>
      </c>
      <c r="BZ22">
        <v>16230</v>
      </c>
      <c r="CA22">
        <v>16130</v>
      </c>
      <c r="CB22">
        <v>16110</v>
      </c>
      <c r="CC22">
        <v>16140</v>
      </c>
      <c r="CD22">
        <v>16210</v>
      </c>
      <c r="CE22">
        <v>16160</v>
      </c>
      <c r="CF22">
        <v>16220</v>
      </c>
      <c r="CG22">
        <v>16590</v>
      </c>
      <c r="CH22">
        <v>16350</v>
      </c>
      <c r="CI22">
        <v>16250</v>
      </c>
      <c r="CJ22">
        <v>16110</v>
      </c>
      <c r="CK22">
        <v>16170</v>
      </c>
      <c r="CL22">
        <v>16230</v>
      </c>
      <c r="CM22">
        <v>16320</v>
      </c>
      <c r="CN22">
        <v>16150</v>
      </c>
      <c r="CO22">
        <v>15830</v>
      </c>
      <c r="CP22">
        <v>15930</v>
      </c>
      <c r="CQ22">
        <v>16090</v>
      </c>
      <c r="CR22">
        <v>16050</v>
      </c>
      <c r="CS22">
        <v>16160</v>
      </c>
      <c r="CT22">
        <v>16400</v>
      </c>
      <c r="CU22">
        <v>16180</v>
      </c>
      <c r="CV22">
        <v>16110</v>
      </c>
      <c r="CW22">
        <v>15940</v>
      </c>
      <c r="CX22">
        <v>16060</v>
      </c>
      <c r="CY22">
        <v>16020</v>
      </c>
      <c r="CZ22">
        <v>16220</v>
      </c>
      <c r="DA22">
        <v>16320</v>
      </c>
      <c r="DB22">
        <v>15930</v>
      </c>
      <c r="DC22">
        <v>16060</v>
      </c>
      <c r="DD22">
        <v>16120</v>
      </c>
      <c r="DE22">
        <v>15970</v>
      </c>
      <c r="DF22">
        <v>16220</v>
      </c>
      <c r="DG22">
        <v>15760</v>
      </c>
      <c r="DH22">
        <v>15520</v>
      </c>
      <c r="DI22">
        <v>15530</v>
      </c>
      <c r="DJ22">
        <v>15770</v>
      </c>
      <c r="DK22">
        <v>15850</v>
      </c>
      <c r="DL22">
        <v>15730</v>
      </c>
      <c r="DM22">
        <v>15120</v>
      </c>
      <c r="DN22">
        <v>14730</v>
      </c>
      <c r="DO22">
        <v>14440</v>
      </c>
      <c r="DP22">
        <v>14470</v>
      </c>
      <c r="DQ22">
        <v>14170</v>
      </c>
      <c r="DR22">
        <v>14210</v>
      </c>
      <c r="DS22">
        <v>14120</v>
      </c>
      <c r="DT22">
        <v>14220</v>
      </c>
      <c r="DU22">
        <v>14160</v>
      </c>
      <c r="DV22">
        <v>14250</v>
      </c>
      <c r="DW22">
        <v>14360</v>
      </c>
      <c r="DX22">
        <v>14180</v>
      </c>
      <c r="DY22">
        <v>14170</v>
      </c>
      <c r="DZ22">
        <v>14240</v>
      </c>
      <c r="EA22">
        <v>14150</v>
      </c>
      <c r="EB22">
        <v>14170</v>
      </c>
      <c r="EC22">
        <v>14220</v>
      </c>
      <c r="ED22">
        <v>14190</v>
      </c>
      <c r="EE22">
        <v>14020</v>
      </c>
      <c r="EF22">
        <v>13940</v>
      </c>
      <c r="EG22">
        <v>13800</v>
      </c>
      <c r="EH22">
        <v>13930</v>
      </c>
      <c r="EI22">
        <v>13880</v>
      </c>
      <c r="EJ22">
        <v>13940</v>
      </c>
      <c r="EK22">
        <v>13930</v>
      </c>
      <c r="EL22">
        <v>13850</v>
      </c>
      <c r="EM22">
        <v>13830</v>
      </c>
    </row>
    <row r="23" spans="1:143" x14ac:dyDescent="0.2">
      <c r="A23" t="str">
        <f>Input!M23</f>
        <v>PP</v>
      </c>
      <c r="B23">
        <v>9501</v>
      </c>
      <c r="C23">
        <v>9460</v>
      </c>
      <c r="D23">
        <v>9517</v>
      </c>
      <c r="E23">
        <v>9486</v>
      </c>
      <c r="F23">
        <v>9400</v>
      </c>
      <c r="G23">
        <v>9419</v>
      </c>
      <c r="H23">
        <v>9419</v>
      </c>
      <c r="I23">
        <v>9342</v>
      </c>
      <c r="J23">
        <v>9306</v>
      </c>
      <c r="K23">
        <v>9404</v>
      </c>
      <c r="L23">
        <v>9462</v>
      </c>
      <c r="M23">
        <v>9442</v>
      </c>
      <c r="N23">
        <v>9469</v>
      </c>
      <c r="O23">
        <v>9304</v>
      </c>
      <c r="P23">
        <v>9400</v>
      </c>
      <c r="Q23">
        <v>9297</v>
      </c>
      <c r="R23">
        <v>9233</v>
      </c>
      <c r="S23">
        <v>9283</v>
      </c>
      <c r="T23">
        <v>9244</v>
      </c>
      <c r="U23">
        <v>9148</v>
      </c>
      <c r="V23">
        <v>9168</v>
      </c>
      <c r="W23">
        <v>9111</v>
      </c>
      <c r="X23">
        <v>9065</v>
      </c>
      <c r="Y23">
        <v>9045</v>
      </c>
      <c r="Z23">
        <v>9080</v>
      </c>
      <c r="AA23">
        <v>9100</v>
      </c>
      <c r="AB23">
        <v>9102</v>
      </c>
      <c r="AC23">
        <v>9066</v>
      </c>
      <c r="AD23">
        <v>9032</v>
      </c>
      <c r="AE23">
        <v>8950</v>
      </c>
      <c r="AF23">
        <v>9000</v>
      </c>
      <c r="AG23">
        <v>9050</v>
      </c>
      <c r="AH23">
        <v>9075</v>
      </c>
      <c r="AI23">
        <v>9050</v>
      </c>
      <c r="AJ23">
        <v>8935</v>
      </c>
      <c r="AK23">
        <v>8900</v>
      </c>
      <c r="AL23">
        <v>9100</v>
      </c>
      <c r="AM23">
        <v>9175</v>
      </c>
      <c r="AN23">
        <v>9030</v>
      </c>
      <c r="AO23">
        <v>8930</v>
      </c>
      <c r="AP23">
        <v>8725</v>
      </c>
      <c r="AQ23">
        <v>8820</v>
      </c>
      <c r="AR23">
        <v>8740</v>
      </c>
      <c r="AS23">
        <v>9030</v>
      </c>
      <c r="AT23">
        <v>9100</v>
      </c>
      <c r="AU23">
        <v>9030</v>
      </c>
      <c r="AV23">
        <v>9050</v>
      </c>
      <c r="AW23">
        <v>9000</v>
      </c>
      <c r="AX23">
        <v>8900</v>
      </c>
      <c r="AY23">
        <v>8730</v>
      </c>
      <c r="AZ23">
        <v>8750</v>
      </c>
      <c r="BA23">
        <v>8900</v>
      </c>
      <c r="BB23">
        <v>9000</v>
      </c>
      <c r="BC23">
        <v>8930</v>
      </c>
      <c r="BD23">
        <v>9000</v>
      </c>
      <c r="BE23">
        <v>9100</v>
      </c>
      <c r="BF23">
        <v>8900</v>
      </c>
      <c r="BG23">
        <v>8900</v>
      </c>
      <c r="BH23">
        <v>8850</v>
      </c>
      <c r="BI23">
        <v>8700</v>
      </c>
      <c r="BJ23">
        <v>8600</v>
      </c>
      <c r="BK23">
        <v>8550</v>
      </c>
      <c r="BL23">
        <v>8630</v>
      </c>
      <c r="BM23">
        <v>8750</v>
      </c>
      <c r="BN23">
        <v>8800</v>
      </c>
      <c r="BO23">
        <v>8850</v>
      </c>
      <c r="BP23">
        <v>8850</v>
      </c>
      <c r="BQ23">
        <v>8896</v>
      </c>
      <c r="BR23">
        <v>8900</v>
      </c>
      <c r="BS23">
        <v>8700</v>
      </c>
      <c r="BT23">
        <v>8920</v>
      </c>
      <c r="BU23">
        <v>8975</v>
      </c>
      <c r="BV23">
        <v>8780</v>
      </c>
      <c r="BW23">
        <v>8770</v>
      </c>
      <c r="BX23">
        <v>8540</v>
      </c>
      <c r="BY23">
        <v>8670</v>
      </c>
      <c r="BZ23">
        <v>8720</v>
      </c>
      <c r="CA23">
        <v>8600</v>
      </c>
      <c r="CB23">
        <v>8659</v>
      </c>
      <c r="CC23">
        <v>8750</v>
      </c>
      <c r="CD23">
        <v>8680</v>
      </c>
      <c r="CE23">
        <v>8500</v>
      </c>
      <c r="CF23">
        <v>8450</v>
      </c>
      <c r="CG23">
        <v>8500</v>
      </c>
      <c r="CH23">
        <v>8650</v>
      </c>
      <c r="CI23">
        <v>8660</v>
      </c>
      <c r="CJ23">
        <v>8540</v>
      </c>
      <c r="CK23">
        <v>8650</v>
      </c>
      <c r="CL23">
        <v>8870</v>
      </c>
      <c r="CM23">
        <v>8870</v>
      </c>
      <c r="CN23">
        <v>9020</v>
      </c>
      <c r="CO23">
        <v>8960</v>
      </c>
      <c r="CP23">
        <v>9060</v>
      </c>
      <c r="CQ23">
        <v>9180</v>
      </c>
      <c r="CR23">
        <v>9260</v>
      </c>
      <c r="CS23">
        <v>9260</v>
      </c>
      <c r="CT23">
        <v>9150</v>
      </c>
      <c r="CU23">
        <v>9110</v>
      </c>
      <c r="CV23">
        <v>8950</v>
      </c>
      <c r="CW23">
        <v>8930</v>
      </c>
      <c r="CX23">
        <v>8780</v>
      </c>
      <c r="CY23">
        <v>8780</v>
      </c>
      <c r="CZ23">
        <v>8890</v>
      </c>
      <c r="DA23">
        <v>8770</v>
      </c>
      <c r="DB23">
        <v>8670</v>
      </c>
      <c r="DC23">
        <v>8565</v>
      </c>
      <c r="DD23">
        <v>8660</v>
      </c>
      <c r="DE23">
        <v>8450</v>
      </c>
      <c r="DF23">
        <v>8420</v>
      </c>
      <c r="DG23">
        <v>8300</v>
      </c>
      <c r="DH23">
        <v>8200</v>
      </c>
      <c r="DI23">
        <v>8330</v>
      </c>
      <c r="DJ23">
        <v>8380</v>
      </c>
      <c r="DK23">
        <v>8390</v>
      </c>
      <c r="DL23">
        <v>8300</v>
      </c>
      <c r="DM23">
        <v>8300</v>
      </c>
      <c r="DN23">
        <v>8200</v>
      </c>
      <c r="DO23">
        <v>8300</v>
      </c>
      <c r="DP23">
        <v>8150</v>
      </c>
      <c r="DQ23">
        <v>8250</v>
      </c>
      <c r="DR23">
        <v>8220</v>
      </c>
      <c r="DS23">
        <v>8100</v>
      </c>
      <c r="DT23">
        <v>8100</v>
      </c>
      <c r="DU23">
        <v>8200</v>
      </c>
      <c r="DV23">
        <v>8350</v>
      </c>
      <c r="DW23">
        <v>8350</v>
      </c>
      <c r="DX23">
        <v>8340</v>
      </c>
      <c r="DY23">
        <v>8200</v>
      </c>
      <c r="DZ23">
        <v>8180</v>
      </c>
      <c r="EA23">
        <v>8100</v>
      </c>
      <c r="EB23">
        <v>8060</v>
      </c>
      <c r="EC23">
        <v>8100</v>
      </c>
      <c r="ED23">
        <v>7875</v>
      </c>
      <c r="EE23">
        <v>7900</v>
      </c>
      <c r="EF23">
        <v>7950</v>
      </c>
      <c r="EG23">
        <v>7870</v>
      </c>
      <c r="EH23">
        <v>7960</v>
      </c>
      <c r="EI23">
        <v>7800</v>
      </c>
      <c r="EJ23">
        <v>7750</v>
      </c>
      <c r="EK23">
        <v>7690</v>
      </c>
      <c r="EL23">
        <v>7685</v>
      </c>
      <c r="EM23">
        <v>7850</v>
      </c>
    </row>
    <row r="24" spans="1:143" x14ac:dyDescent="0.2">
      <c r="A24" t="str">
        <f>Input!M24</f>
        <v>C</v>
      </c>
      <c r="B24">
        <v>1850</v>
      </c>
      <c r="C24">
        <v>1840</v>
      </c>
      <c r="D24">
        <v>1840</v>
      </c>
      <c r="E24">
        <v>1840</v>
      </c>
      <c r="F24">
        <v>1840</v>
      </c>
      <c r="G24">
        <v>1840</v>
      </c>
      <c r="H24">
        <v>1840</v>
      </c>
      <c r="I24">
        <v>1840</v>
      </c>
      <c r="J24">
        <v>1850</v>
      </c>
      <c r="K24">
        <v>1850</v>
      </c>
      <c r="L24">
        <v>1840</v>
      </c>
      <c r="M24">
        <v>1840</v>
      </c>
      <c r="N24">
        <v>1840</v>
      </c>
      <c r="O24">
        <v>1840</v>
      </c>
      <c r="P24">
        <v>1860</v>
      </c>
      <c r="Q24">
        <v>1830</v>
      </c>
      <c r="R24">
        <v>1820</v>
      </c>
      <c r="S24">
        <v>1810</v>
      </c>
      <c r="T24">
        <v>1790</v>
      </c>
      <c r="U24">
        <v>1780</v>
      </c>
      <c r="V24">
        <v>1780</v>
      </c>
      <c r="W24">
        <v>1780</v>
      </c>
      <c r="X24">
        <v>1790</v>
      </c>
      <c r="Y24">
        <v>1790</v>
      </c>
      <c r="Z24">
        <v>1780</v>
      </c>
      <c r="AA24">
        <v>1760</v>
      </c>
      <c r="AB24">
        <v>1750</v>
      </c>
      <c r="AC24">
        <v>1740</v>
      </c>
      <c r="AD24">
        <v>1730</v>
      </c>
      <c r="AE24">
        <v>1725</v>
      </c>
      <c r="AF24">
        <v>1725</v>
      </c>
      <c r="AG24">
        <v>1725</v>
      </c>
      <c r="AH24">
        <v>1710</v>
      </c>
      <c r="AI24">
        <v>1710</v>
      </c>
      <c r="AJ24">
        <v>1700</v>
      </c>
      <c r="AK24">
        <v>1715</v>
      </c>
      <c r="AL24">
        <v>1710</v>
      </c>
      <c r="AM24">
        <v>1700</v>
      </c>
      <c r="AN24">
        <v>1700</v>
      </c>
      <c r="AO24">
        <v>1690</v>
      </c>
      <c r="AP24">
        <v>1680</v>
      </c>
      <c r="AQ24">
        <v>1680</v>
      </c>
      <c r="AR24">
        <v>1660</v>
      </c>
      <c r="AS24">
        <v>1650</v>
      </c>
      <c r="AT24">
        <v>1640</v>
      </c>
      <c r="AU24">
        <v>1640</v>
      </c>
      <c r="AV24">
        <v>1640</v>
      </c>
      <c r="AW24">
        <v>1640</v>
      </c>
      <c r="AX24">
        <v>1650</v>
      </c>
      <c r="AY24">
        <v>1655</v>
      </c>
      <c r="AZ24">
        <v>1640</v>
      </c>
      <c r="BA24">
        <v>1640</v>
      </c>
      <c r="BB24">
        <v>1650</v>
      </c>
      <c r="BC24">
        <v>1650</v>
      </c>
      <c r="BD24">
        <v>1650</v>
      </c>
      <c r="BE24">
        <v>1650</v>
      </c>
      <c r="BF24">
        <v>1650</v>
      </c>
      <c r="BG24">
        <v>1660</v>
      </c>
      <c r="BH24">
        <v>1660</v>
      </c>
      <c r="BI24">
        <v>1650</v>
      </c>
      <c r="BJ24">
        <v>1660</v>
      </c>
      <c r="BK24">
        <v>1670</v>
      </c>
      <c r="BL24">
        <v>1680</v>
      </c>
      <c r="BM24">
        <v>1700</v>
      </c>
      <c r="BN24">
        <v>1700</v>
      </c>
      <c r="BO24">
        <v>1700</v>
      </c>
      <c r="BP24">
        <v>1700</v>
      </c>
      <c r="BQ24">
        <v>1700</v>
      </c>
      <c r="BR24">
        <v>1700</v>
      </c>
      <c r="BS24">
        <v>1710</v>
      </c>
      <c r="BT24">
        <v>1710</v>
      </c>
      <c r="BU24">
        <v>1710</v>
      </c>
      <c r="BV24">
        <v>1710</v>
      </c>
      <c r="BW24">
        <v>1700</v>
      </c>
      <c r="BX24">
        <v>1680</v>
      </c>
      <c r="BY24">
        <v>1680</v>
      </c>
      <c r="BZ24">
        <v>1680</v>
      </c>
      <c r="CA24">
        <v>1690</v>
      </c>
      <c r="CB24">
        <v>1690</v>
      </c>
      <c r="CC24">
        <v>1690</v>
      </c>
      <c r="CD24">
        <v>1680</v>
      </c>
      <c r="CE24">
        <v>1680</v>
      </c>
      <c r="CF24">
        <v>1680</v>
      </c>
      <c r="CG24">
        <v>1680</v>
      </c>
      <c r="CH24">
        <v>1680</v>
      </c>
      <c r="CI24">
        <v>1680</v>
      </c>
      <c r="CJ24">
        <v>1680</v>
      </c>
      <c r="CK24">
        <v>1680</v>
      </c>
      <c r="CL24">
        <v>1680</v>
      </c>
      <c r="CM24">
        <v>1680</v>
      </c>
      <c r="CN24">
        <v>1680</v>
      </c>
      <c r="CO24">
        <v>1680</v>
      </c>
      <c r="CP24">
        <v>1680</v>
      </c>
      <c r="CQ24">
        <v>1680</v>
      </c>
      <c r="CR24">
        <v>1670</v>
      </c>
      <c r="CS24">
        <v>1670</v>
      </c>
      <c r="CT24">
        <v>1670</v>
      </c>
      <c r="CU24">
        <v>1670</v>
      </c>
      <c r="CV24">
        <v>1670</v>
      </c>
      <c r="CW24">
        <v>1670</v>
      </c>
      <c r="CX24">
        <v>1660</v>
      </c>
      <c r="CY24">
        <v>1660</v>
      </c>
      <c r="CZ24">
        <v>1660</v>
      </c>
      <c r="DA24">
        <v>1660</v>
      </c>
      <c r="DB24">
        <v>1660</v>
      </c>
      <c r="DC24">
        <v>1660</v>
      </c>
      <c r="DD24">
        <v>1660</v>
      </c>
      <c r="DE24">
        <v>1660</v>
      </c>
      <c r="DF24">
        <v>1650</v>
      </c>
      <c r="DG24">
        <v>1650</v>
      </c>
      <c r="DH24">
        <v>1650</v>
      </c>
      <c r="DI24">
        <v>1650</v>
      </c>
      <c r="DJ24">
        <v>1650</v>
      </c>
      <c r="DK24">
        <v>1650</v>
      </c>
      <c r="DL24">
        <v>1640</v>
      </c>
      <c r="DM24">
        <v>1640</v>
      </c>
      <c r="DN24">
        <v>1640</v>
      </c>
      <c r="DO24">
        <v>1640</v>
      </c>
      <c r="DP24">
        <v>1640</v>
      </c>
      <c r="DQ24">
        <v>1640</v>
      </c>
      <c r="DR24">
        <v>1640</v>
      </c>
      <c r="DS24">
        <v>1640</v>
      </c>
      <c r="DT24">
        <v>1640</v>
      </c>
      <c r="DU24">
        <v>1660</v>
      </c>
      <c r="DV24">
        <v>1670</v>
      </c>
      <c r="DW24">
        <v>1680</v>
      </c>
      <c r="DX24">
        <v>1680</v>
      </c>
      <c r="DY24">
        <v>1700</v>
      </c>
      <c r="DZ24">
        <v>1700</v>
      </c>
      <c r="EA24">
        <v>1700</v>
      </c>
      <c r="EB24">
        <v>1700</v>
      </c>
      <c r="EC24">
        <v>1700</v>
      </c>
      <c r="ED24">
        <v>1690</v>
      </c>
      <c r="EE24">
        <v>1690</v>
      </c>
      <c r="EF24">
        <v>1690</v>
      </c>
      <c r="EG24">
        <v>1690</v>
      </c>
      <c r="EH24">
        <v>1690</v>
      </c>
      <c r="EI24">
        <v>1670</v>
      </c>
      <c r="EJ24">
        <v>1680</v>
      </c>
      <c r="EK24">
        <v>1670</v>
      </c>
      <c r="EL24">
        <v>1670</v>
      </c>
      <c r="EM24">
        <v>1660</v>
      </c>
    </row>
    <row r="25" spans="1:143" x14ac:dyDescent="0.2">
      <c r="A25" t="str">
        <f>Input!M25</f>
        <v>NI</v>
      </c>
      <c r="B25">
        <v>102650</v>
      </c>
      <c r="C25">
        <v>102750</v>
      </c>
      <c r="D25">
        <v>98300</v>
      </c>
      <c r="E25">
        <v>97550</v>
      </c>
      <c r="F25">
        <v>97800</v>
      </c>
      <c r="G25">
        <v>95650</v>
      </c>
      <c r="H25">
        <v>96550</v>
      </c>
      <c r="I25">
        <v>96950</v>
      </c>
      <c r="J25">
        <v>98750</v>
      </c>
      <c r="K25">
        <v>99100</v>
      </c>
      <c r="L25">
        <v>98450</v>
      </c>
      <c r="M25">
        <v>100000</v>
      </c>
      <c r="N25">
        <v>99500</v>
      </c>
      <c r="O25">
        <v>98200</v>
      </c>
      <c r="P25">
        <v>97150</v>
      </c>
      <c r="Q25">
        <v>97900</v>
      </c>
      <c r="R25">
        <v>96800</v>
      </c>
      <c r="S25">
        <v>97750</v>
      </c>
      <c r="T25">
        <v>97550</v>
      </c>
      <c r="U25">
        <v>96250</v>
      </c>
      <c r="V25">
        <v>94350</v>
      </c>
      <c r="W25">
        <v>93900</v>
      </c>
      <c r="X25">
        <v>94050</v>
      </c>
      <c r="Y25">
        <v>95400</v>
      </c>
      <c r="Z25">
        <v>95150</v>
      </c>
      <c r="AA25">
        <v>95250</v>
      </c>
      <c r="AB25">
        <v>94650</v>
      </c>
      <c r="AC25">
        <v>94750</v>
      </c>
      <c r="AD25">
        <v>93800</v>
      </c>
      <c r="AE25">
        <v>90000</v>
      </c>
      <c r="AF25">
        <v>90550</v>
      </c>
      <c r="AG25">
        <v>89900</v>
      </c>
      <c r="AH25">
        <v>89400</v>
      </c>
      <c r="AI25">
        <v>88650</v>
      </c>
      <c r="AJ25">
        <v>88500</v>
      </c>
      <c r="AK25">
        <v>87150</v>
      </c>
      <c r="AL25">
        <v>87350</v>
      </c>
      <c r="AM25">
        <v>91400</v>
      </c>
      <c r="AN25">
        <v>91200</v>
      </c>
      <c r="AO25">
        <v>89650</v>
      </c>
      <c r="AP25">
        <v>91050</v>
      </c>
      <c r="AQ25">
        <v>91500</v>
      </c>
      <c r="AR25">
        <v>91750</v>
      </c>
      <c r="AS25">
        <v>95550</v>
      </c>
      <c r="AT25">
        <v>95150</v>
      </c>
      <c r="AU25">
        <v>94650</v>
      </c>
      <c r="AV25">
        <v>93750</v>
      </c>
      <c r="AW25">
        <v>93250</v>
      </c>
      <c r="AX25">
        <v>92900</v>
      </c>
      <c r="AY25">
        <v>94300</v>
      </c>
      <c r="AZ25">
        <v>94550</v>
      </c>
      <c r="BA25">
        <v>99100</v>
      </c>
      <c r="BB25">
        <v>98400</v>
      </c>
      <c r="BC25">
        <v>99350</v>
      </c>
      <c r="BD25">
        <v>101050</v>
      </c>
      <c r="BE25">
        <v>101450</v>
      </c>
      <c r="BF25">
        <v>102650</v>
      </c>
      <c r="BG25">
        <v>102600</v>
      </c>
      <c r="BH25">
        <v>101700</v>
      </c>
      <c r="BI25">
        <v>101050</v>
      </c>
      <c r="BJ25">
        <v>99550</v>
      </c>
      <c r="BK25">
        <v>94050</v>
      </c>
      <c r="BL25">
        <v>93200</v>
      </c>
      <c r="BM25">
        <v>94200</v>
      </c>
      <c r="BN25">
        <v>95800</v>
      </c>
      <c r="BO25">
        <v>97100</v>
      </c>
      <c r="BP25">
        <v>96250</v>
      </c>
      <c r="BQ25">
        <v>94850</v>
      </c>
      <c r="BR25">
        <v>95200</v>
      </c>
      <c r="BS25">
        <v>93900</v>
      </c>
      <c r="BT25">
        <v>94450</v>
      </c>
      <c r="BU25">
        <v>94300</v>
      </c>
      <c r="BV25">
        <v>92800</v>
      </c>
      <c r="BW25">
        <v>91500</v>
      </c>
      <c r="BX25">
        <v>89550</v>
      </c>
      <c r="BY25">
        <v>88400</v>
      </c>
      <c r="BZ25">
        <v>88100</v>
      </c>
      <c r="CA25">
        <v>85200</v>
      </c>
      <c r="CB25">
        <v>84000</v>
      </c>
      <c r="CC25">
        <v>84900</v>
      </c>
      <c r="CD25">
        <v>85700</v>
      </c>
      <c r="CE25">
        <v>84600</v>
      </c>
      <c r="CF25">
        <v>85600</v>
      </c>
      <c r="CG25">
        <v>88900</v>
      </c>
      <c r="CH25">
        <v>88900</v>
      </c>
      <c r="CI25">
        <v>88300</v>
      </c>
      <c r="CJ25">
        <v>88000</v>
      </c>
      <c r="CK25">
        <v>88550</v>
      </c>
      <c r="CL25">
        <v>90500</v>
      </c>
      <c r="CM25">
        <v>92800</v>
      </c>
      <c r="CN25">
        <v>91100</v>
      </c>
      <c r="CO25">
        <v>90050</v>
      </c>
      <c r="CP25">
        <v>95500</v>
      </c>
      <c r="CQ25">
        <v>95900</v>
      </c>
      <c r="CR25">
        <v>94200</v>
      </c>
      <c r="CS25">
        <v>95700</v>
      </c>
      <c r="CT25">
        <v>95900</v>
      </c>
      <c r="CU25">
        <v>92900</v>
      </c>
      <c r="CV25">
        <v>92100</v>
      </c>
      <c r="CW25">
        <v>92500</v>
      </c>
      <c r="CX25">
        <v>93700</v>
      </c>
      <c r="CY25">
        <v>91350</v>
      </c>
      <c r="CZ25">
        <v>92600</v>
      </c>
      <c r="DA25">
        <v>93450</v>
      </c>
      <c r="DB25">
        <v>89900</v>
      </c>
      <c r="DC25">
        <v>90600</v>
      </c>
      <c r="DD25">
        <v>90000</v>
      </c>
      <c r="DE25">
        <v>86100</v>
      </c>
      <c r="DF25">
        <v>86400</v>
      </c>
      <c r="DG25">
        <v>83600</v>
      </c>
      <c r="DH25">
        <v>83650</v>
      </c>
      <c r="DI25">
        <v>85000</v>
      </c>
      <c r="DJ25">
        <v>86450</v>
      </c>
      <c r="DK25">
        <v>86600</v>
      </c>
      <c r="DL25">
        <v>86500</v>
      </c>
      <c r="DM25">
        <v>83300</v>
      </c>
      <c r="DN25">
        <v>82600</v>
      </c>
      <c r="DO25">
        <v>83050</v>
      </c>
      <c r="DP25">
        <v>83850</v>
      </c>
      <c r="DQ25">
        <v>82450</v>
      </c>
      <c r="DR25">
        <v>82150</v>
      </c>
      <c r="DS25">
        <v>83250</v>
      </c>
      <c r="DT25">
        <v>82100</v>
      </c>
      <c r="DU25">
        <v>81200</v>
      </c>
      <c r="DV25">
        <v>81250</v>
      </c>
      <c r="DW25">
        <v>80350</v>
      </c>
      <c r="DX25">
        <v>78350</v>
      </c>
      <c r="DY25">
        <v>77900</v>
      </c>
      <c r="DZ25">
        <v>78800</v>
      </c>
      <c r="EA25">
        <v>78950</v>
      </c>
      <c r="EB25">
        <v>78950</v>
      </c>
      <c r="EC25">
        <v>78400</v>
      </c>
      <c r="ED25">
        <v>75300</v>
      </c>
      <c r="EE25">
        <v>75750</v>
      </c>
      <c r="EF25">
        <v>74800</v>
      </c>
      <c r="EG25">
        <v>73750</v>
      </c>
      <c r="EH25">
        <v>73800</v>
      </c>
      <c r="EI25">
        <v>73950</v>
      </c>
      <c r="EJ25">
        <v>74600</v>
      </c>
      <c r="EK25">
        <v>75000</v>
      </c>
      <c r="EL25">
        <v>75100</v>
      </c>
      <c r="EM25">
        <v>76600</v>
      </c>
    </row>
    <row r="26" spans="1:143" x14ac:dyDescent="0.2">
      <c r="A26" t="str">
        <f>Input!M26</f>
        <v>Y</v>
      </c>
      <c r="B26">
        <v>5600</v>
      </c>
      <c r="C26">
        <v>5600</v>
      </c>
      <c r="D26">
        <v>5600</v>
      </c>
      <c r="E26">
        <v>5550</v>
      </c>
      <c r="F26">
        <v>5550</v>
      </c>
      <c r="G26">
        <v>5530</v>
      </c>
      <c r="H26">
        <v>5530</v>
      </c>
      <c r="I26">
        <v>5570</v>
      </c>
      <c r="J26">
        <v>5590</v>
      </c>
      <c r="K26">
        <v>5570</v>
      </c>
      <c r="L26">
        <v>5570</v>
      </c>
      <c r="M26">
        <v>5630</v>
      </c>
      <c r="N26">
        <v>5670</v>
      </c>
      <c r="O26">
        <v>5650</v>
      </c>
      <c r="P26">
        <v>5670</v>
      </c>
      <c r="Q26">
        <v>5700</v>
      </c>
      <c r="R26">
        <v>5690</v>
      </c>
      <c r="S26">
        <v>5650</v>
      </c>
      <c r="T26">
        <v>5650</v>
      </c>
      <c r="U26">
        <v>5550</v>
      </c>
      <c r="V26">
        <v>5600</v>
      </c>
      <c r="W26">
        <v>5600</v>
      </c>
      <c r="X26">
        <v>5570</v>
      </c>
      <c r="Y26">
        <v>5570</v>
      </c>
      <c r="Z26">
        <v>5550</v>
      </c>
      <c r="AA26">
        <v>5670</v>
      </c>
      <c r="AB26">
        <v>5720</v>
      </c>
      <c r="AC26">
        <v>5720</v>
      </c>
      <c r="AD26">
        <v>5770</v>
      </c>
      <c r="AE26">
        <v>5770</v>
      </c>
      <c r="AF26">
        <v>5800</v>
      </c>
      <c r="AG26">
        <v>5830</v>
      </c>
      <c r="AH26">
        <v>5850</v>
      </c>
      <c r="AI26">
        <v>5800</v>
      </c>
      <c r="AJ26">
        <v>5810</v>
      </c>
      <c r="AK26">
        <v>5830</v>
      </c>
      <c r="AL26">
        <v>5880</v>
      </c>
      <c r="AM26">
        <v>5890</v>
      </c>
      <c r="AN26">
        <v>5890</v>
      </c>
      <c r="AO26">
        <v>5880</v>
      </c>
      <c r="AP26">
        <v>5900</v>
      </c>
      <c r="AQ26">
        <v>5880</v>
      </c>
      <c r="AR26">
        <v>5920</v>
      </c>
      <c r="AS26">
        <v>5930</v>
      </c>
      <c r="AT26">
        <v>5950</v>
      </c>
      <c r="AU26">
        <v>5970</v>
      </c>
      <c r="AV26">
        <v>5950</v>
      </c>
      <c r="AW26">
        <v>5930</v>
      </c>
      <c r="AX26">
        <v>5980</v>
      </c>
      <c r="AY26">
        <v>5980</v>
      </c>
      <c r="AZ26">
        <v>5970</v>
      </c>
      <c r="BA26">
        <v>5980</v>
      </c>
      <c r="BB26">
        <v>6030</v>
      </c>
      <c r="BC26">
        <v>6030</v>
      </c>
      <c r="BD26">
        <v>6070</v>
      </c>
      <c r="BE26">
        <v>6050</v>
      </c>
      <c r="BF26">
        <v>6050</v>
      </c>
      <c r="BG26">
        <v>6000</v>
      </c>
      <c r="BH26">
        <v>6030</v>
      </c>
      <c r="BI26">
        <v>6030</v>
      </c>
      <c r="BJ26">
        <v>6030</v>
      </c>
      <c r="BK26">
        <v>6030</v>
      </c>
      <c r="BL26">
        <v>6050</v>
      </c>
      <c r="BM26">
        <v>6030</v>
      </c>
      <c r="BN26">
        <v>5970</v>
      </c>
      <c r="BO26">
        <v>5970</v>
      </c>
      <c r="BP26">
        <v>5990</v>
      </c>
      <c r="BQ26">
        <v>5970</v>
      </c>
      <c r="BR26">
        <v>5950</v>
      </c>
      <c r="BS26">
        <v>6010</v>
      </c>
      <c r="BT26">
        <v>6010</v>
      </c>
      <c r="BU26">
        <v>6030</v>
      </c>
      <c r="BV26">
        <v>6010</v>
      </c>
      <c r="BW26">
        <v>5990</v>
      </c>
      <c r="BX26">
        <v>5950</v>
      </c>
      <c r="BY26">
        <v>5950</v>
      </c>
      <c r="BZ26">
        <v>5970</v>
      </c>
      <c r="CA26">
        <v>5950</v>
      </c>
      <c r="CB26">
        <v>6070</v>
      </c>
      <c r="CC26">
        <v>6070</v>
      </c>
      <c r="CD26">
        <v>6130</v>
      </c>
      <c r="CE26">
        <v>6140</v>
      </c>
      <c r="CF26">
        <v>6330</v>
      </c>
      <c r="CG26">
        <v>6330</v>
      </c>
      <c r="CH26">
        <v>6340</v>
      </c>
      <c r="CI26">
        <v>6340</v>
      </c>
      <c r="CJ26">
        <v>6360</v>
      </c>
      <c r="CK26">
        <v>6420</v>
      </c>
      <c r="CL26">
        <v>6420</v>
      </c>
      <c r="CM26">
        <v>6380</v>
      </c>
      <c r="CN26">
        <v>6380</v>
      </c>
      <c r="CO26">
        <v>6390</v>
      </c>
      <c r="CP26">
        <v>6410</v>
      </c>
      <c r="CQ26">
        <v>6410</v>
      </c>
      <c r="CR26">
        <v>6410</v>
      </c>
      <c r="CS26">
        <v>6380</v>
      </c>
      <c r="CT26">
        <v>6430</v>
      </c>
      <c r="CU26">
        <v>6370</v>
      </c>
      <c r="CV26">
        <v>6330</v>
      </c>
      <c r="CW26">
        <v>6350</v>
      </c>
      <c r="CX26">
        <v>6350</v>
      </c>
      <c r="CY26">
        <v>6400</v>
      </c>
      <c r="CZ26">
        <v>6400</v>
      </c>
      <c r="DA26">
        <v>6370</v>
      </c>
      <c r="DB26">
        <v>6380</v>
      </c>
      <c r="DC26">
        <v>6380</v>
      </c>
      <c r="DD26">
        <v>6350</v>
      </c>
      <c r="DE26">
        <v>6350</v>
      </c>
      <c r="DF26">
        <v>6210</v>
      </c>
      <c r="DG26">
        <v>6190</v>
      </c>
      <c r="DH26">
        <v>6170</v>
      </c>
      <c r="DI26">
        <v>6170</v>
      </c>
      <c r="DJ26">
        <v>6170</v>
      </c>
      <c r="DK26">
        <v>6150</v>
      </c>
      <c r="DL26">
        <v>6130</v>
      </c>
      <c r="DM26">
        <v>6120</v>
      </c>
      <c r="DN26">
        <v>6070</v>
      </c>
      <c r="DO26">
        <v>5970</v>
      </c>
      <c r="DP26">
        <v>5980</v>
      </c>
      <c r="DQ26">
        <v>5950</v>
      </c>
      <c r="DR26">
        <v>5980</v>
      </c>
      <c r="DS26">
        <v>5930</v>
      </c>
      <c r="DT26">
        <v>5930</v>
      </c>
      <c r="DU26">
        <v>5950</v>
      </c>
      <c r="DV26">
        <v>5970</v>
      </c>
      <c r="DW26">
        <v>5970</v>
      </c>
      <c r="DX26">
        <v>5900</v>
      </c>
      <c r="DY26">
        <v>5990</v>
      </c>
      <c r="DZ26">
        <v>5970</v>
      </c>
      <c r="EA26">
        <v>5900</v>
      </c>
      <c r="EB26">
        <v>5950</v>
      </c>
      <c r="EC26">
        <v>5920</v>
      </c>
      <c r="ED26">
        <v>5890</v>
      </c>
      <c r="EE26">
        <v>5940</v>
      </c>
      <c r="EF26">
        <v>6010</v>
      </c>
      <c r="EG26">
        <v>6010</v>
      </c>
      <c r="EH26">
        <v>5930</v>
      </c>
      <c r="EI26">
        <v>5850</v>
      </c>
      <c r="EJ26">
        <v>5850</v>
      </c>
      <c r="EK26">
        <v>5800</v>
      </c>
      <c r="EL26">
        <v>5800</v>
      </c>
      <c r="EM26">
        <v>5860</v>
      </c>
    </row>
    <row r="27" spans="1:143" x14ac:dyDescent="0.2">
      <c r="A27" t="str">
        <f>Input!M27</f>
        <v>OI</v>
      </c>
      <c r="B27">
        <v>6618</v>
      </c>
      <c r="C27">
        <v>6582</v>
      </c>
      <c r="D27">
        <v>6584</v>
      </c>
      <c r="E27">
        <v>6534</v>
      </c>
      <c r="F27">
        <v>6530</v>
      </c>
      <c r="G27">
        <v>6468</v>
      </c>
      <c r="H27">
        <v>6544</v>
      </c>
      <c r="I27">
        <v>6514</v>
      </c>
      <c r="J27">
        <v>6560</v>
      </c>
      <c r="K27">
        <v>6560</v>
      </c>
      <c r="L27">
        <v>6560</v>
      </c>
      <c r="M27">
        <v>6650</v>
      </c>
      <c r="N27">
        <v>6650</v>
      </c>
      <c r="O27">
        <v>6632</v>
      </c>
      <c r="P27">
        <v>6626</v>
      </c>
      <c r="Q27">
        <v>6686</v>
      </c>
      <c r="R27">
        <v>6616</v>
      </c>
      <c r="S27">
        <v>6590</v>
      </c>
      <c r="T27">
        <v>6480</v>
      </c>
      <c r="U27">
        <v>6480</v>
      </c>
      <c r="V27">
        <v>6480</v>
      </c>
      <c r="W27">
        <v>6498</v>
      </c>
      <c r="X27">
        <v>6440</v>
      </c>
      <c r="Y27">
        <v>6440</v>
      </c>
      <c r="Z27">
        <v>6440</v>
      </c>
      <c r="AA27">
        <v>6600</v>
      </c>
      <c r="AB27">
        <v>6600</v>
      </c>
      <c r="AC27">
        <v>6590</v>
      </c>
      <c r="AD27">
        <v>6620</v>
      </c>
      <c r="AE27">
        <v>6600</v>
      </c>
      <c r="AF27">
        <v>6624</v>
      </c>
      <c r="AG27">
        <v>6682</v>
      </c>
      <c r="AH27">
        <v>6716</v>
      </c>
      <c r="AI27">
        <v>6694</v>
      </c>
      <c r="AJ27">
        <v>6680</v>
      </c>
      <c r="AK27">
        <v>6680</v>
      </c>
      <c r="AL27">
        <v>6680</v>
      </c>
      <c r="AM27">
        <v>6680</v>
      </c>
      <c r="AN27">
        <v>6680</v>
      </c>
      <c r="AO27">
        <v>6680</v>
      </c>
      <c r="AP27">
        <v>6700</v>
      </c>
      <c r="AQ27">
        <v>6700</v>
      </c>
      <c r="AR27">
        <v>6700</v>
      </c>
      <c r="AS27">
        <v>6730</v>
      </c>
      <c r="AT27">
        <v>6750</v>
      </c>
      <c r="AU27">
        <v>6750</v>
      </c>
      <c r="AV27">
        <v>6720</v>
      </c>
      <c r="AW27">
        <v>6780</v>
      </c>
      <c r="AX27">
        <v>6920</v>
      </c>
      <c r="AY27">
        <v>6920</v>
      </c>
      <c r="AZ27">
        <v>6920</v>
      </c>
      <c r="BA27">
        <v>6920</v>
      </c>
      <c r="BB27">
        <v>6920</v>
      </c>
      <c r="BC27">
        <v>6920</v>
      </c>
      <c r="BD27">
        <v>6920</v>
      </c>
      <c r="BE27">
        <v>6920</v>
      </c>
      <c r="BF27">
        <v>6920</v>
      </c>
      <c r="BG27">
        <v>6850</v>
      </c>
      <c r="BH27">
        <v>6920</v>
      </c>
      <c r="BI27">
        <v>6920</v>
      </c>
      <c r="BJ27">
        <v>6920</v>
      </c>
      <c r="BK27">
        <v>6930</v>
      </c>
      <c r="BL27">
        <v>6930</v>
      </c>
      <c r="BM27">
        <v>6930</v>
      </c>
      <c r="BN27">
        <v>6930</v>
      </c>
      <c r="BO27">
        <v>6820</v>
      </c>
      <c r="BP27">
        <v>6820</v>
      </c>
      <c r="BQ27">
        <v>6820</v>
      </c>
      <c r="BR27">
        <v>6850</v>
      </c>
      <c r="BS27">
        <v>6850</v>
      </c>
      <c r="BT27">
        <v>6870</v>
      </c>
      <c r="BU27">
        <v>6840</v>
      </c>
      <c r="BV27">
        <v>6790</v>
      </c>
      <c r="BW27">
        <v>6790</v>
      </c>
      <c r="BX27">
        <v>6780</v>
      </c>
      <c r="BY27">
        <v>6720</v>
      </c>
      <c r="BZ27">
        <v>6720</v>
      </c>
      <c r="CA27">
        <v>6760</v>
      </c>
      <c r="CB27">
        <v>6760</v>
      </c>
      <c r="CC27">
        <v>6760</v>
      </c>
      <c r="CD27">
        <v>6820</v>
      </c>
      <c r="CE27">
        <v>6820</v>
      </c>
      <c r="CF27">
        <v>6940</v>
      </c>
      <c r="CG27">
        <v>6940</v>
      </c>
      <c r="CH27">
        <v>6940</v>
      </c>
      <c r="CI27">
        <v>6920</v>
      </c>
      <c r="CJ27">
        <v>6920</v>
      </c>
      <c r="CK27">
        <v>6940</v>
      </c>
      <c r="CL27">
        <v>6750</v>
      </c>
      <c r="CM27">
        <v>6750</v>
      </c>
      <c r="CN27">
        <v>6750</v>
      </c>
      <c r="CO27">
        <v>6750</v>
      </c>
      <c r="CP27">
        <v>6750</v>
      </c>
      <c r="CQ27">
        <v>6750</v>
      </c>
      <c r="CR27">
        <v>6750</v>
      </c>
      <c r="CS27">
        <v>6750</v>
      </c>
      <c r="CT27">
        <v>6750</v>
      </c>
      <c r="CU27">
        <v>6700</v>
      </c>
      <c r="CV27">
        <v>6700</v>
      </c>
      <c r="CW27">
        <v>6700</v>
      </c>
      <c r="CX27">
        <v>6700</v>
      </c>
      <c r="CY27">
        <v>6750</v>
      </c>
      <c r="CZ27">
        <v>6750</v>
      </c>
      <c r="DA27">
        <v>6610</v>
      </c>
      <c r="DB27">
        <v>6630</v>
      </c>
      <c r="DC27">
        <v>6630</v>
      </c>
      <c r="DD27">
        <v>6630</v>
      </c>
      <c r="DE27">
        <v>6630</v>
      </c>
      <c r="DF27">
        <v>6630</v>
      </c>
      <c r="DG27">
        <v>6630</v>
      </c>
      <c r="DH27">
        <v>6750</v>
      </c>
      <c r="DI27">
        <v>6750</v>
      </c>
      <c r="DJ27">
        <v>6760</v>
      </c>
      <c r="DK27">
        <v>6660</v>
      </c>
      <c r="DL27">
        <v>6640</v>
      </c>
      <c r="DM27">
        <v>6590</v>
      </c>
      <c r="DN27">
        <v>6560</v>
      </c>
      <c r="DO27">
        <v>6520</v>
      </c>
      <c r="DP27">
        <v>6610</v>
      </c>
      <c r="DQ27">
        <v>6610</v>
      </c>
      <c r="DR27">
        <v>6610</v>
      </c>
      <c r="DS27">
        <v>6580</v>
      </c>
      <c r="DT27">
        <v>6570</v>
      </c>
      <c r="DU27">
        <v>6620</v>
      </c>
      <c r="DV27">
        <v>6600</v>
      </c>
      <c r="DW27">
        <v>6600</v>
      </c>
      <c r="DX27">
        <v>6540</v>
      </c>
      <c r="DY27">
        <v>6640</v>
      </c>
      <c r="DZ27">
        <v>6570</v>
      </c>
      <c r="EA27">
        <v>6570</v>
      </c>
      <c r="EB27">
        <v>6520</v>
      </c>
      <c r="EC27">
        <v>6520</v>
      </c>
      <c r="ED27">
        <v>6520</v>
      </c>
      <c r="EE27">
        <v>6640</v>
      </c>
      <c r="EF27">
        <v>6640</v>
      </c>
      <c r="EG27">
        <v>6640</v>
      </c>
      <c r="EH27">
        <v>6400</v>
      </c>
      <c r="EI27">
        <v>6500</v>
      </c>
      <c r="EJ27">
        <v>6350</v>
      </c>
      <c r="EK27">
        <v>6350</v>
      </c>
      <c r="EL27">
        <v>6350</v>
      </c>
      <c r="EM27">
        <v>6350</v>
      </c>
    </row>
    <row r="28" spans="1:143" x14ac:dyDescent="0.2">
      <c r="A28" t="str">
        <f>Input!M28</f>
        <v>TA</v>
      </c>
      <c r="B28">
        <v>5685</v>
      </c>
      <c r="C28">
        <v>5696</v>
      </c>
      <c r="D28">
        <v>5693</v>
      </c>
      <c r="E28">
        <v>5684</v>
      </c>
      <c r="F28">
        <v>5730</v>
      </c>
      <c r="G28">
        <v>5663</v>
      </c>
      <c r="H28">
        <v>5713</v>
      </c>
      <c r="I28">
        <v>5758</v>
      </c>
      <c r="J28">
        <v>5794</v>
      </c>
      <c r="K28">
        <v>5792</v>
      </c>
      <c r="L28">
        <v>5789</v>
      </c>
      <c r="M28">
        <v>5854</v>
      </c>
      <c r="N28">
        <v>5866</v>
      </c>
      <c r="O28">
        <v>5882</v>
      </c>
      <c r="P28">
        <v>5828</v>
      </c>
      <c r="Q28">
        <v>5880</v>
      </c>
      <c r="R28">
        <v>5772</v>
      </c>
      <c r="S28">
        <v>5616</v>
      </c>
      <c r="T28">
        <v>5731</v>
      </c>
      <c r="U28">
        <v>5605</v>
      </c>
      <c r="V28">
        <v>5573</v>
      </c>
      <c r="W28">
        <v>5577</v>
      </c>
      <c r="X28">
        <v>5570</v>
      </c>
      <c r="Y28">
        <v>5538</v>
      </c>
      <c r="Z28">
        <v>5554</v>
      </c>
      <c r="AA28">
        <v>5650</v>
      </c>
      <c r="AB28">
        <v>5653</v>
      </c>
      <c r="AC28">
        <v>5636</v>
      </c>
      <c r="AD28">
        <v>5621</v>
      </c>
      <c r="AE28">
        <v>5643</v>
      </c>
      <c r="AF28">
        <v>5677</v>
      </c>
      <c r="AG28">
        <v>5750</v>
      </c>
      <c r="AH28">
        <v>5713</v>
      </c>
      <c r="AI28">
        <v>5669</v>
      </c>
      <c r="AJ28">
        <v>5644</v>
      </c>
      <c r="AK28">
        <v>5751</v>
      </c>
      <c r="AL28">
        <v>5779</v>
      </c>
      <c r="AM28">
        <v>5685</v>
      </c>
      <c r="AN28">
        <v>5713</v>
      </c>
      <c r="AO28">
        <v>5512</v>
      </c>
      <c r="AP28">
        <v>5388</v>
      </c>
      <c r="AQ28">
        <v>5407</v>
      </c>
      <c r="AR28">
        <v>5350</v>
      </c>
      <c r="AS28">
        <v>5433</v>
      </c>
      <c r="AT28">
        <v>5486</v>
      </c>
      <c r="AU28">
        <v>5474</v>
      </c>
      <c r="AV28">
        <v>5547</v>
      </c>
      <c r="AW28">
        <v>5562</v>
      </c>
      <c r="AX28">
        <v>5530</v>
      </c>
      <c r="AY28">
        <v>5518</v>
      </c>
      <c r="AZ28">
        <v>5500</v>
      </c>
      <c r="BA28">
        <v>5530</v>
      </c>
      <c r="BB28">
        <v>5354</v>
      </c>
      <c r="BC28">
        <v>5321</v>
      </c>
      <c r="BD28">
        <v>5278</v>
      </c>
      <c r="BE28">
        <v>5285</v>
      </c>
      <c r="BF28">
        <v>5265</v>
      </c>
      <c r="BG28">
        <v>5257</v>
      </c>
      <c r="BH28">
        <v>5189</v>
      </c>
      <c r="BI28">
        <v>5179</v>
      </c>
      <c r="BJ28">
        <v>5134</v>
      </c>
      <c r="BK28">
        <v>5160</v>
      </c>
      <c r="BL28">
        <v>5222</v>
      </c>
      <c r="BM28">
        <v>5170</v>
      </c>
      <c r="BN28">
        <v>5180</v>
      </c>
      <c r="BO28">
        <v>5141</v>
      </c>
      <c r="BP28">
        <v>5161</v>
      </c>
      <c r="BQ28">
        <v>5170</v>
      </c>
      <c r="BR28">
        <v>5160</v>
      </c>
      <c r="BS28">
        <v>5155</v>
      </c>
      <c r="BT28">
        <v>5166</v>
      </c>
      <c r="BU28">
        <v>5150</v>
      </c>
      <c r="BV28">
        <v>5155</v>
      </c>
      <c r="BW28">
        <v>5135</v>
      </c>
      <c r="BX28">
        <v>5130</v>
      </c>
      <c r="BY28">
        <v>5172</v>
      </c>
      <c r="BZ28">
        <v>5160</v>
      </c>
      <c r="CA28">
        <v>5138</v>
      </c>
      <c r="CB28">
        <v>5188</v>
      </c>
      <c r="CC28">
        <v>5280</v>
      </c>
      <c r="CD28">
        <v>5292</v>
      </c>
      <c r="CE28">
        <v>5301</v>
      </c>
      <c r="CF28">
        <v>5224</v>
      </c>
      <c r="CG28">
        <v>5220</v>
      </c>
      <c r="CH28">
        <v>5260</v>
      </c>
      <c r="CI28">
        <v>5230</v>
      </c>
      <c r="CJ28">
        <v>5145</v>
      </c>
      <c r="CK28">
        <v>5180</v>
      </c>
      <c r="CL28">
        <v>5200</v>
      </c>
      <c r="CM28">
        <v>5166</v>
      </c>
      <c r="CN28">
        <v>5194</v>
      </c>
      <c r="CO28">
        <v>5150</v>
      </c>
      <c r="CP28">
        <v>5212</v>
      </c>
      <c r="CQ28">
        <v>5200</v>
      </c>
      <c r="CR28">
        <v>5250</v>
      </c>
      <c r="CS28">
        <v>5272</v>
      </c>
      <c r="CT28">
        <v>5290</v>
      </c>
      <c r="CU28">
        <v>5270</v>
      </c>
      <c r="CV28">
        <v>5196</v>
      </c>
      <c r="CW28">
        <v>5210</v>
      </c>
      <c r="CX28">
        <v>5206</v>
      </c>
      <c r="CY28">
        <v>5222</v>
      </c>
      <c r="CZ28">
        <v>5234</v>
      </c>
      <c r="DA28">
        <v>5200</v>
      </c>
      <c r="DB28">
        <v>5180</v>
      </c>
      <c r="DC28">
        <v>5160</v>
      </c>
      <c r="DD28">
        <v>5100</v>
      </c>
      <c r="DE28">
        <v>5030</v>
      </c>
      <c r="DF28">
        <v>4990</v>
      </c>
      <c r="DG28">
        <v>4940</v>
      </c>
      <c r="DH28">
        <v>5084</v>
      </c>
      <c r="DI28">
        <v>5112</v>
      </c>
      <c r="DJ28">
        <v>5086</v>
      </c>
      <c r="DK28">
        <v>5160</v>
      </c>
      <c r="DL28">
        <v>5144</v>
      </c>
      <c r="DM28">
        <v>5084</v>
      </c>
      <c r="DN28">
        <v>5066</v>
      </c>
      <c r="DO28">
        <v>5116</v>
      </c>
      <c r="DP28">
        <v>5096</v>
      </c>
      <c r="DQ28">
        <v>5088</v>
      </c>
      <c r="DR28">
        <v>5146</v>
      </c>
      <c r="DS28">
        <v>5174</v>
      </c>
      <c r="DT28">
        <v>5136</v>
      </c>
      <c r="DU28">
        <v>5175</v>
      </c>
      <c r="DV28">
        <v>5183</v>
      </c>
      <c r="DW28">
        <v>5178</v>
      </c>
      <c r="DX28">
        <v>5205</v>
      </c>
      <c r="DY28">
        <v>5216</v>
      </c>
      <c r="DZ28">
        <v>5364</v>
      </c>
      <c r="EA28">
        <v>5394</v>
      </c>
      <c r="EB28">
        <v>5395</v>
      </c>
      <c r="EC28">
        <v>5410</v>
      </c>
      <c r="ED28">
        <v>5335</v>
      </c>
      <c r="EE28">
        <v>5272</v>
      </c>
      <c r="EF28">
        <v>5264</v>
      </c>
      <c r="EG28">
        <v>5084</v>
      </c>
      <c r="EH28">
        <v>4910</v>
      </c>
      <c r="EI28">
        <v>4895</v>
      </c>
      <c r="EJ28">
        <v>4865</v>
      </c>
      <c r="EK28">
        <v>4890</v>
      </c>
      <c r="EL28">
        <v>4780</v>
      </c>
      <c r="EM28">
        <v>4818</v>
      </c>
    </row>
    <row r="29" spans="1:143" x14ac:dyDescent="0.2">
      <c r="A29" t="str">
        <f>Input!M29</f>
        <v>M</v>
      </c>
      <c r="B29">
        <v>2830</v>
      </c>
      <c r="C29">
        <v>2840</v>
      </c>
      <c r="D29">
        <v>2840</v>
      </c>
      <c r="E29">
        <v>2860</v>
      </c>
      <c r="F29">
        <v>2860</v>
      </c>
      <c r="G29">
        <v>2840</v>
      </c>
      <c r="H29">
        <v>2840</v>
      </c>
      <c r="I29">
        <v>2840</v>
      </c>
      <c r="J29">
        <v>2840</v>
      </c>
      <c r="K29">
        <v>2850</v>
      </c>
      <c r="L29">
        <v>2840</v>
      </c>
      <c r="M29">
        <v>2870</v>
      </c>
      <c r="N29">
        <v>2890</v>
      </c>
      <c r="O29">
        <v>2900</v>
      </c>
      <c r="P29">
        <v>2910</v>
      </c>
      <c r="Q29">
        <v>2930</v>
      </c>
      <c r="R29">
        <v>2929</v>
      </c>
      <c r="S29">
        <v>2934</v>
      </c>
      <c r="T29">
        <v>2925</v>
      </c>
      <c r="U29">
        <v>2940</v>
      </c>
      <c r="V29">
        <v>2955</v>
      </c>
      <c r="W29">
        <v>2965</v>
      </c>
      <c r="X29">
        <v>2960</v>
      </c>
      <c r="Y29">
        <v>2950</v>
      </c>
      <c r="Z29">
        <v>2930</v>
      </c>
      <c r="AA29">
        <v>2940</v>
      </c>
      <c r="AB29">
        <v>2950</v>
      </c>
      <c r="AC29">
        <v>2950</v>
      </c>
      <c r="AD29">
        <v>2950</v>
      </c>
      <c r="AE29">
        <v>3030</v>
      </c>
      <c r="AF29">
        <v>3040</v>
      </c>
      <c r="AG29">
        <v>3040</v>
      </c>
      <c r="AH29">
        <v>3030</v>
      </c>
      <c r="AI29">
        <v>3040</v>
      </c>
      <c r="AJ29">
        <v>3040</v>
      </c>
      <c r="AK29">
        <v>3050</v>
      </c>
      <c r="AL29">
        <v>3060</v>
      </c>
      <c r="AM29">
        <v>3040</v>
      </c>
      <c r="AN29">
        <v>3020</v>
      </c>
      <c r="AO29">
        <v>2970</v>
      </c>
      <c r="AP29">
        <v>2990</v>
      </c>
      <c r="AQ29">
        <v>3000</v>
      </c>
      <c r="AR29">
        <v>3010</v>
      </c>
      <c r="AS29">
        <v>3020</v>
      </c>
      <c r="AT29">
        <v>3030</v>
      </c>
      <c r="AU29">
        <v>3020</v>
      </c>
      <c r="AV29">
        <v>3030</v>
      </c>
      <c r="AW29">
        <v>3030</v>
      </c>
      <c r="AX29">
        <v>2980</v>
      </c>
      <c r="AY29">
        <v>2960</v>
      </c>
      <c r="AZ29">
        <v>2940</v>
      </c>
      <c r="BA29">
        <v>2950</v>
      </c>
      <c r="BB29">
        <v>2940</v>
      </c>
      <c r="BC29">
        <v>2920</v>
      </c>
      <c r="BD29">
        <v>2930</v>
      </c>
      <c r="BE29">
        <v>2930</v>
      </c>
      <c r="BF29">
        <v>2910</v>
      </c>
      <c r="BG29">
        <v>2900</v>
      </c>
      <c r="BH29">
        <v>2930</v>
      </c>
      <c r="BI29">
        <v>2930</v>
      </c>
      <c r="BJ29">
        <v>2920</v>
      </c>
      <c r="BK29">
        <v>2930</v>
      </c>
      <c r="BL29">
        <v>2950</v>
      </c>
      <c r="BM29">
        <v>2950</v>
      </c>
      <c r="BN29">
        <v>2970</v>
      </c>
      <c r="BO29">
        <v>3080</v>
      </c>
      <c r="BP29">
        <v>3080</v>
      </c>
      <c r="BQ29">
        <v>3010</v>
      </c>
      <c r="BR29">
        <v>2970</v>
      </c>
      <c r="BS29">
        <v>2960</v>
      </c>
      <c r="BT29">
        <v>2930</v>
      </c>
      <c r="BU29">
        <v>2940</v>
      </c>
      <c r="BV29">
        <v>2950</v>
      </c>
      <c r="BW29">
        <v>2950</v>
      </c>
      <c r="BX29">
        <v>2880</v>
      </c>
      <c r="BY29">
        <v>2900</v>
      </c>
      <c r="BZ29">
        <v>2900</v>
      </c>
      <c r="CA29">
        <v>2900</v>
      </c>
      <c r="CB29">
        <v>2900</v>
      </c>
      <c r="CC29">
        <v>2900</v>
      </c>
      <c r="CD29">
        <v>2920</v>
      </c>
      <c r="CE29">
        <v>2920</v>
      </c>
      <c r="CF29">
        <v>2880</v>
      </c>
      <c r="CG29">
        <v>2840</v>
      </c>
      <c r="CH29">
        <v>2830</v>
      </c>
      <c r="CI29">
        <v>2840</v>
      </c>
      <c r="CJ29">
        <v>2830</v>
      </c>
      <c r="CK29">
        <v>2840</v>
      </c>
      <c r="CL29">
        <v>2810</v>
      </c>
      <c r="CM29">
        <v>2800</v>
      </c>
      <c r="CN29">
        <v>2810</v>
      </c>
      <c r="CO29">
        <v>2810</v>
      </c>
      <c r="CP29">
        <v>2830</v>
      </c>
      <c r="CQ29">
        <v>2830</v>
      </c>
      <c r="CR29">
        <v>2840</v>
      </c>
      <c r="CS29">
        <v>2820</v>
      </c>
      <c r="CT29">
        <v>2800</v>
      </c>
      <c r="CU29">
        <v>2780</v>
      </c>
      <c r="CV29">
        <v>2770</v>
      </c>
      <c r="CW29">
        <v>2790</v>
      </c>
      <c r="CX29">
        <v>2790</v>
      </c>
      <c r="CY29">
        <v>2820</v>
      </c>
      <c r="CZ29">
        <v>2790</v>
      </c>
      <c r="DA29">
        <v>2810</v>
      </c>
      <c r="DB29">
        <v>2800</v>
      </c>
      <c r="DC29">
        <v>2800</v>
      </c>
      <c r="DD29">
        <v>2810</v>
      </c>
      <c r="DE29">
        <v>2830</v>
      </c>
      <c r="DF29">
        <v>2790</v>
      </c>
      <c r="DG29">
        <v>2770</v>
      </c>
      <c r="DH29">
        <v>2780</v>
      </c>
      <c r="DI29">
        <v>2790</v>
      </c>
      <c r="DJ29">
        <v>2820</v>
      </c>
      <c r="DK29">
        <v>2850</v>
      </c>
      <c r="DL29">
        <v>2850</v>
      </c>
      <c r="DM29">
        <v>2830</v>
      </c>
      <c r="DN29">
        <v>2820</v>
      </c>
      <c r="DO29">
        <v>2800</v>
      </c>
      <c r="DP29">
        <v>2800</v>
      </c>
      <c r="DQ29">
        <v>2790</v>
      </c>
      <c r="DR29">
        <v>2810</v>
      </c>
      <c r="DS29">
        <v>2790</v>
      </c>
      <c r="DT29">
        <v>2790</v>
      </c>
      <c r="DU29">
        <v>2780</v>
      </c>
      <c r="DV29">
        <v>2760</v>
      </c>
      <c r="DW29">
        <v>2800</v>
      </c>
      <c r="DX29">
        <v>2770</v>
      </c>
      <c r="DY29">
        <v>2830</v>
      </c>
      <c r="DZ29">
        <v>2780</v>
      </c>
      <c r="EA29">
        <v>2790</v>
      </c>
      <c r="EB29">
        <v>2800</v>
      </c>
      <c r="EC29">
        <v>2800</v>
      </c>
      <c r="ED29">
        <v>2780</v>
      </c>
      <c r="EE29">
        <v>2820</v>
      </c>
      <c r="EF29">
        <v>2890</v>
      </c>
      <c r="EG29">
        <v>2900</v>
      </c>
      <c r="EH29">
        <v>2900</v>
      </c>
      <c r="EI29">
        <v>2800</v>
      </c>
      <c r="EJ29">
        <v>2800</v>
      </c>
      <c r="EK29">
        <v>2810</v>
      </c>
      <c r="EL29">
        <v>2810</v>
      </c>
      <c r="EM29">
        <v>2790</v>
      </c>
    </row>
    <row r="30" spans="1:143" x14ac:dyDescent="0.2">
      <c r="A30" t="str">
        <f>Input!M30</f>
        <v>RU</v>
      </c>
      <c r="B30">
        <v>11920</v>
      </c>
      <c r="C30">
        <v>11920</v>
      </c>
      <c r="D30">
        <v>11815</v>
      </c>
      <c r="E30">
        <v>11845</v>
      </c>
      <c r="F30">
        <v>12075</v>
      </c>
      <c r="G30">
        <v>12030</v>
      </c>
      <c r="H30">
        <v>12245</v>
      </c>
      <c r="I30">
        <v>12255</v>
      </c>
      <c r="J30">
        <v>12320</v>
      </c>
      <c r="K30">
        <v>12390</v>
      </c>
      <c r="L30">
        <v>12355</v>
      </c>
      <c r="M30">
        <v>12155</v>
      </c>
      <c r="N30">
        <v>12115</v>
      </c>
      <c r="O30">
        <v>12105</v>
      </c>
      <c r="P30">
        <v>12075</v>
      </c>
      <c r="Q30">
        <v>12125</v>
      </c>
      <c r="R30">
        <v>11965</v>
      </c>
      <c r="S30">
        <v>12220</v>
      </c>
      <c r="T30">
        <v>12310</v>
      </c>
      <c r="U30">
        <v>12035</v>
      </c>
      <c r="V30">
        <v>12035</v>
      </c>
      <c r="W30">
        <v>12265</v>
      </c>
      <c r="X30">
        <v>12190</v>
      </c>
      <c r="Y30">
        <v>12020</v>
      </c>
      <c r="Z30">
        <v>11950</v>
      </c>
      <c r="AA30">
        <v>12300</v>
      </c>
      <c r="AB30">
        <v>12355</v>
      </c>
      <c r="AC30">
        <v>12355</v>
      </c>
      <c r="AD30">
        <v>12470</v>
      </c>
      <c r="AE30">
        <v>12380</v>
      </c>
      <c r="AF30">
        <v>12260</v>
      </c>
      <c r="AG30">
        <v>11970</v>
      </c>
      <c r="AH30">
        <v>12110</v>
      </c>
      <c r="AI30">
        <v>11910</v>
      </c>
      <c r="AJ30">
        <v>12020</v>
      </c>
      <c r="AK30">
        <v>12355</v>
      </c>
      <c r="AL30">
        <v>12235</v>
      </c>
      <c r="AM30">
        <v>12715</v>
      </c>
      <c r="AN30">
        <v>12710</v>
      </c>
      <c r="AO30">
        <v>12335</v>
      </c>
      <c r="AP30">
        <v>12135</v>
      </c>
      <c r="AQ30">
        <v>12170</v>
      </c>
      <c r="AR30">
        <v>11850</v>
      </c>
      <c r="AS30">
        <v>12150</v>
      </c>
      <c r="AT30">
        <v>12150</v>
      </c>
      <c r="AU30">
        <v>11750</v>
      </c>
      <c r="AV30">
        <v>11700</v>
      </c>
      <c r="AW30">
        <v>11700</v>
      </c>
      <c r="AX30">
        <v>11350</v>
      </c>
      <c r="AY30">
        <v>11300</v>
      </c>
      <c r="AZ30">
        <v>11305</v>
      </c>
      <c r="BA30">
        <v>11715</v>
      </c>
      <c r="BB30">
        <v>11770</v>
      </c>
      <c r="BC30">
        <v>11750</v>
      </c>
      <c r="BD30">
        <v>11860</v>
      </c>
      <c r="BE30">
        <v>11925</v>
      </c>
      <c r="BF30">
        <v>11870</v>
      </c>
      <c r="BG30">
        <v>11945</v>
      </c>
      <c r="BH30">
        <v>11530</v>
      </c>
      <c r="BI30">
        <v>11535</v>
      </c>
      <c r="BJ30">
        <v>11395</v>
      </c>
      <c r="BK30">
        <v>11200</v>
      </c>
      <c r="BL30">
        <v>11280</v>
      </c>
      <c r="BM30">
        <v>11380</v>
      </c>
      <c r="BN30">
        <v>11495</v>
      </c>
      <c r="BO30">
        <v>11455</v>
      </c>
      <c r="BP30">
        <v>11430</v>
      </c>
      <c r="BQ30">
        <v>11390</v>
      </c>
      <c r="BR30">
        <v>11530</v>
      </c>
      <c r="BS30">
        <v>11520</v>
      </c>
      <c r="BT30">
        <v>11450</v>
      </c>
      <c r="BU30">
        <v>11440</v>
      </c>
      <c r="BV30">
        <v>11470</v>
      </c>
      <c r="BW30">
        <v>11390</v>
      </c>
      <c r="BX30">
        <v>11260</v>
      </c>
      <c r="BY30">
        <v>11350</v>
      </c>
      <c r="BZ30">
        <v>11350</v>
      </c>
      <c r="CA30">
        <v>11215</v>
      </c>
      <c r="CB30">
        <v>11490</v>
      </c>
      <c r="CC30">
        <v>12290</v>
      </c>
      <c r="CD30">
        <v>12230</v>
      </c>
      <c r="CE30">
        <v>12150</v>
      </c>
      <c r="CF30">
        <v>12010</v>
      </c>
      <c r="CG30">
        <v>12200</v>
      </c>
      <c r="CH30">
        <v>12430</v>
      </c>
      <c r="CI30">
        <v>12690</v>
      </c>
      <c r="CJ30">
        <v>12610</v>
      </c>
      <c r="CK30">
        <v>13050</v>
      </c>
      <c r="CL30">
        <v>13600</v>
      </c>
      <c r="CM30">
        <v>13600</v>
      </c>
      <c r="CN30">
        <v>13550</v>
      </c>
      <c r="CO30">
        <v>13760</v>
      </c>
      <c r="CP30">
        <v>14100</v>
      </c>
      <c r="CQ30">
        <v>14340</v>
      </c>
      <c r="CR30">
        <v>14470</v>
      </c>
      <c r="CS30">
        <v>14100</v>
      </c>
      <c r="CT30">
        <v>14000</v>
      </c>
      <c r="CU30">
        <v>13500</v>
      </c>
      <c r="CV30">
        <v>13480</v>
      </c>
      <c r="CW30">
        <v>13350</v>
      </c>
      <c r="CX30">
        <v>13350</v>
      </c>
      <c r="CY30">
        <v>13355</v>
      </c>
      <c r="CZ30">
        <v>13300</v>
      </c>
      <c r="DA30">
        <v>13100</v>
      </c>
      <c r="DB30">
        <v>13020</v>
      </c>
      <c r="DC30">
        <v>13140</v>
      </c>
      <c r="DD30">
        <v>13120</v>
      </c>
      <c r="DE30">
        <v>12990</v>
      </c>
      <c r="DF30">
        <v>13260</v>
      </c>
      <c r="DG30">
        <v>13050</v>
      </c>
      <c r="DH30">
        <v>13050</v>
      </c>
      <c r="DI30">
        <v>12680</v>
      </c>
      <c r="DJ30">
        <v>12710</v>
      </c>
      <c r="DK30">
        <v>12990</v>
      </c>
      <c r="DL30">
        <v>12950</v>
      </c>
      <c r="DM30">
        <v>12540</v>
      </c>
      <c r="DN30">
        <v>12790</v>
      </c>
      <c r="DO30">
        <v>12620</v>
      </c>
      <c r="DP30">
        <v>12250</v>
      </c>
      <c r="DQ30">
        <v>12130</v>
      </c>
      <c r="DR30">
        <v>12320</v>
      </c>
      <c r="DS30">
        <v>12270</v>
      </c>
      <c r="DT30">
        <v>12510</v>
      </c>
      <c r="DU30">
        <v>13230</v>
      </c>
      <c r="DV30">
        <v>13340</v>
      </c>
      <c r="DW30">
        <v>13520</v>
      </c>
      <c r="DX30">
        <v>13390</v>
      </c>
      <c r="DY30">
        <v>13640</v>
      </c>
      <c r="DZ30">
        <v>14000</v>
      </c>
      <c r="EA30">
        <v>13278</v>
      </c>
      <c r="EB30">
        <v>13235</v>
      </c>
      <c r="EC30">
        <v>13320</v>
      </c>
      <c r="ED30">
        <v>12870</v>
      </c>
      <c r="EE30">
        <v>12920</v>
      </c>
      <c r="EF30">
        <v>13060</v>
      </c>
      <c r="EG30">
        <v>12600</v>
      </c>
      <c r="EH30">
        <v>12470</v>
      </c>
      <c r="EI30">
        <v>12480</v>
      </c>
      <c r="EJ30">
        <v>12480</v>
      </c>
      <c r="EK30">
        <v>12580</v>
      </c>
      <c r="EL30">
        <v>12620</v>
      </c>
      <c r="EM30">
        <v>13200</v>
      </c>
    </row>
    <row r="31" spans="1:143" x14ac:dyDescent="0.2">
      <c r="A31" t="str">
        <f>Input!M31</f>
        <v>FG</v>
      </c>
      <c r="B31">
        <v>1450</v>
      </c>
      <c r="C31">
        <v>1450</v>
      </c>
      <c r="D31">
        <v>1450</v>
      </c>
      <c r="E31">
        <v>1450</v>
      </c>
      <c r="F31">
        <v>1480</v>
      </c>
      <c r="G31">
        <v>1480</v>
      </c>
      <c r="H31">
        <v>1480</v>
      </c>
      <c r="I31">
        <v>1480</v>
      </c>
      <c r="J31">
        <v>1480</v>
      </c>
      <c r="K31">
        <v>1550</v>
      </c>
      <c r="L31">
        <v>1550</v>
      </c>
      <c r="M31">
        <v>1550</v>
      </c>
      <c r="N31">
        <v>1550</v>
      </c>
      <c r="O31">
        <v>1550</v>
      </c>
      <c r="P31">
        <v>1550</v>
      </c>
      <c r="Q31">
        <v>1550</v>
      </c>
      <c r="R31">
        <v>1550</v>
      </c>
      <c r="S31">
        <v>1550</v>
      </c>
      <c r="T31">
        <v>1550</v>
      </c>
      <c r="U31">
        <v>1550</v>
      </c>
      <c r="V31">
        <v>1550</v>
      </c>
      <c r="W31">
        <v>1550</v>
      </c>
      <c r="X31">
        <v>1550</v>
      </c>
      <c r="Y31">
        <v>1550</v>
      </c>
      <c r="Z31">
        <v>1550</v>
      </c>
      <c r="AA31">
        <v>1550</v>
      </c>
      <c r="AB31">
        <v>1550</v>
      </c>
      <c r="AC31">
        <v>1550</v>
      </c>
      <c r="AD31">
        <v>1520</v>
      </c>
      <c r="AE31">
        <v>1580</v>
      </c>
      <c r="AF31">
        <v>1580</v>
      </c>
      <c r="AG31">
        <v>1580</v>
      </c>
      <c r="AH31">
        <v>1580</v>
      </c>
      <c r="AI31">
        <v>1580</v>
      </c>
      <c r="AJ31">
        <v>1580</v>
      </c>
      <c r="AK31">
        <v>1580</v>
      </c>
      <c r="AL31">
        <v>1580</v>
      </c>
      <c r="AM31">
        <v>1580</v>
      </c>
      <c r="AN31">
        <v>1580</v>
      </c>
      <c r="AO31">
        <v>1580</v>
      </c>
      <c r="AP31">
        <v>1580</v>
      </c>
      <c r="AQ31">
        <v>1580</v>
      </c>
      <c r="AR31">
        <v>1580</v>
      </c>
      <c r="AS31">
        <v>1580</v>
      </c>
      <c r="AT31">
        <v>1580</v>
      </c>
      <c r="AU31">
        <v>1580</v>
      </c>
      <c r="AV31">
        <v>1580</v>
      </c>
      <c r="AW31">
        <v>1470</v>
      </c>
      <c r="AX31">
        <v>1470</v>
      </c>
      <c r="AY31">
        <v>1470</v>
      </c>
      <c r="AZ31">
        <v>1470</v>
      </c>
      <c r="BA31">
        <v>1470</v>
      </c>
      <c r="BB31">
        <v>1470</v>
      </c>
      <c r="BC31">
        <v>1470</v>
      </c>
      <c r="BD31">
        <v>1470</v>
      </c>
      <c r="BE31">
        <v>1470</v>
      </c>
      <c r="BF31">
        <v>1470</v>
      </c>
      <c r="BG31">
        <v>1470</v>
      </c>
      <c r="BH31">
        <v>1470</v>
      </c>
      <c r="BI31">
        <v>1470</v>
      </c>
      <c r="BJ31">
        <v>1470</v>
      </c>
      <c r="BK31">
        <v>1470</v>
      </c>
      <c r="BL31">
        <v>1470</v>
      </c>
      <c r="BM31">
        <v>1470</v>
      </c>
      <c r="BN31">
        <v>1470</v>
      </c>
      <c r="BO31">
        <v>1470</v>
      </c>
      <c r="BP31">
        <v>1470</v>
      </c>
      <c r="BQ31">
        <v>1470</v>
      </c>
      <c r="BR31">
        <v>1470</v>
      </c>
      <c r="BS31">
        <v>1470</v>
      </c>
      <c r="BT31">
        <v>1470</v>
      </c>
      <c r="BU31">
        <v>1470</v>
      </c>
      <c r="BV31">
        <v>1470</v>
      </c>
      <c r="BW31">
        <v>1470</v>
      </c>
      <c r="BX31">
        <v>1470</v>
      </c>
      <c r="BY31">
        <v>1470</v>
      </c>
      <c r="BZ31">
        <v>1470</v>
      </c>
      <c r="CA31">
        <v>1470</v>
      </c>
      <c r="CB31">
        <v>1470</v>
      </c>
      <c r="CC31">
        <v>1470</v>
      </c>
      <c r="CD31">
        <v>1470</v>
      </c>
      <c r="CE31">
        <v>1470</v>
      </c>
      <c r="CF31">
        <v>1470</v>
      </c>
      <c r="CG31">
        <v>1470</v>
      </c>
      <c r="CH31">
        <v>1470</v>
      </c>
      <c r="CI31">
        <v>1470</v>
      </c>
      <c r="CJ31">
        <v>1470</v>
      </c>
      <c r="CK31">
        <v>1470</v>
      </c>
      <c r="CL31">
        <v>1470</v>
      </c>
      <c r="CM31">
        <v>1470</v>
      </c>
      <c r="CN31">
        <v>1470</v>
      </c>
      <c r="CO31">
        <v>1470</v>
      </c>
      <c r="CP31">
        <v>1470</v>
      </c>
      <c r="CQ31">
        <v>1470</v>
      </c>
      <c r="CR31">
        <v>1470</v>
      </c>
      <c r="CS31">
        <v>1470</v>
      </c>
      <c r="CT31">
        <v>1470</v>
      </c>
      <c r="CU31">
        <v>1470</v>
      </c>
      <c r="CV31">
        <v>1470</v>
      </c>
      <c r="CW31">
        <v>1470</v>
      </c>
      <c r="CX31">
        <v>1470</v>
      </c>
      <c r="CY31">
        <v>1470</v>
      </c>
      <c r="CZ31">
        <v>1450</v>
      </c>
      <c r="DA31">
        <v>1450</v>
      </c>
      <c r="DB31">
        <v>1450</v>
      </c>
      <c r="DC31">
        <v>1450</v>
      </c>
      <c r="DD31">
        <v>1450</v>
      </c>
      <c r="DE31">
        <v>1450</v>
      </c>
      <c r="DF31">
        <v>1450</v>
      </c>
      <c r="DG31">
        <v>1450</v>
      </c>
      <c r="DH31">
        <v>1450</v>
      </c>
      <c r="DI31">
        <v>1430</v>
      </c>
      <c r="DJ31">
        <v>1430</v>
      </c>
      <c r="DK31">
        <v>1430</v>
      </c>
      <c r="DL31">
        <v>1430</v>
      </c>
      <c r="DM31">
        <v>1430</v>
      </c>
      <c r="DN31">
        <v>1430</v>
      </c>
      <c r="DO31">
        <v>1430</v>
      </c>
      <c r="DP31">
        <v>1430</v>
      </c>
      <c r="DQ31">
        <v>1420</v>
      </c>
      <c r="DR31">
        <v>1420</v>
      </c>
      <c r="DS31">
        <v>1420</v>
      </c>
      <c r="DT31">
        <v>1420</v>
      </c>
      <c r="DU31">
        <v>1420</v>
      </c>
      <c r="DV31">
        <v>1420</v>
      </c>
      <c r="DW31">
        <v>1420</v>
      </c>
      <c r="DX31">
        <v>1420</v>
      </c>
      <c r="DY31">
        <v>1420</v>
      </c>
      <c r="DZ31">
        <v>1420</v>
      </c>
      <c r="EA31">
        <v>1420</v>
      </c>
      <c r="EB31">
        <v>1400</v>
      </c>
      <c r="EC31">
        <v>1400</v>
      </c>
      <c r="ED31">
        <v>1380</v>
      </c>
      <c r="EE31">
        <v>1380</v>
      </c>
      <c r="EF31">
        <v>1380</v>
      </c>
      <c r="EG31">
        <v>1380</v>
      </c>
      <c r="EH31">
        <v>1380</v>
      </c>
      <c r="EI31">
        <v>1380</v>
      </c>
      <c r="EJ31">
        <v>1380</v>
      </c>
      <c r="EK31">
        <v>1380</v>
      </c>
      <c r="EL31">
        <v>1380</v>
      </c>
      <c r="EM31">
        <v>1380</v>
      </c>
    </row>
    <row r="32" spans="1:143" x14ac:dyDescent="0.2">
      <c r="A32" t="str">
        <f>Input!M32</f>
        <v>CY</v>
      </c>
      <c r="B32">
        <v>22900</v>
      </c>
      <c r="C32">
        <v>22900</v>
      </c>
      <c r="D32">
        <v>22900</v>
      </c>
      <c r="E32">
        <v>22900</v>
      </c>
      <c r="F32">
        <v>22900</v>
      </c>
      <c r="G32">
        <v>22900</v>
      </c>
      <c r="H32">
        <v>22900</v>
      </c>
      <c r="I32">
        <v>22900</v>
      </c>
      <c r="J32">
        <v>22900</v>
      </c>
      <c r="K32">
        <v>23000</v>
      </c>
      <c r="L32">
        <v>23000</v>
      </c>
      <c r="M32">
        <v>23000</v>
      </c>
      <c r="N32">
        <v>23000</v>
      </c>
      <c r="O32">
        <v>23000</v>
      </c>
      <c r="P32">
        <v>23100</v>
      </c>
      <c r="Q32">
        <v>23100</v>
      </c>
      <c r="R32">
        <v>23100</v>
      </c>
      <c r="S32">
        <v>23100</v>
      </c>
      <c r="T32">
        <v>23100</v>
      </c>
      <c r="U32">
        <v>23100</v>
      </c>
      <c r="V32">
        <v>23100</v>
      </c>
      <c r="W32">
        <v>23100</v>
      </c>
      <c r="X32">
        <v>23100</v>
      </c>
      <c r="Y32">
        <v>23100</v>
      </c>
      <c r="Z32">
        <v>23100</v>
      </c>
      <c r="AA32">
        <v>23100</v>
      </c>
      <c r="AB32">
        <v>23100</v>
      </c>
      <c r="AC32">
        <v>23100</v>
      </c>
      <c r="AD32">
        <v>23100</v>
      </c>
      <c r="AE32">
        <v>23100</v>
      </c>
      <c r="AF32">
        <v>23100</v>
      </c>
      <c r="AG32">
        <v>23100</v>
      </c>
      <c r="AH32">
        <v>23200</v>
      </c>
      <c r="AI32">
        <v>23200</v>
      </c>
      <c r="AJ32">
        <v>23200</v>
      </c>
      <c r="AK32">
        <v>23200</v>
      </c>
      <c r="AL32">
        <v>23200</v>
      </c>
      <c r="AM32">
        <v>23200</v>
      </c>
      <c r="AN32">
        <v>23200</v>
      </c>
      <c r="AO32">
        <v>23200</v>
      </c>
      <c r="AP32">
        <v>23200</v>
      </c>
      <c r="AQ32">
        <v>23200</v>
      </c>
      <c r="AR32">
        <v>23200</v>
      </c>
      <c r="AS32">
        <v>23200</v>
      </c>
      <c r="AT32">
        <v>23200</v>
      </c>
      <c r="AU32">
        <v>23200</v>
      </c>
      <c r="AV32">
        <v>23200</v>
      </c>
      <c r="AW32">
        <v>23200</v>
      </c>
      <c r="AX32">
        <v>23200</v>
      </c>
      <c r="AY32">
        <v>23200</v>
      </c>
      <c r="AZ32">
        <v>23200</v>
      </c>
      <c r="BA32">
        <v>23200</v>
      </c>
      <c r="BB32">
        <v>23200</v>
      </c>
      <c r="BC32">
        <v>23300</v>
      </c>
      <c r="BD32">
        <v>23300</v>
      </c>
      <c r="BE32">
        <v>23300</v>
      </c>
      <c r="BF32">
        <v>23300</v>
      </c>
      <c r="BG32">
        <v>23300</v>
      </c>
      <c r="BH32">
        <v>23300</v>
      </c>
      <c r="BI32">
        <v>23400</v>
      </c>
      <c r="BJ32">
        <v>23400</v>
      </c>
      <c r="BK32">
        <v>23400</v>
      </c>
      <c r="BL32">
        <v>23400</v>
      </c>
      <c r="BM32">
        <v>23500</v>
      </c>
      <c r="BN32">
        <v>23500</v>
      </c>
      <c r="BO32">
        <v>23500</v>
      </c>
      <c r="BP32">
        <v>23500</v>
      </c>
      <c r="BQ32">
        <v>23500</v>
      </c>
      <c r="BR32">
        <v>23500</v>
      </c>
      <c r="BS32">
        <v>23500</v>
      </c>
      <c r="BT32">
        <v>23500</v>
      </c>
      <c r="BU32">
        <v>23500</v>
      </c>
      <c r="BV32">
        <v>23500</v>
      </c>
      <c r="BW32">
        <v>23450</v>
      </c>
      <c r="BX32">
        <v>23400</v>
      </c>
      <c r="BY32">
        <v>23400</v>
      </c>
      <c r="BZ32">
        <v>23400</v>
      </c>
      <c r="CA32">
        <v>23400</v>
      </c>
      <c r="CB32">
        <v>23400</v>
      </c>
      <c r="CC32">
        <v>23400</v>
      </c>
      <c r="CD32">
        <v>23400</v>
      </c>
      <c r="CE32">
        <v>23400</v>
      </c>
      <c r="CF32">
        <v>23400</v>
      </c>
      <c r="CG32">
        <v>23400</v>
      </c>
      <c r="CH32">
        <v>23400</v>
      </c>
      <c r="CI32">
        <v>23400</v>
      </c>
      <c r="CJ32">
        <v>23400</v>
      </c>
      <c r="CK32">
        <v>23300</v>
      </c>
      <c r="CL32">
        <v>23300</v>
      </c>
      <c r="CM32">
        <v>23200</v>
      </c>
      <c r="CN32">
        <v>23200</v>
      </c>
      <c r="CO32">
        <v>23200</v>
      </c>
      <c r="CP32">
        <v>23100</v>
      </c>
      <c r="CQ32">
        <v>23100</v>
      </c>
      <c r="CR32">
        <v>23100</v>
      </c>
      <c r="CS32">
        <v>23050</v>
      </c>
      <c r="CT32">
        <v>23050</v>
      </c>
      <c r="CU32">
        <v>23050</v>
      </c>
      <c r="CV32">
        <v>23050</v>
      </c>
      <c r="CW32">
        <v>23050</v>
      </c>
      <c r="CX32">
        <v>23050</v>
      </c>
    </row>
    <row r="33" spans="1:45" x14ac:dyDescent="0.2">
      <c r="A33" t="str">
        <f>Input!M33</f>
        <v>V</v>
      </c>
      <c r="B33">
        <v>6665</v>
      </c>
      <c r="C33">
        <v>6715</v>
      </c>
      <c r="D33">
        <v>6620</v>
      </c>
      <c r="E33">
        <v>6565</v>
      </c>
      <c r="F33">
        <v>6560</v>
      </c>
      <c r="G33">
        <v>6550</v>
      </c>
      <c r="H33">
        <v>6525</v>
      </c>
      <c r="I33">
        <v>6585</v>
      </c>
      <c r="J33">
        <v>6625</v>
      </c>
      <c r="K33">
        <v>6645</v>
      </c>
      <c r="L33">
        <v>6635</v>
      </c>
      <c r="M33">
        <v>6600</v>
      </c>
      <c r="N33">
        <v>6625</v>
      </c>
      <c r="O33">
        <v>6650</v>
      </c>
      <c r="P33">
        <v>6665</v>
      </c>
      <c r="Q33">
        <v>6675</v>
      </c>
      <c r="R33">
        <v>6590</v>
      </c>
      <c r="S33">
        <v>6590</v>
      </c>
      <c r="T33">
        <v>6590</v>
      </c>
      <c r="U33">
        <v>6455</v>
      </c>
      <c r="V33">
        <v>6440</v>
      </c>
      <c r="W33">
        <v>6505</v>
      </c>
      <c r="X33">
        <v>6445</v>
      </c>
      <c r="Y33">
        <v>6475</v>
      </c>
      <c r="Z33">
        <v>6455</v>
      </c>
      <c r="AA33">
        <v>6500</v>
      </c>
      <c r="AB33">
        <v>6550</v>
      </c>
      <c r="AC33">
        <v>6550</v>
      </c>
      <c r="AD33">
        <v>6515</v>
      </c>
      <c r="AE33">
        <v>6485</v>
      </c>
      <c r="AF33">
        <v>6505</v>
      </c>
      <c r="AG33">
        <v>6510</v>
      </c>
      <c r="AH33">
        <v>6550</v>
      </c>
      <c r="AI33">
        <v>6565</v>
      </c>
      <c r="AJ33">
        <v>6385</v>
      </c>
      <c r="AK33">
        <v>6360</v>
      </c>
      <c r="AL33">
        <v>6250</v>
      </c>
      <c r="AM33">
        <v>6250</v>
      </c>
      <c r="AN33">
        <v>6150</v>
      </c>
      <c r="AO33">
        <v>6025</v>
      </c>
      <c r="AP33">
        <v>6050</v>
      </c>
      <c r="AQ33">
        <v>6060</v>
      </c>
      <c r="AR33">
        <v>6075</v>
      </c>
      <c r="AS33">
        <v>6160</v>
      </c>
    </row>
    <row r="34" spans="1:45" x14ac:dyDescent="0.2">
      <c r="A34" t="str">
        <f>Input!M34</f>
        <v>AP</v>
      </c>
      <c r="F34">
        <v>6400</v>
      </c>
      <c r="G34">
        <v>6400</v>
      </c>
      <c r="H34">
        <v>6400</v>
      </c>
      <c r="I34">
        <v>6400</v>
      </c>
      <c r="J34">
        <v>6400</v>
      </c>
      <c r="K34">
        <v>6400</v>
      </c>
      <c r="L34">
        <v>6400</v>
      </c>
      <c r="M34">
        <v>6400</v>
      </c>
      <c r="N34">
        <v>6400</v>
      </c>
      <c r="O34">
        <v>6400</v>
      </c>
      <c r="P34">
        <v>6400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M34"/>
  <sheetViews>
    <sheetView workbookViewId="0">
      <selection activeCell="C1" sqref="C1"/>
    </sheetView>
  </sheetViews>
  <sheetFormatPr defaultColWidth="13.5" defaultRowHeight="14.25" x14ac:dyDescent="0.2"/>
  <cols>
    <col min="1" max="85" width="7.625" customWidth="1"/>
    <col min="86" max="92" width="11.375" customWidth="1"/>
    <col min="93" max="94" width="10.375" customWidth="1"/>
    <col min="95" max="95" width="10" customWidth="1"/>
    <col min="96" max="96" width="10.875" customWidth="1"/>
    <col min="97" max="99" width="9.5" customWidth="1"/>
    <col min="100" max="100" width="10.125" customWidth="1"/>
    <col min="101" max="101" width="9.875" customWidth="1"/>
    <col min="102" max="102" width="10.375" customWidth="1"/>
    <col min="103" max="103" width="11.5" customWidth="1"/>
    <col min="104" max="104" width="11.625" customWidth="1"/>
    <col min="105" max="105" width="9.625" customWidth="1"/>
    <col min="106" max="106" width="11" customWidth="1"/>
    <col min="107" max="107" width="10" customWidth="1"/>
    <col min="108" max="108" width="11.25" customWidth="1"/>
    <col min="109" max="109" width="10.75" customWidth="1"/>
    <col min="110" max="110" width="10.5" customWidth="1"/>
    <col min="111" max="111" width="10.375" customWidth="1"/>
    <col min="112" max="112" width="10.875" customWidth="1"/>
    <col min="113" max="113" width="10.125" customWidth="1"/>
    <col min="114" max="114" width="10.75" customWidth="1"/>
    <col min="115" max="115" width="9.875" customWidth="1"/>
    <col min="116" max="116" width="8.625" customWidth="1"/>
    <col min="117" max="119" width="9.25" customWidth="1"/>
    <col min="120" max="120" width="10.875" customWidth="1"/>
    <col min="121" max="121" width="10" customWidth="1"/>
    <col min="122" max="122" width="11" customWidth="1"/>
    <col min="125" max="125" width="10.625" customWidth="1"/>
    <col min="127" max="127" width="10.5" customWidth="1"/>
    <col min="130" max="130" width="9.875" customWidth="1"/>
  </cols>
  <sheetData>
    <row r="1" spans="1:143" s="13" customFormat="1" x14ac:dyDescent="0.2">
      <c r="A1" s="13" t="s">
        <v>67</v>
      </c>
      <c r="B1" s="13">
        <v>43126</v>
      </c>
      <c r="C1" s="13">
        <v>43125</v>
      </c>
      <c r="D1" s="13">
        <v>43124</v>
      </c>
      <c r="E1" s="13">
        <v>43123</v>
      </c>
      <c r="F1" s="13">
        <v>43122</v>
      </c>
      <c r="G1" s="13">
        <v>43119</v>
      </c>
      <c r="H1" s="13">
        <v>43118</v>
      </c>
      <c r="I1" s="13">
        <v>43117</v>
      </c>
      <c r="J1" s="13">
        <v>43116</v>
      </c>
      <c r="K1" s="13">
        <v>43115</v>
      </c>
      <c r="L1" s="13">
        <v>43112</v>
      </c>
      <c r="M1" s="13">
        <v>43111</v>
      </c>
      <c r="N1" s="13">
        <v>43110</v>
      </c>
      <c r="O1" s="13">
        <v>43109</v>
      </c>
      <c r="P1" s="13">
        <v>43108</v>
      </c>
      <c r="Q1" s="13">
        <v>43105</v>
      </c>
      <c r="R1" s="13">
        <v>43104</v>
      </c>
      <c r="S1" s="13">
        <v>43103</v>
      </c>
      <c r="T1" s="13">
        <v>43102</v>
      </c>
      <c r="U1" s="13">
        <v>43098</v>
      </c>
      <c r="V1" s="13">
        <v>43097</v>
      </c>
      <c r="W1" s="13">
        <v>43096</v>
      </c>
      <c r="X1" s="13">
        <v>43095</v>
      </c>
      <c r="Y1" s="13">
        <v>43094</v>
      </c>
      <c r="Z1" s="13">
        <v>43091</v>
      </c>
      <c r="AA1" s="13">
        <v>43090</v>
      </c>
      <c r="AB1" s="13">
        <v>43089</v>
      </c>
      <c r="AC1" s="13">
        <v>43088</v>
      </c>
      <c r="AD1" s="13">
        <v>43087</v>
      </c>
      <c r="AE1" s="13">
        <v>43084</v>
      </c>
      <c r="AF1" s="13">
        <v>43083</v>
      </c>
      <c r="AG1" s="13">
        <v>43082</v>
      </c>
      <c r="AH1" s="13">
        <v>43081</v>
      </c>
      <c r="AI1" s="13">
        <v>43080</v>
      </c>
      <c r="AJ1" s="13">
        <v>43077</v>
      </c>
      <c r="AK1" s="13">
        <v>43076</v>
      </c>
      <c r="AL1" s="13">
        <v>43075</v>
      </c>
      <c r="AM1" s="13">
        <v>43074</v>
      </c>
      <c r="AN1" s="13">
        <v>43073</v>
      </c>
      <c r="AO1" s="13">
        <v>43070</v>
      </c>
      <c r="AP1" s="13">
        <v>43069</v>
      </c>
      <c r="AQ1" s="13">
        <v>43068</v>
      </c>
      <c r="AR1" s="13">
        <v>43067</v>
      </c>
      <c r="AS1" s="13">
        <v>43066</v>
      </c>
      <c r="AT1" s="13">
        <v>43062</v>
      </c>
      <c r="AU1" s="13">
        <v>43061</v>
      </c>
      <c r="AV1" s="13">
        <v>43060</v>
      </c>
      <c r="AW1" s="13">
        <v>43059</v>
      </c>
      <c r="AX1" s="13">
        <v>43056</v>
      </c>
      <c r="AY1" s="13">
        <v>43055</v>
      </c>
      <c r="AZ1" s="13">
        <v>43054</v>
      </c>
      <c r="BA1" s="13">
        <v>43053</v>
      </c>
      <c r="BB1" s="13">
        <v>43052</v>
      </c>
      <c r="BC1" s="13">
        <v>43049</v>
      </c>
      <c r="BD1" s="13">
        <v>43048</v>
      </c>
      <c r="BE1" s="13">
        <v>43047</v>
      </c>
      <c r="BF1" s="13">
        <v>43046</v>
      </c>
      <c r="BG1" s="13">
        <v>43045</v>
      </c>
      <c r="BH1" s="13">
        <v>43042</v>
      </c>
      <c r="BI1" s="13">
        <v>43041</v>
      </c>
      <c r="BJ1" s="13">
        <v>43040</v>
      </c>
      <c r="BK1" s="13">
        <v>43039</v>
      </c>
      <c r="BL1" s="13">
        <v>43038</v>
      </c>
      <c r="BM1" s="13">
        <v>43035</v>
      </c>
      <c r="BN1" s="13">
        <v>43034</v>
      </c>
      <c r="BO1" s="13">
        <v>43033</v>
      </c>
      <c r="BP1" s="13">
        <v>43032</v>
      </c>
      <c r="BQ1" s="13">
        <v>43031</v>
      </c>
      <c r="BR1" s="13">
        <v>43028</v>
      </c>
      <c r="BS1" s="13">
        <v>43027</v>
      </c>
      <c r="BT1" s="13">
        <v>43026</v>
      </c>
      <c r="BU1" s="13">
        <v>43025</v>
      </c>
      <c r="BV1" s="13">
        <v>43024</v>
      </c>
      <c r="BW1" s="13">
        <v>43021</v>
      </c>
      <c r="BX1" s="13">
        <v>43020</v>
      </c>
      <c r="BY1" s="13">
        <v>43019</v>
      </c>
      <c r="BZ1" s="13">
        <v>43018</v>
      </c>
      <c r="CA1" s="13">
        <v>43007</v>
      </c>
      <c r="CB1" s="13">
        <v>43006</v>
      </c>
      <c r="CC1" s="13">
        <v>43005</v>
      </c>
      <c r="CD1" s="13">
        <v>43004</v>
      </c>
      <c r="CE1" s="13">
        <v>43003</v>
      </c>
      <c r="CF1" s="13">
        <v>43000</v>
      </c>
      <c r="CG1" s="13">
        <v>42999</v>
      </c>
      <c r="CH1" s="13">
        <v>42998</v>
      </c>
      <c r="CI1" s="13">
        <v>42997</v>
      </c>
      <c r="CJ1" s="13">
        <v>42996</v>
      </c>
      <c r="CK1" s="13">
        <v>42993</v>
      </c>
      <c r="CL1" s="13">
        <v>42992</v>
      </c>
      <c r="CM1" s="13">
        <v>42991</v>
      </c>
      <c r="CN1" s="13">
        <v>42990</v>
      </c>
      <c r="CO1" s="13">
        <v>42989</v>
      </c>
      <c r="CP1" s="13">
        <v>42986</v>
      </c>
      <c r="CQ1" s="13">
        <v>42985</v>
      </c>
      <c r="CR1" s="13">
        <v>42984</v>
      </c>
      <c r="CS1" s="13">
        <v>42983</v>
      </c>
      <c r="CT1" s="13">
        <v>42982</v>
      </c>
      <c r="CU1" s="13">
        <v>42979</v>
      </c>
      <c r="CV1" s="13">
        <v>42978</v>
      </c>
      <c r="CW1" s="13">
        <v>42977</v>
      </c>
      <c r="CX1" s="13">
        <v>42976</v>
      </c>
      <c r="CY1" s="13">
        <v>42975</v>
      </c>
      <c r="CZ1" s="13">
        <v>42972</v>
      </c>
      <c r="DA1" s="13">
        <v>42971</v>
      </c>
      <c r="DB1" s="13">
        <v>42970</v>
      </c>
      <c r="DC1" s="13">
        <v>42969</v>
      </c>
      <c r="DD1" s="13">
        <v>42968</v>
      </c>
      <c r="DE1" s="13">
        <v>42965</v>
      </c>
      <c r="DF1" s="13">
        <v>42964</v>
      </c>
      <c r="DG1" s="13">
        <v>42963</v>
      </c>
      <c r="DH1" s="13">
        <v>42962</v>
      </c>
      <c r="DI1" s="13">
        <v>42961</v>
      </c>
      <c r="DJ1" s="13">
        <v>42958</v>
      </c>
      <c r="DK1" s="13">
        <v>42957</v>
      </c>
      <c r="DL1" s="13">
        <v>42956</v>
      </c>
      <c r="DM1" s="13">
        <v>42955</v>
      </c>
      <c r="DN1" s="13">
        <v>42954</v>
      </c>
      <c r="DO1" s="13">
        <v>42951</v>
      </c>
      <c r="DP1" s="13">
        <v>42950</v>
      </c>
      <c r="DQ1" s="13">
        <v>42949</v>
      </c>
      <c r="DR1" s="13">
        <v>42948</v>
      </c>
      <c r="DS1" s="13">
        <v>42947</v>
      </c>
      <c r="DT1" s="13">
        <v>42944</v>
      </c>
      <c r="DU1" s="13">
        <v>42943</v>
      </c>
      <c r="DV1" s="13">
        <v>42942</v>
      </c>
      <c r="DW1" s="13">
        <v>42941</v>
      </c>
      <c r="DX1" s="13">
        <v>42940</v>
      </c>
      <c r="DY1" s="13">
        <v>42937</v>
      </c>
      <c r="DZ1" s="13">
        <v>42936</v>
      </c>
      <c r="EA1" s="13">
        <v>42935</v>
      </c>
      <c r="EB1" s="13">
        <v>42934</v>
      </c>
      <c r="EC1" s="13">
        <v>42933</v>
      </c>
      <c r="ED1" s="13">
        <v>42930</v>
      </c>
      <c r="EE1" s="13">
        <v>42929</v>
      </c>
      <c r="EF1" s="13">
        <v>42928</v>
      </c>
      <c r="EG1" s="13">
        <v>42927</v>
      </c>
      <c r="EH1" s="13">
        <v>42926</v>
      </c>
      <c r="EI1" s="13">
        <v>42923</v>
      </c>
      <c r="EJ1" s="13">
        <v>42922</v>
      </c>
      <c r="EK1" s="13">
        <v>42921</v>
      </c>
      <c r="EL1" s="13">
        <v>42920</v>
      </c>
      <c r="EM1" s="13">
        <v>42919</v>
      </c>
    </row>
    <row r="2" spans="1:143" x14ac:dyDescent="0.2">
      <c r="A2" t="str">
        <f>Input!M2</f>
        <v>JM</v>
      </c>
      <c r="B2">
        <v>52.5</v>
      </c>
      <c r="C2">
        <v>45</v>
      </c>
      <c r="D2">
        <v>77.5</v>
      </c>
      <c r="E2">
        <v>97.5</v>
      </c>
      <c r="F2">
        <v>75.5</v>
      </c>
      <c r="G2">
        <v>84.5</v>
      </c>
      <c r="H2">
        <v>105.5</v>
      </c>
      <c r="I2">
        <v>104.5</v>
      </c>
      <c r="J2">
        <v>62.5</v>
      </c>
      <c r="K2">
        <v>53.5</v>
      </c>
      <c r="L2">
        <v>33.5</v>
      </c>
      <c r="M2">
        <v>16</v>
      </c>
      <c r="N2">
        <v>9.5</v>
      </c>
      <c r="O2">
        <v>-4.5</v>
      </c>
      <c r="P2">
        <v>19.5</v>
      </c>
      <c r="Q2">
        <v>29</v>
      </c>
      <c r="R2">
        <v>31.5</v>
      </c>
      <c r="S2">
        <v>70</v>
      </c>
      <c r="T2">
        <v>64.5</v>
      </c>
      <c r="U2">
        <v>90</v>
      </c>
      <c r="V2">
        <v>79</v>
      </c>
      <c r="W2">
        <v>73</v>
      </c>
      <c r="X2">
        <v>94.5</v>
      </c>
      <c r="Y2">
        <v>75</v>
      </c>
      <c r="Z2">
        <v>61</v>
      </c>
      <c r="AA2">
        <v>66</v>
      </c>
      <c r="AB2">
        <v>43</v>
      </c>
      <c r="AC2">
        <v>33</v>
      </c>
      <c r="AD2">
        <v>42</v>
      </c>
      <c r="AE2">
        <v>60</v>
      </c>
      <c r="AF2">
        <v>65.5</v>
      </c>
      <c r="AG2">
        <v>12.5</v>
      </c>
      <c r="AH2">
        <v>22.5</v>
      </c>
      <c r="AI2">
        <v>3</v>
      </c>
      <c r="AJ2">
        <v>47.5</v>
      </c>
      <c r="AK2">
        <v>31.5</v>
      </c>
      <c r="AL2">
        <v>-24</v>
      </c>
      <c r="AM2">
        <v>-54</v>
      </c>
      <c r="AN2">
        <v>-61</v>
      </c>
      <c r="AO2">
        <v>-76</v>
      </c>
      <c r="AP2">
        <v>-86</v>
      </c>
      <c r="AQ2">
        <v>-75.5</v>
      </c>
      <c r="AR2">
        <v>-59</v>
      </c>
      <c r="AS2">
        <v>-83.5</v>
      </c>
      <c r="AT2">
        <v>-56</v>
      </c>
      <c r="AU2">
        <v>-14.5</v>
      </c>
      <c r="AV2">
        <v>31</v>
      </c>
      <c r="AW2">
        <v>45</v>
      </c>
      <c r="AX2">
        <v>63</v>
      </c>
      <c r="AY2">
        <v>84</v>
      </c>
      <c r="AZ2">
        <v>61</v>
      </c>
      <c r="BA2">
        <v>44.5</v>
      </c>
      <c r="BB2">
        <v>43</v>
      </c>
      <c r="BC2">
        <v>37</v>
      </c>
      <c r="BD2">
        <v>43</v>
      </c>
      <c r="BE2">
        <v>69</v>
      </c>
      <c r="BF2">
        <v>80</v>
      </c>
      <c r="BG2">
        <v>79</v>
      </c>
      <c r="BH2">
        <v>160</v>
      </c>
      <c r="BI2">
        <v>185</v>
      </c>
      <c r="BJ2">
        <v>221</v>
      </c>
      <c r="BK2">
        <v>231</v>
      </c>
      <c r="BL2">
        <v>182.5</v>
      </c>
      <c r="BM2">
        <v>202</v>
      </c>
      <c r="BN2">
        <v>197</v>
      </c>
      <c r="BO2">
        <v>254</v>
      </c>
      <c r="BP2">
        <v>247</v>
      </c>
      <c r="BQ2">
        <v>219.5</v>
      </c>
      <c r="BR2">
        <v>193</v>
      </c>
      <c r="BS2">
        <v>223.5</v>
      </c>
      <c r="BT2">
        <v>161.5</v>
      </c>
      <c r="BU2">
        <v>175</v>
      </c>
      <c r="BV2">
        <v>222</v>
      </c>
      <c r="BW2">
        <v>231.5</v>
      </c>
      <c r="BX2">
        <v>305.5</v>
      </c>
      <c r="BY2">
        <v>301</v>
      </c>
      <c r="BZ2">
        <v>367.5</v>
      </c>
      <c r="CA2">
        <v>323</v>
      </c>
      <c r="CB2">
        <v>334</v>
      </c>
      <c r="CC2">
        <v>297.5</v>
      </c>
      <c r="CD2">
        <v>288.5</v>
      </c>
      <c r="CE2">
        <v>311</v>
      </c>
      <c r="CF2">
        <v>255</v>
      </c>
      <c r="CG2">
        <v>208</v>
      </c>
      <c r="CH2">
        <v>182</v>
      </c>
      <c r="CI2">
        <v>170.5</v>
      </c>
      <c r="CJ2">
        <v>177.5</v>
      </c>
      <c r="CK2">
        <v>92.5</v>
      </c>
      <c r="CL2">
        <v>210</v>
      </c>
      <c r="CM2">
        <v>222</v>
      </c>
      <c r="CN2">
        <v>250</v>
      </c>
      <c r="CO2">
        <v>200</v>
      </c>
      <c r="CP2">
        <v>200</v>
      </c>
      <c r="CQ2">
        <v>288.5</v>
      </c>
      <c r="CR2">
        <v>120</v>
      </c>
      <c r="CS2">
        <v>118.5</v>
      </c>
      <c r="CT2">
        <v>107.5</v>
      </c>
      <c r="CU2">
        <v>104</v>
      </c>
      <c r="CV2">
        <v>90</v>
      </c>
      <c r="CW2">
        <v>130</v>
      </c>
      <c r="CX2">
        <v>90</v>
      </c>
      <c r="CY2">
        <v>63</v>
      </c>
      <c r="CZ2">
        <v>58</v>
      </c>
      <c r="DA2">
        <v>66</v>
      </c>
      <c r="DB2">
        <v>63.5</v>
      </c>
      <c r="DC2">
        <v>29.5</v>
      </c>
      <c r="DD2">
        <v>32</v>
      </c>
      <c r="DE2">
        <v>55</v>
      </c>
      <c r="DF2">
        <v>60</v>
      </c>
      <c r="DG2">
        <v>70.5</v>
      </c>
      <c r="DH2">
        <v>25.5</v>
      </c>
      <c r="DI2">
        <v>27</v>
      </c>
      <c r="DJ2">
        <v>30</v>
      </c>
      <c r="DK2">
        <v>28</v>
      </c>
      <c r="DL2">
        <v>37.5</v>
      </c>
      <c r="DM2">
        <v>50.5</v>
      </c>
      <c r="DN2">
        <v>23.5</v>
      </c>
      <c r="DO2">
        <v>9</v>
      </c>
      <c r="DP2">
        <v>-27.5</v>
      </c>
      <c r="DQ2">
        <v>-38</v>
      </c>
      <c r="DR2">
        <v>-28</v>
      </c>
      <c r="DS2">
        <v>-38.5</v>
      </c>
      <c r="DT2">
        <v>16</v>
      </c>
      <c r="DU2">
        <v>-21.5</v>
      </c>
      <c r="DV2">
        <v>-26.5</v>
      </c>
      <c r="DW2">
        <v>-15</v>
      </c>
      <c r="DX2">
        <v>14</v>
      </c>
      <c r="DY2">
        <v>17.5</v>
      </c>
      <c r="DZ2">
        <v>-14.5</v>
      </c>
      <c r="EA2">
        <v>-117.5</v>
      </c>
      <c r="EB2">
        <v>-64.5</v>
      </c>
      <c r="EC2">
        <v>-36.5</v>
      </c>
      <c r="ED2">
        <v>14.5</v>
      </c>
      <c r="EE2">
        <v>-37</v>
      </c>
      <c r="EF2">
        <v>-29</v>
      </c>
      <c r="EG2">
        <v>-30</v>
      </c>
      <c r="EH2">
        <v>0</v>
      </c>
      <c r="EI2">
        <v>3.5</v>
      </c>
      <c r="EJ2">
        <v>19</v>
      </c>
      <c r="EK2">
        <v>-3</v>
      </c>
      <c r="EL2">
        <v>-13.5</v>
      </c>
      <c r="EM2">
        <v>-28</v>
      </c>
    </row>
    <row r="3" spans="1:143" x14ac:dyDescent="0.2">
      <c r="A3" t="str">
        <f>Input!M3</f>
        <v>J</v>
      </c>
      <c r="B3">
        <v>6</v>
      </c>
      <c r="C3">
        <v>107.5</v>
      </c>
      <c r="D3">
        <v>166</v>
      </c>
      <c r="E3">
        <v>176</v>
      </c>
      <c r="F3">
        <v>147.5</v>
      </c>
      <c r="G3">
        <v>197.5</v>
      </c>
      <c r="H3">
        <v>287</v>
      </c>
      <c r="I3">
        <v>290</v>
      </c>
      <c r="J3">
        <v>263</v>
      </c>
      <c r="K3">
        <v>272</v>
      </c>
      <c r="L3">
        <v>239.5</v>
      </c>
      <c r="M3">
        <v>226</v>
      </c>
      <c r="N3">
        <v>202.5</v>
      </c>
      <c r="O3">
        <v>270</v>
      </c>
      <c r="P3">
        <v>290.5</v>
      </c>
      <c r="Q3">
        <v>280</v>
      </c>
      <c r="R3">
        <v>278.5</v>
      </c>
      <c r="S3">
        <v>120</v>
      </c>
      <c r="T3">
        <v>56</v>
      </c>
      <c r="U3">
        <v>25</v>
      </c>
      <c r="V3">
        <v>42</v>
      </c>
      <c r="W3">
        <v>33.5</v>
      </c>
      <c r="X3">
        <v>43</v>
      </c>
      <c r="Y3">
        <v>-27</v>
      </c>
      <c r="Z3">
        <v>-20.5</v>
      </c>
      <c r="AA3">
        <v>-22</v>
      </c>
      <c r="AB3">
        <v>-28</v>
      </c>
      <c r="AC3">
        <v>-40</v>
      </c>
      <c r="AD3">
        <v>-38</v>
      </c>
      <c r="AE3">
        <v>27</v>
      </c>
      <c r="AF3">
        <v>74</v>
      </c>
      <c r="AG3">
        <v>-41.5</v>
      </c>
      <c r="AH3">
        <v>-19.5</v>
      </c>
      <c r="AI3">
        <v>-13</v>
      </c>
      <c r="AJ3">
        <v>-28</v>
      </c>
      <c r="AK3">
        <v>9.5</v>
      </c>
      <c r="AL3">
        <v>-61.5</v>
      </c>
      <c r="AM3">
        <v>-143</v>
      </c>
      <c r="AN3">
        <v>-103</v>
      </c>
      <c r="AO3">
        <v>-124</v>
      </c>
      <c r="AP3">
        <v>-86</v>
      </c>
      <c r="AQ3">
        <v>-98</v>
      </c>
      <c r="AR3">
        <v>-76</v>
      </c>
      <c r="AS3">
        <v>-217</v>
      </c>
      <c r="AT3">
        <v>-179.5</v>
      </c>
      <c r="AU3">
        <v>-162.5</v>
      </c>
      <c r="AV3">
        <v>-125</v>
      </c>
      <c r="AW3">
        <v>-141</v>
      </c>
      <c r="AX3">
        <v>-106</v>
      </c>
      <c r="AY3">
        <v>-62</v>
      </c>
      <c r="AZ3">
        <v>-63</v>
      </c>
      <c r="BA3">
        <v>-68.5</v>
      </c>
      <c r="BB3">
        <v>-40</v>
      </c>
      <c r="BC3">
        <v>-27</v>
      </c>
      <c r="BD3">
        <v>-77</v>
      </c>
      <c r="BE3">
        <v>-31</v>
      </c>
      <c r="BF3">
        <v>-18</v>
      </c>
      <c r="BG3">
        <v>2</v>
      </c>
      <c r="BH3">
        <v>64</v>
      </c>
      <c r="BI3">
        <v>66</v>
      </c>
      <c r="BJ3">
        <v>100</v>
      </c>
      <c r="BK3">
        <v>124</v>
      </c>
      <c r="BL3">
        <v>177.5</v>
      </c>
      <c r="BM3">
        <v>166</v>
      </c>
      <c r="BN3">
        <v>162</v>
      </c>
      <c r="BO3">
        <v>212</v>
      </c>
      <c r="BP3">
        <v>364</v>
      </c>
      <c r="BQ3">
        <v>357.5</v>
      </c>
      <c r="BR3">
        <v>349</v>
      </c>
      <c r="BS3">
        <v>392</v>
      </c>
      <c r="BT3">
        <v>388.5</v>
      </c>
      <c r="BU3">
        <v>367</v>
      </c>
      <c r="BV3">
        <v>417</v>
      </c>
      <c r="BW3">
        <v>458.5</v>
      </c>
      <c r="BX3">
        <v>501.5</v>
      </c>
      <c r="BY3">
        <v>467</v>
      </c>
      <c r="BZ3">
        <v>458.5</v>
      </c>
      <c r="CA3">
        <v>442.5</v>
      </c>
      <c r="CB3">
        <v>442.5</v>
      </c>
      <c r="CC3">
        <v>409.5</v>
      </c>
      <c r="CD3">
        <v>370.5</v>
      </c>
      <c r="CE3">
        <v>401</v>
      </c>
      <c r="CF3">
        <v>345</v>
      </c>
      <c r="CG3">
        <v>265</v>
      </c>
      <c r="CH3">
        <v>234</v>
      </c>
      <c r="CI3">
        <v>206</v>
      </c>
      <c r="CJ3">
        <v>228</v>
      </c>
      <c r="CK3">
        <v>79.5</v>
      </c>
      <c r="CL3">
        <v>100</v>
      </c>
      <c r="CM3">
        <v>87.5</v>
      </c>
      <c r="CN3">
        <v>151.5</v>
      </c>
      <c r="CO3">
        <v>151.5</v>
      </c>
      <c r="CP3">
        <v>101</v>
      </c>
      <c r="CQ3">
        <v>200</v>
      </c>
      <c r="CR3">
        <v>209</v>
      </c>
      <c r="CS3">
        <v>117.5</v>
      </c>
      <c r="CT3">
        <v>106</v>
      </c>
      <c r="CU3">
        <v>90.5</v>
      </c>
      <c r="CV3">
        <v>103.5</v>
      </c>
      <c r="CW3">
        <v>86</v>
      </c>
      <c r="CX3">
        <v>38</v>
      </c>
      <c r="CY3">
        <v>-4.5</v>
      </c>
      <c r="CZ3">
        <v>-43</v>
      </c>
      <c r="DA3">
        <v>3</v>
      </c>
      <c r="DB3">
        <v>12.5</v>
      </c>
      <c r="DC3">
        <v>-1.5</v>
      </c>
      <c r="DD3">
        <v>18</v>
      </c>
      <c r="DE3">
        <v>27</v>
      </c>
      <c r="DF3">
        <v>13</v>
      </c>
      <c r="DG3">
        <v>56</v>
      </c>
      <c r="DH3">
        <v>-45</v>
      </c>
      <c r="DI3">
        <v>-69</v>
      </c>
      <c r="DJ3">
        <v>-45</v>
      </c>
      <c r="DK3">
        <v>15</v>
      </c>
      <c r="DL3">
        <v>32.5</v>
      </c>
      <c r="DM3">
        <v>40</v>
      </c>
      <c r="DN3">
        <v>-10</v>
      </c>
      <c r="DO3">
        <v>-6.5</v>
      </c>
      <c r="DP3">
        <v>-38.5</v>
      </c>
      <c r="DQ3">
        <v>-47</v>
      </c>
      <c r="DR3">
        <v>-27</v>
      </c>
      <c r="DS3">
        <v>-44.5</v>
      </c>
      <c r="DT3">
        <v>-10.200000000000045</v>
      </c>
      <c r="DU3">
        <v>-1.7000000000000455</v>
      </c>
      <c r="DV3">
        <v>-12.200000000000045</v>
      </c>
      <c r="DW3">
        <v>3.2999999999999545</v>
      </c>
      <c r="DX3">
        <v>40.799999999999955</v>
      </c>
      <c r="DY3">
        <v>24.799999999999955</v>
      </c>
      <c r="DZ3">
        <v>-4.2000000000000455</v>
      </c>
      <c r="EA3">
        <v>-7.7000000000000455</v>
      </c>
      <c r="EB3">
        <v>31.799999999999955</v>
      </c>
      <c r="EC3">
        <v>46.299999999999955</v>
      </c>
      <c r="ED3">
        <v>91</v>
      </c>
      <c r="EE3">
        <v>68.5</v>
      </c>
      <c r="EF3">
        <v>67</v>
      </c>
      <c r="EG3">
        <v>18.299999999999955</v>
      </c>
      <c r="EH3">
        <v>58.799999999999955</v>
      </c>
      <c r="EI3">
        <v>48.799999999999955</v>
      </c>
      <c r="EJ3">
        <v>77.799999999999955</v>
      </c>
      <c r="EK3">
        <v>48.799999999999955</v>
      </c>
      <c r="EL3">
        <v>61.299999999999955</v>
      </c>
      <c r="EM3">
        <v>63.299999999999955</v>
      </c>
    </row>
    <row r="4" spans="1:143" x14ac:dyDescent="0.2">
      <c r="A4" t="str">
        <f>Input!M4</f>
        <v>RB</v>
      </c>
      <c r="B4">
        <v>76</v>
      </c>
      <c r="C4">
        <v>57</v>
      </c>
      <c r="D4">
        <v>75</v>
      </c>
      <c r="E4">
        <v>145</v>
      </c>
      <c r="F4">
        <v>140</v>
      </c>
      <c r="G4">
        <v>115</v>
      </c>
      <c r="H4">
        <v>73</v>
      </c>
      <c r="I4">
        <v>77</v>
      </c>
      <c r="J4">
        <v>72</v>
      </c>
      <c r="K4">
        <v>89</v>
      </c>
      <c r="L4">
        <v>176</v>
      </c>
      <c r="M4">
        <v>207</v>
      </c>
      <c r="N4">
        <v>190</v>
      </c>
      <c r="O4">
        <v>200</v>
      </c>
      <c r="P4">
        <v>308</v>
      </c>
      <c r="Q4">
        <v>364</v>
      </c>
      <c r="R4">
        <v>426</v>
      </c>
      <c r="S4">
        <v>-23</v>
      </c>
      <c r="T4">
        <v>-55</v>
      </c>
      <c r="U4">
        <v>15</v>
      </c>
      <c r="V4">
        <v>165</v>
      </c>
      <c r="W4">
        <v>165</v>
      </c>
      <c r="X4">
        <v>249</v>
      </c>
      <c r="Y4">
        <v>273</v>
      </c>
      <c r="Z4">
        <v>280</v>
      </c>
      <c r="AA4">
        <v>303</v>
      </c>
      <c r="AB4">
        <v>437</v>
      </c>
      <c r="AC4">
        <v>478</v>
      </c>
      <c r="AD4">
        <v>411.39999999999964</v>
      </c>
      <c r="AE4">
        <v>536</v>
      </c>
      <c r="AF4">
        <v>510</v>
      </c>
      <c r="AG4">
        <v>483</v>
      </c>
      <c r="AH4">
        <v>444</v>
      </c>
      <c r="AI4">
        <v>433</v>
      </c>
      <c r="AJ4">
        <v>403</v>
      </c>
      <c r="AK4">
        <v>454</v>
      </c>
      <c r="AL4">
        <v>476</v>
      </c>
      <c r="AM4">
        <v>417</v>
      </c>
      <c r="AN4">
        <v>374</v>
      </c>
      <c r="AO4">
        <v>426</v>
      </c>
      <c r="AP4">
        <v>269.19999999999982</v>
      </c>
      <c r="AQ4">
        <v>351</v>
      </c>
      <c r="AR4">
        <v>178</v>
      </c>
      <c r="AS4">
        <v>428</v>
      </c>
      <c r="AT4">
        <v>433</v>
      </c>
      <c r="AU4">
        <v>431</v>
      </c>
      <c r="AV4">
        <v>362</v>
      </c>
      <c r="AW4">
        <v>364</v>
      </c>
      <c r="AX4">
        <v>383</v>
      </c>
      <c r="AY4">
        <v>367</v>
      </c>
      <c r="AZ4">
        <v>407</v>
      </c>
      <c r="BA4">
        <v>346</v>
      </c>
      <c r="BB4">
        <v>333</v>
      </c>
      <c r="BC4">
        <v>369</v>
      </c>
      <c r="BD4">
        <v>408</v>
      </c>
      <c r="BE4">
        <v>406</v>
      </c>
      <c r="BF4">
        <v>420</v>
      </c>
      <c r="BG4">
        <v>350</v>
      </c>
      <c r="BH4">
        <v>390</v>
      </c>
      <c r="BI4">
        <v>393</v>
      </c>
      <c r="BJ4">
        <v>424</v>
      </c>
      <c r="BK4">
        <v>417</v>
      </c>
      <c r="BL4">
        <v>427.59999999999991</v>
      </c>
      <c r="BM4">
        <v>419.59999999999991</v>
      </c>
      <c r="BN4">
        <v>359</v>
      </c>
      <c r="BO4">
        <v>367</v>
      </c>
      <c r="BP4">
        <v>331.5</v>
      </c>
      <c r="BQ4">
        <v>343</v>
      </c>
      <c r="BR4">
        <v>251</v>
      </c>
      <c r="BS4">
        <v>418.30000000000018</v>
      </c>
      <c r="BT4">
        <v>385.39999999999964</v>
      </c>
      <c r="BU4">
        <v>325.39999999999964</v>
      </c>
      <c r="BV4">
        <v>350.3</v>
      </c>
      <c r="BW4">
        <v>313</v>
      </c>
      <c r="BX4">
        <v>436.30000000000018</v>
      </c>
      <c r="BY4">
        <v>426.59999999999991</v>
      </c>
      <c r="BZ4">
        <v>465</v>
      </c>
      <c r="CA4">
        <v>361</v>
      </c>
      <c r="CB4">
        <v>368</v>
      </c>
      <c r="CC4">
        <v>320</v>
      </c>
      <c r="CD4">
        <v>13</v>
      </c>
      <c r="CE4">
        <v>91</v>
      </c>
      <c r="CF4">
        <v>78</v>
      </c>
      <c r="CG4">
        <v>66.100000000000364</v>
      </c>
      <c r="CH4">
        <v>81.699999999999818</v>
      </c>
      <c r="CI4">
        <v>78</v>
      </c>
      <c r="CJ4">
        <v>118</v>
      </c>
      <c r="CK4">
        <v>155</v>
      </c>
      <c r="CL4">
        <v>100.89999999999964</v>
      </c>
      <c r="CM4">
        <v>102.89999999999964</v>
      </c>
      <c r="CN4">
        <v>106.30000000000018</v>
      </c>
      <c r="CO4">
        <v>122.30000000000018</v>
      </c>
      <c r="CP4">
        <v>135.19999999999982</v>
      </c>
      <c r="CQ4">
        <v>145.10000000000036</v>
      </c>
      <c r="CR4">
        <v>91.699999999999818</v>
      </c>
      <c r="CS4">
        <v>98.399999999999636</v>
      </c>
      <c r="CT4">
        <v>117.39999999999964</v>
      </c>
      <c r="CU4">
        <v>95.300000000000182</v>
      </c>
      <c r="CV4">
        <v>169.69999999999982</v>
      </c>
      <c r="CW4">
        <v>206</v>
      </c>
      <c r="CX4">
        <v>192.60000000000036</v>
      </c>
      <c r="CY4">
        <v>217.60000000000036</v>
      </c>
      <c r="CZ4">
        <v>189.80000000000018</v>
      </c>
      <c r="DA4">
        <v>176.30000000000018</v>
      </c>
      <c r="DB4">
        <v>274.60000000000036</v>
      </c>
      <c r="DC4">
        <v>219.10000000000036</v>
      </c>
      <c r="DD4">
        <v>144.19999999999982</v>
      </c>
      <c r="DE4">
        <v>178.10000000000036</v>
      </c>
      <c r="DF4">
        <v>154.10000000000036</v>
      </c>
      <c r="DG4">
        <v>200</v>
      </c>
      <c r="DH4">
        <v>200.10000000000036</v>
      </c>
      <c r="DI4">
        <v>221</v>
      </c>
      <c r="DJ4">
        <v>274</v>
      </c>
      <c r="DK4">
        <v>124</v>
      </c>
      <c r="DL4">
        <v>117</v>
      </c>
      <c r="DM4">
        <v>154</v>
      </c>
      <c r="DN4">
        <v>80.300000000000182</v>
      </c>
      <c r="DO4">
        <v>127</v>
      </c>
      <c r="DP4">
        <v>194</v>
      </c>
      <c r="DQ4">
        <v>241</v>
      </c>
      <c r="DR4">
        <v>256</v>
      </c>
      <c r="DS4">
        <v>215</v>
      </c>
      <c r="DT4">
        <v>322</v>
      </c>
      <c r="DU4">
        <v>341</v>
      </c>
      <c r="DV4">
        <v>258</v>
      </c>
      <c r="DW4">
        <v>296</v>
      </c>
      <c r="DX4">
        <v>330.40000000000009</v>
      </c>
      <c r="DY4">
        <v>324</v>
      </c>
      <c r="DZ4">
        <v>227.40000000000009</v>
      </c>
      <c r="EA4">
        <v>191.40000000000009</v>
      </c>
      <c r="EB4">
        <v>218</v>
      </c>
      <c r="EC4">
        <v>189</v>
      </c>
      <c r="ED4">
        <v>275.40000000000009</v>
      </c>
      <c r="EE4">
        <v>219.69999999999982</v>
      </c>
      <c r="EF4">
        <v>216</v>
      </c>
      <c r="EG4">
        <v>237.19999999999982</v>
      </c>
      <c r="EH4">
        <v>271.59999999999991</v>
      </c>
      <c r="EI4">
        <v>294.69999999999982</v>
      </c>
      <c r="EJ4">
        <v>389</v>
      </c>
      <c r="EK4">
        <v>304</v>
      </c>
      <c r="EL4">
        <v>357</v>
      </c>
      <c r="EM4">
        <v>303</v>
      </c>
    </row>
    <row r="5" spans="1:143" x14ac:dyDescent="0.2">
      <c r="A5" t="str">
        <f>Input!M5</f>
        <v>I</v>
      </c>
      <c r="B5">
        <v>21.600000000000023</v>
      </c>
      <c r="C5">
        <v>6.2999999999999545</v>
      </c>
      <c r="D5">
        <v>15.899999999999977</v>
      </c>
      <c r="E5">
        <v>29.200000000000045</v>
      </c>
      <c r="F5">
        <v>4.2999999999999545</v>
      </c>
      <c r="G5">
        <v>5</v>
      </c>
      <c r="H5">
        <v>-1.4</v>
      </c>
      <c r="I5">
        <v>5.2999999999999545</v>
      </c>
      <c r="J5">
        <v>2.6000000000000227</v>
      </c>
      <c r="K5">
        <v>8.8999999999999773</v>
      </c>
      <c r="L5">
        <v>8</v>
      </c>
      <c r="M5">
        <v>-3</v>
      </c>
      <c r="N5">
        <v>-7.5</v>
      </c>
      <c r="O5">
        <v>-12.600000000000023</v>
      </c>
      <c r="P5">
        <v>-10.5</v>
      </c>
      <c r="Q5">
        <v>-12.100000000000023</v>
      </c>
      <c r="R5">
        <v>-8.7999999999999545</v>
      </c>
      <c r="S5">
        <v>32</v>
      </c>
      <c r="T5">
        <v>29.299999999999955</v>
      </c>
      <c r="U5">
        <v>22</v>
      </c>
      <c r="V5">
        <v>22</v>
      </c>
      <c r="W5">
        <v>23.200000000000045</v>
      </c>
      <c r="X5">
        <v>28.600000000000023</v>
      </c>
      <c r="Y5">
        <v>17.200000000000045</v>
      </c>
      <c r="Z5">
        <v>3.7999999999999545</v>
      </c>
      <c r="AA5">
        <v>8.6000000000000227</v>
      </c>
      <c r="AB5">
        <v>12.5</v>
      </c>
      <c r="AC5">
        <v>8</v>
      </c>
      <c r="AD5">
        <v>1.7000000000000455</v>
      </c>
      <c r="AE5">
        <v>20.300000000000011</v>
      </c>
      <c r="AF5">
        <v>19.800000000000011</v>
      </c>
      <c r="AG5">
        <v>3.8999999999999773</v>
      </c>
      <c r="AH5">
        <v>-1.5</v>
      </c>
      <c r="AI5">
        <v>1.3000000000000114</v>
      </c>
      <c r="AJ5">
        <v>-2.1000000000000227</v>
      </c>
      <c r="AK5">
        <v>6.2000000000000455</v>
      </c>
      <c r="AL5">
        <v>12.299999999999955</v>
      </c>
      <c r="AM5">
        <v>-7.7000000000000455</v>
      </c>
      <c r="AN5">
        <v>-29.600000000000023</v>
      </c>
      <c r="AO5">
        <v>-12.899999999999977</v>
      </c>
      <c r="AP5">
        <v>-2</v>
      </c>
      <c r="AQ5">
        <v>3.1000000000000227</v>
      </c>
      <c r="AR5">
        <v>9.8000000000000114</v>
      </c>
      <c r="AS5">
        <v>-2.8999999999999773</v>
      </c>
      <c r="AT5">
        <v>-6.8000000000000114</v>
      </c>
      <c r="AU5">
        <v>11.300000000000011</v>
      </c>
      <c r="AV5">
        <v>5</v>
      </c>
      <c r="AW5">
        <v>6.6</v>
      </c>
      <c r="AX5">
        <v>14</v>
      </c>
      <c r="AY5">
        <v>22</v>
      </c>
      <c r="AZ5">
        <v>37</v>
      </c>
      <c r="BA5">
        <v>15.899999999999977</v>
      </c>
      <c r="BB5">
        <v>13</v>
      </c>
      <c r="BC5">
        <v>19</v>
      </c>
      <c r="BD5">
        <v>25</v>
      </c>
      <c r="BE5">
        <v>20</v>
      </c>
      <c r="BF5">
        <v>23.5</v>
      </c>
      <c r="BG5">
        <v>19</v>
      </c>
      <c r="BH5">
        <v>40</v>
      </c>
      <c r="BI5">
        <v>37</v>
      </c>
      <c r="BJ5">
        <v>43</v>
      </c>
      <c r="BK5">
        <v>52</v>
      </c>
      <c r="BL5">
        <v>64.899999999999977</v>
      </c>
      <c r="BM5">
        <v>59.899999999999977</v>
      </c>
      <c r="BN5">
        <v>46.300000000000011</v>
      </c>
      <c r="BO5">
        <v>42.800000000000011</v>
      </c>
      <c r="BP5">
        <v>32.899999999999977</v>
      </c>
      <c r="BQ5">
        <v>26.300000000000011</v>
      </c>
      <c r="BR5">
        <v>28</v>
      </c>
      <c r="BS5">
        <v>53.899999999999977</v>
      </c>
      <c r="BT5">
        <v>31.899999999999977</v>
      </c>
      <c r="BU5">
        <v>36.399999999999977</v>
      </c>
      <c r="BV5">
        <v>39.4</v>
      </c>
      <c r="BW5">
        <v>45.699999999999989</v>
      </c>
      <c r="BX5">
        <v>79.399999999999977</v>
      </c>
      <c r="BY5">
        <v>68.899999999999977</v>
      </c>
      <c r="BZ5">
        <v>70.899999999999977</v>
      </c>
      <c r="CA5">
        <v>60.399999999999977</v>
      </c>
      <c r="CB5">
        <v>62.799999999999955</v>
      </c>
      <c r="CC5">
        <v>54.5</v>
      </c>
      <c r="CD5">
        <v>62.5</v>
      </c>
      <c r="CE5">
        <v>66.5</v>
      </c>
      <c r="CF5">
        <v>84.5</v>
      </c>
      <c r="CG5">
        <v>84.200000000000045</v>
      </c>
      <c r="CH5">
        <v>80.399999999999977</v>
      </c>
      <c r="CI5">
        <v>78.600000000000023</v>
      </c>
      <c r="CJ5">
        <v>82.600000000000023</v>
      </c>
      <c r="CK5">
        <v>78.5</v>
      </c>
      <c r="CL5">
        <v>25.299999999999955</v>
      </c>
      <c r="CM5">
        <v>-3.6000000000000227</v>
      </c>
      <c r="CN5">
        <v>6.7000000000000455</v>
      </c>
      <c r="CO5">
        <v>28.5</v>
      </c>
      <c r="CP5">
        <v>9.8999999999999773</v>
      </c>
      <c r="CQ5">
        <v>15.100000000000023</v>
      </c>
      <c r="CR5">
        <v>5.7999999999999545</v>
      </c>
      <c r="CS5">
        <v>4.7999999999999545</v>
      </c>
      <c r="CT5">
        <v>16.399999999999977</v>
      </c>
      <c r="CU5">
        <v>-7.5</v>
      </c>
      <c r="CV5">
        <v>1.7999999999999545</v>
      </c>
      <c r="CW5">
        <v>13.799999999999955</v>
      </c>
      <c r="CX5">
        <v>20.299999999999955</v>
      </c>
      <c r="CY5">
        <v>19.700000000000045</v>
      </c>
      <c r="CZ5">
        <v>1.2000000000000455</v>
      </c>
      <c r="DA5">
        <v>-10.399999999999977</v>
      </c>
      <c r="DB5">
        <v>32</v>
      </c>
      <c r="DC5">
        <v>11</v>
      </c>
      <c r="DD5">
        <v>1.2999999999999545</v>
      </c>
      <c r="DE5">
        <v>23.700000000000045</v>
      </c>
      <c r="DF5">
        <v>6.5</v>
      </c>
      <c r="DG5">
        <v>31.799999999999955</v>
      </c>
      <c r="DH5">
        <v>39.600000000000023</v>
      </c>
      <c r="DI5">
        <v>34.100000000000023</v>
      </c>
      <c r="DJ5">
        <v>57.100000000000023</v>
      </c>
      <c r="DK5">
        <v>26.299999999999955</v>
      </c>
      <c r="DL5">
        <v>27.600000000000023</v>
      </c>
      <c r="DM5">
        <v>48</v>
      </c>
      <c r="DN5">
        <v>20.100000000000023</v>
      </c>
      <c r="DO5">
        <v>43.100000000000023</v>
      </c>
      <c r="DP5">
        <v>39.200000000000045</v>
      </c>
      <c r="DQ5">
        <v>49.200000000000045</v>
      </c>
      <c r="DR5">
        <v>43.200000000000045</v>
      </c>
      <c r="DS5">
        <v>5.5</v>
      </c>
      <c r="DT5">
        <v>49.5</v>
      </c>
      <c r="DU5">
        <v>48.5</v>
      </c>
      <c r="DV5">
        <v>51.700000000000045</v>
      </c>
      <c r="DW5">
        <v>39.799999999999955</v>
      </c>
      <c r="DX5">
        <v>58.299999999999955</v>
      </c>
      <c r="DY5">
        <v>57</v>
      </c>
      <c r="DZ5">
        <v>40.700000000000045</v>
      </c>
      <c r="EA5">
        <v>31</v>
      </c>
      <c r="EB5">
        <v>24.299999999999955</v>
      </c>
      <c r="EC5">
        <v>36.700000000000045</v>
      </c>
      <c r="ED5">
        <v>55.700000000000045</v>
      </c>
      <c r="EE5">
        <v>44.700000000000045</v>
      </c>
      <c r="EF5">
        <v>42.200000000000045</v>
      </c>
      <c r="EG5">
        <v>35.299999999999955</v>
      </c>
      <c r="EH5">
        <v>39.700000000000045</v>
      </c>
      <c r="EI5">
        <v>39.100000000000023</v>
      </c>
      <c r="EJ5">
        <v>54.100000000000023</v>
      </c>
      <c r="EK5">
        <v>42.600000000000023</v>
      </c>
      <c r="EL5">
        <v>50.799999999999955</v>
      </c>
      <c r="EM5">
        <v>33.100000000000023</v>
      </c>
    </row>
    <row r="6" spans="1:143" x14ac:dyDescent="0.2">
      <c r="A6" t="str">
        <f>Input!M6</f>
        <v>P</v>
      </c>
      <c r="B6">
        <v>-100</v>
      </c>
      <c r="C6">
        <v>-104</v>
      </c>
      <c r="D6">
        <v>-96</v>
      </c>
      <c r="E6">
        <v>-104</v>
      </c>
      <c r="F6">
        <v>-96</v>
      </c>
      <c r="G6">
        <v>-96</v>
      </c>
      <c r="H6">
        <v>-96</v>
      </c>
      <c r="I6">
        <v>-124</v>
      </c>
      <c r="J6">
        <v>-122</v>
      </c>
      <c r="K6">
        <v>-116</v>
      </c>
      <c r="L6">
        <v>-120</v>
      </c>
      <c r="M6">
        <v>-120</v>
      </c>
      <c r="N6">
        <v>-96</v>
      </c>
      <c r="O6">
        <v>-100</v>
      </c>
      <c r="P6">
        <v>-110</v>
      </c>
      <c r="Q6">
        <v>-134</v>
      </c>
      <c r="R6">
        <v>-132</v>
      </c>
      <c r="S6">
        <v>72</v>
      </c>
      <c r="T6">
        <v>100</v>
      </c>
      <c r="U6">
        <v>102</v>
      </c>
      <c r="V6">
        <v>74</v>
      </c>
      <c r="W6">
        <v>62</v>
      </c>
      <c r="X6">
        <v>50</v>
      </c>
      <c r="Y6">
        <v>68</v>
      </c>
      <c r="Z6">
        <v>2</v>
      </c>
      <c r="AA6">
        <v>24</v>
      </c>
      <c r="AB6">
        <v>-16</v>
      </c>
      <c r="AC6">
        <v>2</v>
      </c>
      <c r="AD6">
        <v>4</v>
      </c>
      <c r="AE6">
        <v>-2</v>
      </c>
      <c r="AF6">
        <v>86</v>
      </c>
      <c r="AG6">
        <v>0</v>
      </c>
      <c r="AH6">
        <v>4</v>
      </c>
      <c r="AI6">
        <v>0</v>
      </c>
      <c r="AJ6">
        <v>-2</v>
      </c>
      <c r="AK6">
        <v>22</v>
      </c>
      <c r="AL6">
        <v>2</v>
      </c>
      <c r="AM6">
        <v>6</v>
      </c>
      <c r="AN6">
        <v>-10</v>
      </c>
      <c r="AO6">
        <v>4</v>
      </c>
      <c r="AP6">
        <v>4</v>
      </c>
      <c r="AQ6">
        <v>30</v>
      </c>
      <c r="AR6">
        <v>22</v>
      </c>
      <c r="AS6">
        <v>56</v>
      </c>
      <c r="AT6">
        <v>76</v>
      </c>
      <c r="AU6">
        <v>66</v>
      </c>
      <c r="AV6">
        <v>70</v>
      </c>
      <c r="AW6">
        <v>60</v>
      </c>
      <c r="AX6">
        <v>56</v>
      </c>
      <c r="AY6">
        <v>84</v>
      </c>
      <c r="AZ6">
        <v>82</v>
      </c>
      <c r="BA6">
        <v>48</v>
      </c>
      <c r="BB6">
        <v>74</v>
      </c>
      <c r="BC6">
        <v>62</v>
      </c>
      <c r="BD6">
        <v>42</v>
      </c>
      <c r="BE6">
        <v>62</v>
      </c>
      <c r="BF6">
        <v>54</v>
      </c>
      <c r="BG6">
        <v>74</v>
      </c>
      <c r="BH6">
        <v>66</v>
      </c>
      <c r="BI6">
        <v>44</v>
      </c>
      <c r="BJ6">
        <v>52</v>
      </c>
      <c r="BK6">
        <v>48</v>
      </c>
      <c r="BL6">
        <v>30</v>
      </c>
      <c r="BM6">
        <v>54</v>
      </c>
      <c r="BN6">
        <v>70</v>
      </c>
      <c r="BO6">
        <v>74</v>
      </c>
      <c r="BP6">
        <v>74</v>
      </c>
      <c r="BQ6">
        <v>80</v>
      </c>
      <c r="BR6">
        <v>68</v>
      </c>
      <c r="BS6">
        <v>132</v>
      </c>
      <c r="BT6">
        <v>298</v>
      </c>
      <c r="BU6">
        <v>96</v>
      </c>
      <c r="BV6">
        <v>118</v>
      </c>
      <c r="BW6">
        <v>128</v>
      </c>
      <c r="BX6">
        <v>96</v>
      </c>
      <c r="BY6">
        <v>104</v>
      </c>
      <c r="BZ6">
        <v>110</v>
      </c>
      <c r="CA6">
        <v>84</v>
      </c>
      <c r="CB6">
        <v>74</v>
      </c>
      <c r="CC6">
        <v>42</v>
      </c>
      <c r="CD6">
        <v>70</v>
      </c>
      <c r="CE6">
        <v>72</v>
      </c>
      <c r="CF6">
        <v>76</v>
      </c>
      <c r="CG6">
        <v>42</v>
      </c>
      <c r="CH6">
        <v>72</v>
      </c>
      <c r="CI6">
        <v>40</v>
      </c>
      <c r="CJ6">
        <v>58</v>
      </c>
      <c r="CK6">
        <v>60</v>
      </c>
      <c r="CL6">
        <v>50</v>
      </c>
      <c r="CM6">
        <v>-10</v>
      </c>
      <c r="CN6">
        <v>22</v>
      </c>
      <c r="CO6">
        <v>150</v>
      </c>
      <c r="CP6">
        <v>60</v>
      </c>
      <c r="CQ6">
        <v>50</v>
      </c>
      <c r="CR6">
        <v>30</v>
      </c>
      <c r="CS6">
        <v>118</v>
      </c>
      <c r="CT6">
        <v>70</v>
      </c>
      <c r="CU6">
        <v>100</v>
      </c>
      <c r="CV6">
        <v>110</v>
      </c>
      <c r="CW6">
        <v>104</v>
      </c>
      <c r="CX6">
        <v>114</v>
      </c>
      <c r="CY6">
        <v>106</v>
      </c>
      <c r="CZ6">
        <v>60</v>
      </c>
      <c r="DA6">
        <v>80</v>
      </c>
      <c r="DB6">
        <v>94</v>
      </c>
      <c r="DC6">
        <v>86</v>
      </c>
      <c r="DD6">
        <v>120</v>
      </c>
      <c r="DE6">
        <v>156</v>
      </c>
      <c r="DF6">
        <v>164</v>
      </c>
      <c r="DG6">
        <v>174</v>
      </c>
      <c r="DH6">
        <v>160</v>
      </c>
      <c r="DI6">
        <v>128</v>
      </c>
      <c r="DJ6">
        <v>176</v>
      </c>
      <c r="DK6">
        <v>158</v>
      </c>
      <c r="DL6">
        <v>154</v>
      </c>
      <c r="DM6">
        <v>164</v>
      </c>
      <c r="DN6">
        <v>162</v>
      </c>
      <c r="DO6">
        <v>156</v>
      </c>
      <c r="DP6">
        <v>162</v>
      </c>
      <c r="DQ6">
        <v>162</v>
      </c>
      <c r="DR6">
        <v>128</v>
      </c>
      <c r="DS6">
        <v>164</v>
      </c>
      <c r="DT6">
        <v>204</v>
      </c>
      <c r="DU6">
        <v>188</v>
      </c>
      <c r="DV6">
        <v>184</v>
      </c>
      <c r="DW6">
        <v>186</v>
      </c>
      <c r="DX6">
        <v>222</v>
      </c>
      <c r="DY6">
        <v>202</v>
      </c>
      <c r="DZ6">
        <v>184</v>
      </c>
      <c r="EA6">
        <v>208</v>
      </c>
      <c r="EB6">
        <v>234</v>
      </c>
      <c r="EC6">
        <v>164</v>
      </c>
      <c r="ED6">
        <v>236</v>
      </c>
      <c r="EE6">
        <v>226</v>
      </c>
      <c r="EF6">
        <v>202</v>
      </c>
      <c r="EG6">
        <v>220</v>
      </c>
      <c r="EH6">
        <v>210</v>
      </c>
      <c r="EI6">
        <v>256</v>
      </c>
      <c r="EJ6">
        <v>224</v>
      </c>
      <c r="EK6">
        <v>238</v>
      </c>
      <c r="EL6">
        <v>282</v>
      </c>
      <c r="EM6">
        <v>268</v>
      </c>
    </row>
    <row r="7" spans="1:143" x14ac:dyDescent="0.2">
      <c r="A7" t="str">
        <f>Input!M7</f>
        <v>RM</v>
      </c>
      <c r="B7">
        <v>-47</v>
      </c>
      <c r="C7">
        <v>-58</v>
      </c>
      <c r="D7">
        <v>-9</v>
      </c>
      <c r="E7">
        <v>-32</v>
      </c>
      <c r="F7">
        <v>-50</v>
      </c>
      <c r="G7">
        <v>-44</v>
      </c>
      <c r="H7">
        <v>-25</v>
      </c>
      <c r="I7">
        <v>-27</v>
      </c>
      <c r="J7">
        <v>-14</v>
      </c>
      <c r="K7">
        <v>-30</v>
      </c>
      <c r="L7">
        <v>3</v>
      </c>
      <c r="M7">
        <v>-16</v>
      </c>
      <c r="N7">
        <v>-30</v>
      </c>
      <c r="O7">
        <v>-44</v>
      </c>
      <c r="P7">
        <v>-15</v>
      </c>
      <c r="Q7">
        <v>-28</v>
      </c>
      <c r="R7">
        <v>-21</v>
      </c>
      <c r="S7">
        <v>-93</v>
      </c>
      <c r="T7">
        <v>-57</v>
      </c>
      <c r="U7">
        <v>-73</v>
      </c>
      <c r="V7">
        <v>-79</v>
      </c>
      <c r="W7">
        <v>-100</v>
      </c>
      <c r="X7">
        <v>-70</v>
      </c>
      <c r="Y7">
        <v>-90</v>
      </c>
      <c r="Z7">
        <v>-57</v>
      </c>
      <c r="AA7">
        <v>-53</v>
      </c>
      <c r="AB7">
        <v>-46</v>
      </c>
      <c r="AC7">
        <v>-62</v>
      </c>
      <c r="AD7">
        <v>-58</v>
      </c>
      <c r="AE7">
        <v>-41</v>
      </c>
      <c r="AF7">
        <v>-35</v>
      </c>
      <c r="AG7">
        <v>-91</v>
      </c>
      <c r="AH7">
        <v>-9</v>
      </c>
      <c r="AI7">
        <v>-6</v>
      </c>
      <c r="AJ7">
        <v>-19</v>
      </c>
      <c r="AK7">
        <v>-31</v>
      </c>
      <c r="AL7">
        <v>-36</v>
      </c>
      <c r="AM7">
        <v>-13</v>
      </c>
      <c r="AN7">
        <v>-48</v>
      </c>
      <c r="AO7">
        <v>5</v>
      </c>
      <c r="AP7">
        <v>-13</v>
      </c>
      <c r="AQ7">
        <v>17</v>
      </c>
      <c r="AR7">
        <v>13</v>
      </c>
      <c r="AS7">
        <v>6</v>
      </c>
      <c r="AT7">
        <v>-1</v>
      </c>
      <c r="AU7">
        <v>6</v>
      </c>
      <c r="AV7">
        <v>46</v>
      </c>
      <c r="AW7">
        <v>-2</v>
      </c>
      <c r="AX7">
        <v>24</v>
      </c>
      <c r="AY7">
        <v>35</v>
      </c>
      <c r="AZ7">
        <v>27</v>
      </c>
      <c r="BA7">
        <v>57</v>
      </c>
      <c r="BB7">
        <v>59</v>
      </c>
      <c r="BC7">
        <v>60</v>
      </c>
      <c r="BD7">
        <v>59</v>
      </c>
      <c r="BE7">
        <v>59</v>
      </c>
      <c r="BF7">
        <v>67</v>
      </c>
      <c r="BG7">
        <v>80</v>
      </c>
      <c r="BH7">
        <v>80</v>
      </c>
      <c r="BI7">
        <v>80</v>
      </c>
      <c r="BJ7">
        <v>100</v>
      </c>
      <c r="BK7">
        <v>100</v>
      </c>
      <c r="BL7">
        <v>100</v>
      </c>
      <c r="BM7">
        <v>100</v>
      </c>
      <c r="BN7">
        <v>100</v>
      </c>
      <c r="BO7">
        <v>100</v>
      </c>
      <c r="BP7">
        <v>100</v>
      </c>
      <c r="BQ7">
        <v>100</v>
      </c>
      <c r="BR7">
        <v>95</v>
      </c>
      <c r="BS7">
        <v>120</v>
      </c>
      <c r="BT7">
        <v>120</v>
      </c>
      <c r="BU7">
        <v>120</v>
      </c>
      <c r="BV7">
        <v>132</v>
      </c>
      <c r="BW7">
        <v>130</v>
      </c>
      <c r="BX7">
        <v>150</v>
      </c>
      <c r="BY7">
        <v>150</v>
      </c>
      <c r="BZ7">
        <v>176</v>
      </c>
      <c r="CA7">
        <v>120</v>
      </c>
      <c r="CB7">
        <v>120</v>
      </c>
      <c r="CC7">
        <v>120</v>
      </c>
      <c r="CD7">
        <v>120</v>
      </c>
      <c r="CE7">
        <v>130</v>
      </c>
      <c r="CF7">
        <v>130</v>
      </c>
      <c r="CG7">
        <v>130</v>
      </c>
      <c r="CH7">
        <v>181</v>
      </c>
      <c r="CI7">
        <v>180</v>
      </c>
      <c r="CJ7">
        <v>184</v>
      </c>
      <c r="CK7">
        <v>166</v>
      </c>
      <c r="CL7">
        <v>85</v>
      </c>
      <c r="CM7">
        <v>-22</v>
      </c>
      <c r="CN7">
        <v>22</v>
      </c>
      <c r="CO7">
        <v>165</v>
      </c>
      <c r="CP7">
        <v>165</v>
      </c>
      <c r="CQ7">
        <v>114</v>
      </c>
      <c r="CR7">
        <v>14</v>
      </c>
      <c r="CS7">
        <v>94</v>
      </c>
      <c r="CT7">
        <v>101</v>
      </c>
      <c r="CU7">
        <v>107</v>
      </c>
      <c r="CV7">
        <v>66</v>
      </c>
      <c r="CW7">
        <v>25</v>
      </c>
      <c r="CX7">
        <v>29</v>
      </c>
      <c r="CY7">
        <v>21</v>
      </c>
      <c r="CZ7">
        <v>27</v>
      </c>
      <c r="DA7">
        <v>20</v>
      </c>
      <c r="DB7">
        <v>17</v>
      </c>
      <c r="DC7">
        <v>6</v>
      </c>
      <c r="DD7">
        <v>13</v>
      </c>
      <c r="DE7">
        <v>30</v>
      </c>
      <c r="DF7">
        <v>30</v>
      </c>
      <c r="DG7">
        <v>30</v>
      </c>
      <c r="DH7">
        <v>55</v>
      </c>
      <c r="DI7">
        <v>45</v>
      </c>
      <c r="DJ7">
        <v>66</v>
      </c>
      <c r="DK7">
        <v>0</v>
      </c>
      <c r="DL7">
        <v>0</v>
      </c>
      <c r="DM7">
        <v>0</v>
      </c>
      <c r="DN7">
        <v>50</v>
      </c>
      <c r="DO7">
        <v>50</v>
      </c>
      <c r="DP7">
        <v>50</v>
      </c>
      <c r="DQ7">
        <v>30</v>
      </c>
      <c r="DR7">
        <v>30</v>
      </c>
      <c r="DS7">
        <v>30</v>
      </c>
      <c r="DT7">
        <v>0</v>
      </c>
      <c r="DU7">
        <v>0</v>
      </c>
      <c r="DV7">
        <v>0</v>
      </c>
      <c r="DW7">
        <v>0</v>
      </c>
      <c r="DX7">
        <v>0</v>
      </c>
      <c r="DY7">
        <v>12</v>
      </c>
      <c r="DZ7">
        <v>15</v>
      </c>
      <c r="EA7">
        <v>8</v>
      </c>
      <c r="EB7">
        <v>13</v>
      </c>
      <c r="EC7">
        <v>14</v>
      </c>
      <c r="ED7">
        <v>20</v>
      </c>
      <c r="EE7">
        <v>20</v>
      </c>
      <c r="EF7">
        <v>20</v>
      </c>
      <c r="EG7">
        <v>20</v>
      </c>
      <c r="EH7">
        <v>20</v>
      </c>
      <c r="EI7">
        <v>20</v>
      </c>
      <c r="EJ7">
        <v>112</v>
      </c>
      <c r="EK7">
        <v>113</v>
      </c>
      <c r="EL7">
        <v>85</v>
      </c>
      <c r="EM7">
        <v>-1</v>
      </c>
    </row>
    <row r="8" spans="1:143" x14ac:dyDescent="0.2">
      <c r="A8" t="str">
        <f>Input!M8</f>
        <v>ZN</v>
      </c>
      <c r="B8">
        <v>-40</v>
      </c>
      <c r="C8">
        <v>-50</v>
      </c>
      <c r="D8">
        <v>-25</v>
      </c>
      <c r="E8">
        <v>-15</v>
      </c>
      <c r="F8">
        <v>-45</v>
      </c>
      <c r="G8">
        <v>5</v>
      </c>
      <c r="H8">
        <v>-25</v>
      </c>
      <c r="I8">
        <v>15</v>
      </c>
      <c r="J8">
        <v>115</v>
      </c>
      <c r="K8">
        <v>-90</v>
      </c>
      <c r="L8">
        <v>-85</v>
      </c>
      <c r="M8">
        <v>-60</v>
      </c>
      <c r="N8">
        <v>5</v>
      </c>
      <c r="O8">
        <v>-25</v>
      </c>
      <c r="P8">
        <v>45</v>
      </c>
      <c r="Q8">
        <v>75</v>
      </c>
      <c r="R8">
        <v>45</v>
      </c>
      <c r="S8">
        <v>75</v>
      </c>
      <c r="T8">
        <v>-100</v>
      </c>
      <c r="U8">
        <v>-15</v>
      </c>
      <c r="V8">
        <v>-15</v>
      </c>
      <c r="W8">
        <v>-15</v>
      </c>
      <c r="X8">
        <v>45</v>
      </c>
      <c r="Y8">
        <v>180</v>
      </c>
      <c r="Z8">
        <v>50</v>
      </c>
      <c r="AA8">
        <v>115</v>
      </c>
      <c r="AB8">
        <v>70</v>
      </c>
      <c r="AC8">
        <v>200</v>
      </c>
      <c r="AD8">
        <v>120</v>
      </c>
      <c r="AE8">
        <v>105</v>
      </c>
      <c r="AF8">
        <v>235</v>
      </c>
      <c r="AG8">
        <v>245</v>
      </c>
      <c r="AH8">
        <v>215</v>
      </c>
      <c r="AI8">
        <v>325</v>
      </c>
      <c r="AJ8">
        <v>15</v>
      </c>
      <c r="AK8">
        <v>125</v>
      </c>
      <c r="AL8">
        <v>230</v>
      </c>
      <c r="AM8">
        <v>195</v>
      </c>
      <c r="AN8">
        <v>60</v>
      </c>
      <c r="AO8">
        <v>210</v>
      </c>
      <c r="AP8">
        <v>90</v>
      </c>
      <c r="AQ8">
        <v>50</v>
      </c>
      <c r="AR8">
        <v>140</v>
      </c>
      <c r="AS8">
        <v>220</v>
      </c>
      <c r="AT8">
        <v>135</v>
      </c>
      <c r="AU8">
        <v>155</v>
      </c>
      <c r="AV8">
        <v>165</v>
      </c>
      <c r="AW8">
        <v>225</v>
      </c>
      <c r="AX8">
        <v>160</v>
      </c>
      <c r="AY8">
        <v>380</v>
      </c>
      <c r="AZ8">
        <v>250</v>
      </c>
      <c r="BA8">
        <v>220</v>
      </c>
      <c r="BB8">
        <v>245</v>
      </c>
      <c r="BC8">
        <v>280</v>
      </c>
      <c r="BD8">
        <v>360</v>
      </c>
      <c r="BE8">
        <v>285</v>
      </c>
      <c r="BF8">
        <v>110</v>
      </c>
      <c r="BG8">
        <v>-80</v>
      </c>
      <c r="BH8">
        <v>-100</v>
      </c>
      <c r="BI8">
        <v>-45</v>
      </c>
      <c r="BJ8">
        <v>70</v>
      </c>
      <c r="BK8">
        <v>95</v>
      </c>
      <c r="BL8">
        <v>-35</v>
      </c>
      <c r="BM8">
        <v>65</v>
      </c>
      <c r="BN8">
        <v>165</v>
      </c>
      <c r="BO8">
        <v>370</v>
      </c>
      <c r="BP8">
        <v>275</v>
      </c>
      <c r="BQ8">
        <v>305</v>
      </c>
      <c r="BR8">
        <v>70</v>
      </c>
      <c r="BS8">
        <v>300</v>
      </c>
      <c r="BT8">
        <v>285</v>
      </c>
      <c r="BU8">
        <v>225</v>
      </c>
      <c r="BV8">
        <v>250</v>
      </c>
      <c r="BW8">
        <v>245</v>
      </c>
      <c r="BX8">
        <v>360</v>
      </c>
      <c r="BY8">
        <v>515</v>
      </c>
      <c r="BZ8">
        <v>620</v>
      </c>
      <c r="CA8">
        <v>10</v>
      </c>
      <c r="CB8">
        <v>130</v>
      </c>
      <c r="CC8">
        <v>210</v>
      </c>
      <c r="CD8">
        <v>405</v>
      </c>
      <c r="CE8">
        <v>420</v>
      </c>
      <c r="CF8">
        <v>465</v>
      </c>
      <c r="CG8">
        <v>310</v>
      </c>
      <c r="CH8">
        <v>270</v>
      </c>
      <c r="CI8">
        <v>295</v>
      </c>
      <c r="CJ8">
        <v>320</v>
      </c>
      <c r="CK8">
        <v>570</v>
      </c>
      <c r="CL8">
        <v>250</v>
      </c>
      <c r="CM8">
        <v>515</v>
      </c>
      <c r="CN8">
        <v>220</v>
      </c>
      <c r="CO8">
        <v>315</v>
      </c>
      <c r="CP8">
        <v>460</v>
      </c>
      <c r="CQ8">
        <v>60</v>
      </c>
      <c r="CR8">
        <v>40</v>
      </c>
      <c r="CS8">
        <v>110</v>
      </c>
      <c r="CT8">
        <v>150</v>
      </c>
      <c r="CU8">
        <v>10</v>
      </c>
      <c r="CV8">
        <v>125</v>
      </c>
      <c r="CW8">
        <v>270</v>
      </c>
      <c r="CX8">
        <v>390</v>
      </c>
      <c r="CY8">
        <v>315</v>
      </c>
      <c r="CZ8">
        <v>260</v>
      </c>
      <c r="DA8">
        <v>550</v>
      </c>
      <c r="DB8">
        <v>115</v>
      </c>
      <c r="DC8">
        <v>255</v>
      </c>
      <c r="DD8">
        <v>235</v>
      </c>
      <c r="DE8">
        <v>280</v>
      </c>
      <c r="DF8">
        <v>320</v>
      </c>
      <c r="DG8">
        <v>355</v>
      </c>
      <c r="DH8">
        <v>-90</v>
      </c>
      <c r="DI8">
        <v>0</v>
      </c>
      <c r="DJ8">
        <v>105</v>
      </c>
      <c r="DK8">
        <v>80</v>
      </c>
      <c r="DL8">
        <v>15</v>
      </c>
      <c r="DM8">
        <v>180</v>
      </c>
      <c r="DN8">
        <v>50</v>
      </c>
      <c r="DO8">
        <v>55</v>
      </c>
      <c r="DP8">
        <v>100</v>
      </c>
      <c r="DQ8">
        <v>10</v>
      </c>
      <c r="DR8">
        <v>-5</v>
      </c>
      <c r="DS8">
        <v>25</v>
      </c>
      <c r="DT8">
        <v>25</v>
      </c>
      <c r="DU8">
        <v>-10</v>
      </c>
      <c r="DV8">
        <v>15</v>
      </c>
      <c r="DW8">
        <v>-75</v>
      </c>
      <c r="DX8">
        <v>-160</v>
      </c>
      <c r="DY8">
        <v>90</v>
      </c>
      <c r="DZ8">
        <v>-40</v>
      </c>
      <c r="EA8">
        <v>-5</v>
      </c>
      <c r="EB8">
        <v>110</v>
      </c>
      <c r="EC8">
        <v>-210</v>
      </c>
      <c r="ED8">
        <v>25</v>
      </c>
      <c r="EE8">
        <v>70</v>
      </c>
      <c r="EF8">
        <v>25</v>
      </c>
      <c r="EG8">
        <v>225</v>
      </c>
      <c r="EH8">
        <v>190</v>
      </c>
      <c r="EI8">
        <v>150</v>
      </c>
      <c r="EJ8">
        <v>295</v>
      </c>
      <c r="EK8">
        <v>180</v>
      </c>
      <c r="EL8">
        <v>160</v>
      </c>
      <c r="EM8">
        <v>-100</v>
      </c>
    </row>
    <row r="9" spans="1:143" x14ac:dyDescent="0.2">
      <c r="A9" t="str">
        <f>Input!M9</f>
        <v>HC</v>
      </c>
      <c r="B9">
        <v>157</v>
      </c>
      <c r="C9">
        <v>163</v>
      </c>
      <c r="D9">
        <v>154</v>
      </c>
      <c r="E9">
        <v>203</v>
      </c>
      <c r="F9">
        <v>195</v>
      </c>
      <c r="G9">
        <v>227</v>
      </c>
      <c r="H9">
        <v>214</v>
      </c>
      <c r="I9">
        <v>246</v>
      </c>
      <c r="J9">
        <v>244</v>
      </c>
      <c r="K9">
        <v>271</v>
      </c>
      <c r="L9">
        <v>335</v>
      </c>
      <c r="M9">
        <v>310</v>
      </c>
      <c r="N9">
        <v>289</v>
      </c>
      <c r="O9">
        <v>331</v>
      </c>
      <c r="P9">
        <v>404</v>
      </c>
      <c r="Q9">
        <v>385</v>
      </c>
      <c r="R9">
        <v>378</v>
      </c>
      <c r="S9">
        <v>80</v>
      </c>
      <c r="T9">
        <v>63</v>
      </c>
      <c r="U9">
        <v>75</v>
      </c>
      <c r="V9">
        <v>134</v>
      </c>
      <c r="W9">
        <v>118</v>
      </c>
      <c r="X9">
        <v>130</v>
      </c>
      <c r="Y9">
        <v>160</v>
      </c>
      <c r="Z9">
        <v>169</v>
      </c>
      <c r="AA9">
        <v>160</v>
      </c>
      <c r="AB9">
        <v>166</v>
      </c>
      <c r="AC9">
        <v>212</v>
      </c>
      <c r="AD9">
        <v>206</v>
      </c>
      <c r="AE9">
        <v>139</v>
      </c>
      <c r="AF9">
        <v>144</v>
      </c>
      <c r="AG9">
        <v>146</v>
      </c>
      <c r="AH9">
        <v>154</v>
      </c>
      <c r="AI9">
        <v>122</v>
      </c>
      <c r="AJ9">
        <v>84</v>
      </c>
      <c r="AK9">
        <v>119</v>
      </c>
      <c r="AL9">
        <v>123</v>
      </c>
      <c r="AM9">
        <v>58</v>
      </c>
      <c r="AN9">
        <v>62</v>
      </c>
      <c r="AO9">
        <v>107</v>
      </c>
      <c r="AP9">
        <v>50</v>
      </c>
      <c r="AQ9">
        <v>68</v>
      </c>
      <c r="AR9">
        <v>27</v>
      </c>
      <c r="AS9">
        <v>80</v>
      </c>
      <c r="AT9">
        <v>112</v>
      </c>
      <c r="AU9">
        <v>104</v>
      </c>
      <c r="AV9">
        <v>9</v>
      </c>
      <c r="AW9">
        <v>67</v>
      </c>
      <c r="AX9">
        <v>95</v>
      </c>
      <c r="AY9">
        <v>67</v>
      </c>
      <c r="AZ9">
        <v>79</v>
      </c>
      <c r="BA9">
        <v>34</v>
      </c>
      <c r="BB9">
        <v>29</v>
      </c>
      <c r="BC9">
        <v>37</v>
      </c>
      <c r="BD9">
        <v>152</v>
      </c>
      <c r="BE9">
        <v>77</v>
      </c>
      <c r="BF9">
        <v>127</v>
      </c>
      <c r="BG9">
        <v>53</v>
      </c>
      <c r="BH9">
        <v>100</v>
      </c>
      <c r="BI9">
        <v>139</v>
      </c>
      <c r="BJ9">
        <v>167</v>
      </c>
      <c r="BK9">
        <v>73</v>
      </c>
      <c r="BL9">
        <v>140</v>
      </c>
      <c r="BM9">
        <v>164</v>
      </c>
      <c r="BN9">
        <v>72</v>
      </c>
      <c r="BO9">
        <v>144</v>
      </c>
      <c r="BP9">
        <v>132</v>
      </c>
      <c r="BQ9">
        <v>163</v>
      </c>
      <c r="BR9">
        <v>13</v>
      </c>
      <c r="BS9">
        <v>150</v>
      </c>
      <c r="BT9">
        <v>118</v>
      </c>
      <c r="BU9">
        <v>61</v>
      </c>
      <c r="BV9">
        <v>29</v>
      </c>
      <c r="BW9">
        <v>88</v>
      </c>
      <c r="BX9">
        <v>124</v>
      </c>
      <c r="BY9">
        <v>131</v>
      </c>
      <c r="BZ9">
        <v>170</v>
      </c>
      <c r="CA9">
        <v>70</v>
      </c>
      <c r="CB9">
        <v>81</v>
      </c>
      <c r="CC9">
        <v>13</v>
      </c>
      <c r="CD9">
        <v>-31</v>
      </c>
      <c r="CE9">
        <v>41</v>
      </c>
      <c r="CF9">
        <v>51</v>
      </c>
      <c r="CG9">
        <v>3</v>
      </c>
      <c r="CH9">
        <v>12</v>
      </c>
      <c r="CI9">
        <v>8</v>
      </c>
      <c r="CJ9">
        <v>42</v>
      </c>
      <c r="CK9">
        <v>-29</v>
      </c>
      <c r="CL9">
        <v>-30</v>
      </c>
      <c r="CM9">
        <v>5</v>
      </c>
      <c r="CN9">
        <v>20</v>
      </c>
      <c r="CO9">
        <v>-30</v>
      </c>
      <c r="CP9">
        <v>-14</v>
      </c>
      <c r="CQ9">
        <v>-19</v>
      </c>
      <c r="CR9">
        <v>-87</v>
      </c>
      <c r="CS9">
        <v>-54</v>
      </c>
      <c r="CT9">
        <v>-12</v>
      </c>
      <c r="CU9">
        <v>-148</v>
      </c>
      <c r="CV9">
        <v>-16</v>
      </c>
      <c r="CW9">
        <v>16</v>
      </c>
      <c r="CX9">
        <v>48</v>
      </c>
      <c r="CY9">
        <v>26</v>
      </c>
      <c r="CZ9">
        <v>-33</v>
      </c>
      <c r="DA9">
        <v>-14</v>
      </c>
      <c r="DB9">
        <v>123</v>
      </c>
      <c r="DC9">
        <v>50</v>
      </c>
      <c r="DD9">
        <v>4</v>
      </c>
      <c r="DE9">
        <v>90</v>
      </c>
      <c r="DF9">
        <v>67</v>
      </c>
      <c r="DG9">
        <v>92</v>
      </c>
      <c r="DH9">
        <v>19</v>
      </c>
      <c r="DI9">
        <v>70</v>
      </c>
      <c r="DJ9">
        <v>107</v>
      </c>
      <c r="DK9">
        <v>1</v>
      </c>
      <c r="DL9">
        <v>63</v>
      </c>
      <c r="DM9">
        <v>121</v>
      </c>
      <c r="DN9">
        <v>45</v>
      </c>
      <c r="DO9">
        <v>16</v>
      </c>
      <c r="DP9">
        <v>57</v>
      </c>
      <c r="DQ9">
        <v>62</v>
      </c>
      <c r="DR9">
        <v>77</v>
      </c>
      <c r="DS9">
        <v>-12</v>
      </c>
      <c r="DT9">
        <v>137</v>
      </c>
      <c r="DU9">
        <v>172</v>
      </c>
      <c r="DV9">
        <v>106</v>
      </c>
      <c r="DW9">
        <v>118</v>
      </c>
      <c r="DX9">
        <v>161</v>
      </c>
      <c r="DY9">
        <v>117</v>
      </c>
      <c r="DZ9">
        <v>98</v>
      </c>
      <c r="EA9">
        <v>81</v>
      </c>
      <c r="EB9">
        <v>129</v>
      </c>
      <c r="EC9">
        <v>68</v>
      </c>
      <c r="ED9">
        <v>144</v>
      </c>
      <c r="EE9">
        <v>61</v>
      </c>
      <c r="EF9">
        <v>75</v>
      </c>
      <c r="EG9">
        <v>86</v>
      </c>
      <c r="EH9">
        <v>112</v>
      </c>
      <c r="EI9">
        <v>135</v>
      </c>
      <c r="EJ9">
        <v>224</v>
      </c>
      <c r="EK9">
        <v>147</v>
      </c>
      <c r="EL9">
        <v>164</v>
      </c>
      <c r="EM9">
        <v>83</v>
      </c>
    </row>
    <row r="10" spans="1:143" x14ac:dyDescent="0.2">
      <c r="A10" t="str">
        <f>Input!M10</f>
        <v>A</v>
      </c>
      <c r="B10">
        <v>127</v>
      </c>
      <c r="C10">
        <v>113</v>
      </c>
      <c r="D10">
        <v>119</v>
      </c>
      <c r="E10">
        <v>129</v>
      </c>
      <c r="F10">
        <v>114</v>
      </c>
      <c r="G10">
        <v>108</v>
      </c>
      <c r="H10">
        <v>48</v>
      </c>
      <c r="I10">
        <v>44</v>
      </c>
      <c r="J10">
        <v>75</v>
      </c>
      <c r="K10">
        <v>29</v>
      </c>
      <c r="L10">
        <v>56</v>
      </c>
      <c r="M10">
        <v>40</v>
      </c>
      <c r="N10">
        <v>16</v>
      </c>
      <c r="O10">
        <v>0</v>
      </c>
      <c r="P10">
        <v>22</v>
      </c>
      <c r="Q10">
        <v>30</v>
      </c>
      <c r="R10">
        <v>48</v>
      </c>
      <c r="S10">
        <v>642</v>
      </c>
      <c r="T10">
        <v>651</v>
      </c>
      <c r="U10">
        <v>654</v>
      </c>
      <c r="V10">
        <v>545</v>
      </c>
      <c r="W10">
        <v>418</v>
      </c>
      <c r="X10">
        <v>402</v>
      </c>
      <c r="Y10">
        <v>368</v>
      </c>
      <c r="Z10">
        <v>412</v>
      </c>
      <c r="AA10">
        <v>251</v>
      </c>
      <c r="AB10">
        <v>241</v>
      </c>
      <c r="AC10">
        <v>241</v>
      </c>
      <c r="AD10">
        <v>223</v>
      </c>
      <c r="AE10">
        <v>237</v>
      </c>
      <c r="AF10">
        <v>227</v>
      </c>
      <c r="AG10">
        <v>210</v>
      </c>
      <c r="AH10">
        <v>207</v>
      </c>
      <c r="AI10">
        <v>238</v>
      </c>
      <c r="AJ10">
        <v>258</v>
      </c>
      <c r="AK10">
        <v>225</v>
      </c>
      <c r="AL10">
        <v>121</v>
      </c>
      <c r="AM10">
        <v>128</v>
      </c>
      <c r="AN10">
        <v>109</v>
      </c>
      <c r="AO10">
        <v>116</v>
      </c>
      <c r="AP10">
        <v>109</v>
      </c>
      <c r="AQ10">
        <v>55</v>
      </c>
      <c r="AR10">
        <v>36</v>
      </c>
      <c r="AS10">
        <v>42</v>
      </c>
      <c r="AT10">
        <v>22</v>
      </c>
      <c r="AU10">
        <v>12</v>
      </c>
      <c r="AV10">
        <v>32</v>
      </c>
      <c r="AW10">
        <v>62</v>
      </c>
      <c r="AX10">
        <v>86</v>
      </c>
      <c r="AY10">
        <v>83</v>
      </c>
      <c r="AZ10">
        <v>86</v>
      </c>
      <c r="BA10">
        <v>66</v>
      </c>
      <c r="BB10">
        <v>28</v>
      </c>
      <c r="BC10">
        <v>35</v>
      </c>
      <c r="BD10">
        <v>36</v>
      </c>
      <c r="BE10">
        <v>39</v>
      </c>
      <c r="BF10">
        <v>29</v>
      </c>
      <c r="BG10">
        <v>80</v>
      </c>
      <c r="BH10">
        <v>60</v>
      </c>
      <c r="BI10">
        <v>65</v>
      </c>
      <c r="BJ10">
        <v>64</v>
      </c>
      <c r="BK10">
        <v>70</v>
      </c>
      <c r="BL10">
        <v>91</v>
      </c>
      <c r="BM10">
        <v>108</v>
      </c>
      <c r="BN10">
        <v>65</v>
      </c>
      <c r="BO10">
        <v>65</v>
      </c>
      <c r="BP10">
        <v>50</v>
      </c>
      <c r="BQ10">
        <v>40</v>
      </c>
      <c r="BR10">
        <v>20</v>
      </c>
      <c r="BS10">
        <v>27</v>
      </c>
      <c r="BT10">
        <v>30</v>
      </c>
      <c r="BU10">
        <v>-6</v>
      </c>
      <c r="BV10">
        <v>-148</v>
      </c>
      <c r="BW10">
        <v>-166</v>
      </c>
      <c r="BX10">
        <v>-164</v>
      </c>
      <c r="BY10">
        <v>-224</v>
      </c>
      <c r="BZ10">
        <v>-199</v>
      </c>
      <c r="CA10">
        <v>62</v>
      </c>
      <c r="CB10">
        <v>68</v>
      </c>
      <c r="CC10">
        <v>-241</v>
      </c>
      <c r="CD10">
        <v>71</v>
      </c>
      <c r="CE10">
        <v>81</v>
      </c>
      <c r="CF10">
        <v>85</v>
      </c>
      <c r="CG10">
        <v>109</v>
      </c>
      <c r="CH10">
        <v>111</v>
      </c>
      <c r="CI10">
        <v>89</v>
      </c>
      <c r="CJ10">
        <v>81</v>
      </c>
      <c r="CK10">
        <v>86</v>
      </c>
      <c r="CL10">
        <v>162</v>
      </c>
      <c r="CM10">
        <v>162</v>
      </c>
      <c r="CN10">
        <v>162</v>
      </c>
      <c r="CO10">
        <v>162</v>
      </c>
      <c r="CP10">
        <v>162</v>
      </c>
      <c r="CQ10">
        <v>162</v>
      </c>
      <c r="CR10">
        <v>152</v>
      </c>
      <c r="CS10">
        <v>152</v>
      </c>
      <c r="CT10">
        <v>152</v>
      </c>
      <c r="CU10">
        <v>152</v>
      </c>
      <c r="CV10">
        <v>125</v>
      </c>
      <c r="CW10">
        <v>113</v>
      </c>
      <c r="CX10">
        <v>111</v>
      </c>
      <c r="CY10">
        <v>63</v>
      </c>
      <c r="CZ10">
        <v>94</v>
      </c>
      <c r="DA10">
        <v>91</v>
      </c>
      <c r="DB10">
        <v>73</v>
      </c>
      <c r="DC10">
        <v>83</v>
      </c>
      <c r="DD10">
        <v>88</v>
      </c>
      <c r="DE10">
        <v>114</v>
      </c>
      <c r="DF10">
        <v>99</v>
      </c>
      <c r="DG10">
        <v>114</v>
      </c>
      <c r="DH10">
        <v>118</v>
      </c>
      <c r="DI10">
        <v>103</v>
      </c>
      <c r="DJ10">
        <v>62</v>
      </c>
      <c r="DK10">
        <v>28</v>
      </c>
      <c r="DL10">
        <v>30</v>
      </c>
      <c r="DM10">
        <v>38</v>
      </c>
      <c r="DN10">
        <v>217</v>
      </c>
      <c r="DO10">
        <v>236</v>
      </c>
      <c r="DP10">
        <v>233</v>
      </c>
      <c r="DQ10">
        <v>228</v>
      </c>
      <c r="DR10">
        <v>202</v>
      </c>
      <c r="DS10">
        <v>222</v>
      </c>
      <c r="DT10">
        <v>206</v>
      </c>
      <c r="DU10">
        <v>210</v>
      </c>
      <c r="DV10">
        <v>223</v>
      </c>
      <c r="DW10">
        <v>224</v>
      </c>
      <c r="DX10">
        <v>234</v>
      </c>
      <c r="DY10">
        <v>206</v>
      </c>
      <c r="DZ10">
        <v>193</v>
      </c>
      <c r="EA10">
        <v>194</v>
      </c>
      <c r="EB10">
        <v>187</v>
      </c>
      <c r="EC10">
        <v>170</v>
      </c>
      <c r="ED10">
        <v>198</v>
      </c>
      <c r="EE10">
        <v>121</v>
      </c>
      <c r="EF10">
        <v>98</v>
      </c>
      <c r="EG10">
        <v>120</v>
      </c>
      <c r="EH10">
        <v>133</v>
      </c>
      <c r="EI10">
        <v>183</v>
      </c>
      <c r="EJ10">
        <v>140</v>
      </c>
      <c r="EK10">
        <v>100</v>
      </c>
      <c r="EL10">
        <v>95</v>
      </c>
      <c r="EM10">
        <v>99</v>
      </c>
    </row>
    <row r="11" spans="1:143" x14ac:dyDescent="0.2">
      <c r="A11" t="str">
        <f>Input!M11</f>
        <v>ZC</v>
      </c>
      <c r="B11">
        <v>79.799999999999955</v>
      </c>
      <c r="C11">
        <v>76.799999999999955</v>
      </c>
      <c r="D11">
        <v>86.199999999999932</v>
      </c>
      <c r="E11">
        <v>87.199999999999932</v>
      </c>
      <c r="F11">
        <v>87.600000000000023</v>
      </c>
      <c r="G11">
        <v>96.600000000000023</v>
      </c>
      <c r="H11">
        <v>94.8</v>
      </c>
      <c r="I11">
        <v>103.39999999999998</v>
      </c>
      <c r="J11">
        <v>101.60000000000002</v>
      </c>
      <c r="K11">
        <v>108.79999999999995</v>
      </c>
      <c r="L11">
        <v>103.39999999999998</v>
      </c>
      <c r="M11">
        <v>96.199999999999932</v>
      </c>
      <c r="N11">
        <v>88.199999999999932</v>
      </c>
      <c r="O11">
        <v>93.199999999999932</v>
      </c>
      <c r="P11">
        <v>89.399999999999977</v>
      </c>
      <c r="Q11">
        <v>86.199999999999932</v>
      </c>
      <c r="R11">
        <v>89.399999999999977</v>
      </c>
      <c r="S11">
        <v>18</v>
      </c>
      <c r="T11">
        <v>18</v>
      </c>
      <c r="U11">
        <v>10</v>
      </c>
      <c r="V11">
        <v>8</v>
      </c>
      <c r="W11">
        <v>7.7999999999999545</v>
      </c>
      <c r="X11">
        <v>5.6000000000000227</v>
      </c>
      <c r="Y11">
        <v>9.7999999999999545</v>
      </c>
      <c r="Z11">
        <v>11.799999999999955</v>
      </c>
      <c r="AA11">
        <v>10.399999999999977</v>
      </c>
      <c r="AB11">
        <v>9.3999999999999773</v>
      </c>
      <c r="AC11">
        <v>6.6000000000000227</v>
      </c>
      <c r="AD11">
        <v>0.79999999999995453</v>
      </c>
      <c r="AE11">
        <v>4.6000000000000227</v>
      </c>
      <c r="AF11">
        <v>8.1999999999999318</v>
      </c>
      <c r="AG11">
        <v>8.1999999999999318</v>
      </c>
      <c r="AH11">
        <v>5.1999999999999318</v>
      </c>
      <c r="AI11">
        <v>8.3999999999999773</v>
      </c>
      <c r="AJ11">
        <v>8</v>
      </c>
      <c r="AK11">
        <v>18.600000000000023</v>
      </c>
      <c r="AL11">
        <v>16.600000000000023</v>
      </c>
      <c r="AM11">
        <v>15.199999999999932</v>
      </c>
      <c r="AN11">
        <v>10</v>
      </c>
      <c r="AO11">
        <v>19.199999999999932</v>
      </c>
      <c r="AP11">
        <v>15</v>
      </c>
      <c r="AQ11">
        <v>23</v>
      </c>
      <c r="AR11">
        <v>21.199999999999932</v>
      </c>
      <c r="AS11">
        <v>15.399999999999977</v>
      </c>
      <c r="AT11">
        <v>24.399999999999977</v>
      </c>
      <c r="AU11">
        <v>33.399999999999977</v>
      </c>
      <c r="AV11">
        <v>28</v>
      </c>
      <c r="AW11">
        <v>26.2</v>
      </c>
      <c r="AX11">
        <v>36</v>
      </c>
      <c r="AY11">
        <v>40</v>
      </c>
      <c r="AZ11">
        <v>34</v>
      </c>
      <c r="BA11">
        <v>28.600000000000023</v>
      </c>
      <c r="BB11">
        <v>39</v>
      </c>
      <c r="BC11">
        <v>42</v>
      </c>
      <c r="BD11">
        <v>46</v>
      </c>
      <c r="BE11">
        <v>54</v>
      </c>
      <c r="BF11">
        <v>62</v>
      </c>
      <c r="BG11">
        <v>74</v>
      </c>
      <c r="BH11">
        <v>85</v>
      </c>
      <c r="BI11">
        <v>90</v>
      </c>
      <c r="BJ11">
        <v>98</v>
      </c>
      <c r="BK11">
        <v>101</v>
      </c>
      <c r="BL11">
        <v>86.799999999999955</v>
      </c>
      <c r="BM11">
        <v>93.600000000000023</v>
      </c>
      <c r="BN11">
        <v>95.199999999999932</v>
      </c>
      <c r="BO11">
        <v>96</v>
      </c>
      <c r="BP11">
        <v>94.199999999999932</v>
      </c>
      <c r="BQ11">
        <v>89.600000000000023</v>
      </c>
      <c r="BR11">
        <v>95</v>
      </c>
      <c r="BS11">
        <v>111.39999999999998</v>
      </c>
      <c r="BT11">
        <v>97</v>
      </c>
      <c r="BU11">
        <v>96.199999999999932</v>
      </c>
      <c r="BV11">
        <v>98.8</v>
      </c>
      <c r="BW11">
        <v>107.39999999999998</v>
      </c>
      <c r="BX11">
        <v>109.79999999999995</v>
      </c>
      <c r="BY11">
        <v>110.79999999999995</v>
      </c>
      <c r="BZ11">
        <v>104.79999999999995</v>
      </c>
      <c r="CA11">
        <v>93</v>
      </c>
      <c r="CB11">
        <v>74</v>
      </c>
      <c r="CC11">
        <v>77.199999999999932</v>
      </c>
      <c r="CD11">
        <v>76.600000000000023</v>
      </c>
      <c r="CE11">
        <v>78.600000000000023</v>
      </c>
      <c r="CF11">
        <v>73.399999999999977</v>
      </c>
      <c r="CG11">
        <v>66.399999999999977</v>
      </c>
      <c r="CH11">
        <v>42.199999999999932</v>
      </c>
      <c r="CI11">
        <v>28.199999999999932</v>
      </c>
      <c r="CJ11">
        <v>34.399999999999977</v>
      </c>
      <c r="CK11">
        <v>16.600000000000023</v>
      </c>
      <c r="CL11">
        <v>2.7999999999999545</v>
      </c>
      <c r="CM11">
        <v>1.6000000000000227</v>
      </c>
      <c r="CN11">
        <v>-9.8000000000000682</v>
      </c>
      <c r="CO11">
        <v>-4</v>
      </c>
      <c r="CP11">
        <v>-2.8000000000000682</v>
      </c>
      <c r="CQ11">
        <v>-4</v>
      </c>
      <c r="CR11">
        <v>1</v>
      </c>
      <c r="CS11">
        <v>-4.5000000000001137</v>
      </c>
      <c r="CT11">
        <v>-7</v>
      </c>
      <c r="CU11">
        <v>-11</v>
      </c>
      <c r="CV11">
        <v>-11</v>
      </c>
      <c r="CW11">
        <v>-7.3999999999999773</v>
      </c>
      <c r="CX11">
        <v>-6.6000000000000227</v>
      </c>
      <c r="CY11">
        <v>-3</v>
      </c>
      <c r="CZ11">
        <v>-4.3999999999999773</v>
      </c>
      <c r="DA11">
        <v>3.1999999999999318</v>
      </c>
      <c r="DB11">
        <v>5.1999999999999318</v>
      </c>
      <c r="DC11">
        <v>4.6000000000000227</v>
      </c>
      <c r="DD11">
        <v>7.6000000000000227</v>
      </c>
      <c r="DE11">
        <v>9.1999999999999318</v>
      </c>
      <c r="DF11">
        <v>12.799999999999955</v>
      </c>
      <c r="DG11">
        <v>16.600000000000023</v>
      </c>
      <c r="DH11">
        <v>21.199999999999932</v>
      </c>
      <c r="DI11">
        <v>24</v>
      </c>
      <c r="DJ11">
        <v>28.799999999999955</v>
      </c>
      <c r="DK11">
        <v>31</v>
      </c>
      <c r="DL11">
        <v>41</v>
      </c>
      <c r="DM11">
        <v>50.399999999999977</v>
      </c>
      <c r="DN11">
        <v>46.600000000000023</v>
      </c>
      <c r="DO11">
        <v>44</v>
      </c>
      <c r="DP11">
        <v>47.399999999999977</v>
      </c>
      <c r="DQ11">
        <v>46.399999999999977</v>
      </c>
      <c r="DR11">
        <v>43.399999999999977</v>
      </c>
      <c r="DS11">
        <v>34</v>
      </c>
      <c r="DT11">
        <v>54.799999999999955</v>
      </c>
      <c r="DU11">
        <v>46</v>
      </c>
      <c r="DV11">
        <v>37</v>
      </c>
      <c r="DW11">
        <v>38.799999999999955</v>
      </c>
      <c r="DX11">
        <v>40.199999999999932</v>
      </c>
      <c r="DY11">
        <v>33.600000000000023</v>
      </c>
      <c r="DZ11">
        <v>27.199999999999932</v>
      </c>
      <c r="EA11">
        <v>22.199999999999932</v>
      </c>
      <c r="EB11">
        <v>20.799999999999955</v>
      </c>
      <c r="EC11">
        <v>13.399999999999977</v>
      </c>
      <c r="ED11">
        <v>26</v>
      </c>
      <c r="EE11">
        <v>28.199999999999932</v>
      </c>
      <c r="EF11">
        <v>18.799999999999955</v>
      </c>
      <c r="EG11">
        <v>20.199999999999932</v>
      </c>
      <c r="EH11">
        <v>21.600000000000023</v>
      </c>
      <c r="EI11">
        <v>20.399999999999977</v>
      </c>
      <c r="EJ11">
        <v>20.799999999999955</v>
      </c>
      <c r="EK11">
        <v>12.399999999999977</v>
      </c>
      <c r="EL11">
        <v>23</v>
      </c>
      <c r="EM11">
        <v>18.600000000000023</v>
      </c>
    </row>
    <row r="12" spans="1:143" x14ac:dyDescent="0.2">
      <c r="A12" t="str">
        <f>Input!M12</f>
        <v>CF</v>
      </c>
      <c r="B12">
        <v>-65</v>
      </c>
      <c r="C12">
        <v>-125</v>
      </c>
      <c r="D12">
        <v>-90</v>
      </c>
      <c r="E12">
        <v>-75</v>
      </c>
      <c r="F12">
        <v>-10</v>
      </c>
      <c r="G12">
        <v>105</v>
      </c>
      <c r="H12">
        <v>-25</v>
      </c>
      <c r="I12">
        <v>280</v>
      </c>
      <c r="J12">
        <v>205</v>
      </c>
      <c r="K12">
        <v>165</v>
      </c>
      <c r="L12">
        <v>35</v>
      </c>
      <c r="M12">
        <v>165</v>
      </c>
      <c r="N12">
        <v>220</v>
      </c>
      <c r="O12">
        <v>215</v>
      </c>
      <c r="P12">
        <v>300</v>
      </c>
      <c r="Q12">
        <v>395</v>
      </c>
      <c r="R12">
        <v>490</v>
      </c>
      <c r="S12">
        <v>810</v>
      </c>
      <c r="T12">
        <v>710</v>
      </c>
      <c r="U12">
        <v>810</v>
      </c>
      <c r="V12">
        <v>735</v>
      </c>
      <c r="W12">
        <v>795</v>
      </c>
      <c r="X12">
        <v>850</v>
      </c>
      <c r="Y12">
        <v>820</v>
      </c>
      <c r="Z12">
        <v>845</v>
      </c>
      <c r="AA12">
        <v>925</v>
      </c>
      <c r="AB12">
        <v>965</v>
      </c>
      <c r="AC12">
        <v>735</v>
      </c>
      <c r="AD12">
        <v>635</v>
      </c>
      <c r="AE12">
        <v>685</v>
      </c>
      <c r="AF12">
        <v>670</v>
      </c>
      <c r="AG12">
        <v>650</v>
      </c>
      <c r="AH12">
        <v>610</v>
      </c>
      <c r="AI12">
        <v>580</v>
      </c>
      <c r="AJ12">
        <v>435</v>
      </c>
      <c r="AK12">
        <v>480</v>
      </c>
      <c r="AL12">
        <v>445</v>
      </c>
      <c r="AM12">
        <v>450</v>
      </c>
      <c r="AN12">
        <v>395</v>
      </c>
      <c r="AO12">
        <v>425</v>
      </c>
      <c r="AP12">
        <v>500</v>
      </c>
      <c r="AQ12">
        <v>545</v>
      </c>
      <c r="AR12">
        <v>685</v>
      </c>
      <c r="AS12">
        <v>725</v>
      </c>
      <c r="AT12">
        <v>805</v>
      </c>
      <c r="AU12">
        <v>820</v>
      </c>
      <c r="AV12">
        <v>790</v>
      </c>
      <c r="AW12">
        <v>815</v>
      </c>
      <c r="AX12">
        <v>780</v>
      </c>
      <c r="AY12">
        <v>855</v>
      </c>
      <c r="AZ12">
        <v>935</v>
      </c>
      <c r="BA12">
        <v>870</v>
      </c>
      <c r="BB12">
        <v>860</v>
      </c>
      <c r="BC12">
        <v>855</v>
      </c>
      <c r="BD12">
        <v>910</v>
      </c>
      <c r="BE12">
        <v>880</v>
      </c>
      <c r="BF12">
        <v>855</v>
      </c>
      <c r="BG12">
        <v>895</v>
      </c>
      <c r="BH12">
        <v>940</v>
      </c>
      <c r="BI12">
        <v>1005</v>
      </c>
      <c r="BJ12">
        <v>995</v>
      </c>
      <c r="BK12">
        <v>1100</v>
      </c>
      <c r="BL12">
        <v>995</v>
      </c>
      <c r="BM12">
        <v>1110</v>
      </c>
      <c r="BN12">
        <v>985</v>
      </c>
      <c r="BO12">
        <v>990</v>
      </c>
      <c r="BP12">
        <v>1010</v>
      </c>
      <c r="BQ12">
        <v>1105</v>
      </c>
      <c r="BR12">
        <v>1075</v>
      </c>
      <c r="BS12">
        <v>1025</v>
      </c>
      <c r="BT12">
        <v>835</v>
      </c>
      <c r="BU12">
        <v>875</v>
      </c>
      <c r="BV12">
        <v>880</v>
      </c>
      <c r="BW12">
        <v>995</v>
      </c>
      <c r="BX12">
        <v>1040</v>
      </c>
      <c r="BY12">
        <v>970</v>
      </c>
      <c r="BZ12">
        <v>950</v>
      </c>
      <c r="CA12">
        <v>955</v>
      </c>
      <c r="CB12">
        <v>955</v>
      </c>
      <c r="CC12">
        <v>650</v>
      </c>
      <c r="CD12">
        <v>480</v>
      </c>
      <c r="CE12">
        <v>585</v>
      </c>
      <c r="CF12">
        <v>630</v>
      </c>
      <c r="CG12">
        <v>580</v>
      </c>
      <c r="CH12">
        <v>490</v>
      </c>
      <c r="CI12">
        <v>655</v>
      </c>
      <c r="CJ12">
        <v>530</v>
      </c>
      <c r="CK12">
        <v>515</v>
      </c>
      <c r="CL12">
        <v>455</v>
      </c>
      <c r="CM12">
        <v>495</v>
      </c>
      <c r="CN12">
        <v>405</v>
      </c>
      <c r="CO12">
        <v>205</v>
      </c>
      <c r="CP12">
        <v>225</v>
      </c>
      <c r="CQ12">
        <v>95</v>
      </c>
      <c r="CR12">
        <v>45</v>
      </c>
      <c r="CS12">
        <v>45</v>
      </c>
      <c r="CT12">
        <v>135</v>
      </c>
      <c r="CU12">
        <v>515</v>
      </c>
      <c r="CV12">
        <v>550</v>
      </c>
      <c r="CW12">
        <v>535</v>
      </c>
      <c r="CX12">
        <v>495</v>
      </c>
      <c r="CY12">
        <v>480</v>
      </c>
      <c r="CZ12">
        <v>535</v>
      </c>
      <c r="DA12">
        <v>450</v>
      </c>
      <c r="DB12">
        <v>395</v>
      </c>
      <c r="DC12">
        <v>455</v>
      </c>
      <c r="DD12">
        <v>495</v>
      </c>
      <c r="DE12">
        <v>575</v>
      </c>
      <c r="DF12">
        <v>500</v>
      </c>
      <c r="DG12">
        <v>520</v>
      </c>
      <c r="DH12">
        <v>480</v>
      </c>
      <c r="DI12">
        <v>485</v>
      </c>
      <c r="DJ12">
        <v>745</v>
      </c>
      <c r="DK12">
        <v>665</v>
      </c>
      <c r="DL12">
        <v>770</v>
      </c>
      <c r="DM12">
        <v>775</v>
      </c>
      <c r="DN12">
        <v>805</v>
      </c>
      <c r="DO12">
        <v>745</v>
      </c>
      <c r="DP12">
        <v>770</v>
      </c>
      <c r="DQ12">
        <v>990</v>
      </c>
      <c r="DR12">
        <v>945</v>
      </c>
      <c r="DS12">
        <v>1170</v>
      </c>
      <c r="DT12">
        <v>1100</v>
      </c>
      <c r="DU12">
        <v>935</v>
      </c>
      <c r="DV12">
        <v>945</v>
      </c>
      <c r="DW12">
        <v>765</v>
      </c>
      <c r="DX12">
        <v>750</v>
      </c>
      <c r="DY12">
        <v>285</v>
      </c>
      <c r="DZ12">
        <v>290</v>
      </c>
      <c r="EA12">
        <v>290</v>
      </c>
      <c r="EB12">
        <v>355</v>
      </c>
      <c r="EC12">
        <v>475</v>
      </c>
      <c r="ED12">
        <v>655</v>
      </c>
      <c r="EE12">
        <v>640</v>
      </c>
      <c r="EF12">
        <v>620</v>
      </c>
      <c r="EG12">
        <v>835</v>
      </c>
      <c r="EH12">
        <v>610</v>
      </c>
      <c r="EI12">
        <v>755</v>
      </c>
      <c r="EJ12">
        <v>900</v>
      </c>
      <c r="EK12">
        <v>970</v>
      </c>
      <c r="EL12">
        <v>765</v>
      </c>
      <c r="EM12">
        <v>765</v>
      </c>
    </row>
    <row r="13" spans="1:143" x14ac:dyDescent="0.2">
      <c r="A13" t="str">
        <f>Input!M13</f>
        <v>MA</v>
      </c>
      <c r="B13">
        <v>278</v>
      </c>
      <c r="C13">
        <v>274</v>
      </c>
      <c r="D13">
        <v>270</v>
      </c>
      <c r="E13">
        <v>242</v>
      </c>
      <c r="F13">
        <v>333</v>
      </c>
      <c r="G13">
        <v>387</v>
      </c>
      <c r="H13">
        <v>339</v>
      </c>
      <c r="I13">
        <v>359</v>
      </c>
      <c r="J13">
        <v>393</v>
      </c>
      <c r="K13">
        <v>322</v>
      </c>
      <c r="L13">
        <v>319</v>
      </c>
      <c r="M13">
        <v>341</v>
      </c>
      <c r="N13">
        <v>321</v>
      </c>
      <c r="O13">
        <v>277</v>
      </c>
      <c r="P13">
        <v>268</v>
      </c>
      <c r="Q13">
        <v>316</v>
      </c>
      <c r="R13">
        <v>283</v>
      </c>
      <c r="S13">
        <v>-110</v>
      </c>
      <c r="T13">
        <v>-89</v>
      </c>
      <c r="U13">
        <v>100</v>
      </c>
      <c r="V13">
        <v>153</v>
      </c>
      <c r="W13">
        <v>192</v>
      </c>
      <c r="X13">
        <v>178</v>
      </c>
      <c r="Y13">
        <v>194</v>
      </c>
      <c r="Z13">
        <v>203</v>
      </c>
      <c r="AA13">
        <v>240</v>
      </c>
      <c r="AB13">
        <v>119</v>
      </c>
      <c r="AC13">
        <v>227</v>
      </c>
      <c r="AD13">
        <v>212</v>
      </c>
      <c r="AE13">
        <v>190</v>
      </c>
      <c r="AF13">
        <v>151</v>
      </c>
      <c r="AG13">
        <v>101</v>
      </c>
      <c r="AH13">
        <v>214</v>
      </c>
      <c r="AI13">
        <v>225</v>
      </c>
      <c r="AJ13">
        <v>181</v>
      </c>
      <c r="AK13">
        <v>182</v>
      </c>
      <c r="AL13">
        <v>136</v>
      </c>
      <c r="AM13">
        <v>57</v>
      </c>
      <c r="AN13">
        <v>203</v>
      </c>
      <c r="AO13">
        <v>347</v>
      </c>
      <c r="AP13">
        <v>307</v>
      </c>
      <c r="AQ13">
        <v>286</v>
      </c>
      <c r="AR13">
        <v>238</v>
      </c>
      <c r="AS13">
        <v>179</v>
      </c>
      <c r="AT13">
        <v>191</v>
      </c>
      <c r="AU13">
        <v>164</v>
      </c>
      <c r="AV13">
        <v>133</v>
      </c>
      <c r="AW13">
        <v>95</v>
      </c>
      <c r="AX13">
        <v>82</v>
      </c>
      <c r="AY13">
        <v>104</v>
      </c>
      <c r="AZ13">
        <v>93</v>
      </c>
      <c r="BA13">
        <v>83</v>
      </c>
      <c r="BB13">
        <v>71</v>
      </c>
      <c r="BC13">
        <v>96</v>
      </c>
      <c r="BD13">
        <v>103</v>
      </c>
      <c r="BE13">
        <v>76</v>
      </c>
      <c r="BF13">
        <v>88</v>
      </c>
      <c r="BG13">
        <v>64</v>
      </c>
      <c r="BH13">
        <v>79</v>
      </c>
      <c r="BI13">
        <v>93</v>
      </c>
      <c r="BJ13">
        <v>113</v>
      </c>
      <c r="BK13">
        <v>105</v>
      </c>
      <c r="BL13">
        <v>127</v>
      </c>
      <c r="BM13">
        <v>123</v>
      </c>
      <c r="BN13">
        <v>47</v>
      </c>
      <c r="BO13">
        <v>93</v>
      </c>
      <c r="BP13">
        <v>15</v>
      </c>
      <c r="BQ13">
        <v>22</v>
      </c>
      <c r="BR13">
        <v>56</v>
      </c>
      <c r="BS13">
        <v>99</v>
      </c>
      <c r="BT13">
        <v>82</v>
      </c>
      <c r="BU13">
        <v>28</v>
      </c>
      <c r="BV13">
        <v>99</v>
      </c>
      <c r="BW13">
        <v>111</v>
      </c>
      <c r="BX13">
        <v>79</v>
      </c>
      <c r="BY13">
        <v>72</v>
      </c>
      <c r="BZ13">
        <v>55</v>
      </c>
      <c r="CA13">
        <v>28</v>
      </c>
      <c r="CB13">
        <v>30</v>
      </c>
      <c r="CC13">
        <v>16</v>
      </c>
      <c r="CD13">
        <v>31</v>
      </c>
      <c r="CE13">
        <v>41</v>
      </c>
      <c r="CF13">
        <v>48</v>
      </c>
      <c r="CG13">
        <v>64</v>
      </c>
      <c r="CH13">
        <v>19</v>
      </c>
      <c r="CI13">
        <v>1</v>
      </c>
      <c r="CJ13">
        <v>8</v>
      </c>
      <c r="CK13">
        <v>-14</v>
      </c>
      <c r="CL13">
        <v>-100</v>
      </c>
      <c r="CM13">
        <v>10</v>
      </c>
      <c r="CN13">
        <v>-10</v>
      </c>
      <c r="CO13">
        <v>60</v>
      </c>
      <c r="CP13">
        <v>13</v>
      </c>
      <c r="CQ13">
        <v>10</v>
      </c>
      <c r="CR13">
        <v>10</v>
      </c>
      <c r="CS13">
        <v>-10</v>
      </c>
      <c r="CT13">
        <v>-78</v>
      </c>
      <c r="CU13">
        <v>-58</v>
      </c>
      <c r="CV13">
        <v>-119</v>
      </c>
      <c r="CW13">
        <v>-145</v>
      </c>
      <c r="CX13">
        <v>-152</v>
      </c>
      <c r="CY13">
        <v>-153</v>
      </c>
      <c r="CZ13">
        <v>-143</v>
      </c>
      <c r="DA13">
        <v>-138</v>
      </c>
      <c r="DB13">
        <v>-149</v>
      </c>
      <c r="DC13">
        <v>-130</v>
      </c>
      <c r="DD13">
        <v>-105</v>
      </c>
      <c r="DE13">
        <v>-69</v>
      </c>
      <c r="DF13">
        <v>-81</v>
      </c>
      <c r="DG13">
        <v>-11</v>
      </c>
      <c r="DH13">
        <v>-40</v>
      </c>
      <c r="DI13">
        <v>-60</v>
      </c>
      <c r="DJ13">
        <v>-63</v>
      </c>
      <c r="DK13">
        <v>-98</v>
      </c>
      <c r="DL13">
        <v>-92</v>
      </c>
      <c r="DM13">
        <v>-95</v>
      </c>
      <c r="DN13">
        <v>-75</v>
      </c>
      <c r="DO13">
        <v>-117</v>
      </c>
      <c r="DP13">
        <v>-84</v>
      </c>
      <c r="DQ13">
        <v>-79</v>
      </c>
      <c r="DR13">
        <v>-79</v>
      </c>
      <c r="DS13">
        <v>-43</v>
      </c>
      <c r="DT13">
        <v>-12</v>
      </c>
      <c r="DU13">
        <v>-36</v>
      </c>
      <c r="DV13">
        <v>-100</v>
      </c>
      <c r="DW13">
        <v>-124</v>
      </c>
      <c r="DX13">
        <v>-96</v>
      </c>
      <c r="DY13">
        <v>-98</v>
      </c>
      <c r="DZ13">
        <v>-233</v>
      </c>
      <c r="EA13">
        <v>-135</v>
      </c>
      <c r="EB13">
        <v>-141</v>
      </c>
      <c r="EC13">
        <v>-127</v>
      </c>
      <c r="ED13">
        <v>-105</v>
      </c>
      <c r="EE13">
        <v>-81</v>
      </c>
      <c r="EF13">
        <v>-135</v>
      </c>
      <c r="EG13">
        <v>-151</v>
      </c>
      <c r="EH13">
        <v>-133</v>
      </c>
      <c r="EI13">
        <v>-136</v>
      </c>
      <c r="EJ13">
        <v>-78</v>
      </c>
      <c r="EK13">
        <v>-112</v>
      </c>
      <c r="EL13">
        <v>-57</v>
      </c>
      <c r="EM13">
        <v>-108</v>
      </c>
    </row>
    <row r="14" spans="1:143" x14ac:dyDescent="0.2">
      <c r="A14" t="str">
        <f>Input!M14</f>
        <v>BU</v>
      </c>
      <c r="B14">
        <v>-512</v>
      </c>
      <c r="C14">
        <v>-516</v>
      </c>
      <c r="D14">
        <v>-426</v>
      </c>
      <c r="E14">
        <v>-366</v>
      </c>
      <c r="F14">
        <v>-378</v>
      </c>
      <c r="G14">
        <v>-336</v>
      </c>
      <c r="H14">
        <v>-376</v>
      </c>
      <c r="I14">
        <v>-360</v>
      </c>
      <c r="J14">
        <v>-388</v>
      </c>
      <c r="K14">
        <v>-464</v>
      </c>
      <c r="L14">
        <v>-474</v>
      </c>
      <c r="M14">
        <v>-470</v>
      </c>
      <c r="N14">
        <v>-470</v>
      </c>
      <c r="O14">
        <v>-450</v>
      </c>
      <c r="P14">
        <v>-430</v>
      </c>
      <c r="Q14">
        <v>-408</v>
      </c>
      <c r="R14">
        <v>-410</v>
      </c>
      <c r="S14">
        <v>-314</v>
      </c>
      <c r="T14">
        <v>-314</v>
      </c>
      <c r="U14">
        <v>-168</v>
      </c>
      <c r="V14">
        <v>-172</v>
      </c>
      <c r="W14">
        <v>-166</v>
      </c>
      <c r="X14">
        <v>-152</v>
      </c>
      <c r="Y14">
        <v>-136</v>
      </c>
      <c r="Z14">
        <v>-146</v>
      </c>
      <c r="AA14">
        <v>-150</v>
      </c>
      <c r="AB14">
        <v>-162</v>
      </c>
      <c r="AC14">
        <v>-128</v>
      </c>
      <c r="AD14">
        <v>-152</v>
      </c>
      <c r="AE14">
        <v>78</v>
      </c>
      <c r="AF14">
        <v>154</v>
      </c>
      <c r="AG14">
        <v>180</v>
      </c>
      <c r="AH14">
        <v>160</v>
      </c>
      <c r="AI14">
        <v>166</v>
      </c>
      <c r="AJ14">
        <v>132</v>
      </c>
      <c r="AK14">
        <v>176</v>
      </c>
      <c r="AL14">
        <v>120</v>
      </c>
      <c r="AM14">
        <v>102</v>
      </c>
      <c r="AN14">
        <v>58</v>
      </c>
      <c r="AO14">
        <v>70</v>
      </c>
      <c r="AP14">
        <v>28</v>
      </c>
      <c r="AQ14">
        <v>74</v>
      </c>
      <c r="AR14">
        <v>80</v>
      </c>
      <c r="AS14">
        <v>58</v>
      </c>
      <c r="AT14">
        <v>20</v>
      </c>
      <c r="AU14">
        <v>-12</v>
      </c>
      <c r="AV14">
        <v>16</v>
      </c>
      <c r="AW14">
        <v>96</v>
      </c>
      <c r="AX14">
        <v>44</v>
      </c>
      <c r="AY14">
        <v>-64</v>
      </c>
      <c r="AZ14">
        <v>-60</v>
      </c>
      <c r="BA14">
        <v>-166</v>
      </c>
      <c r="BB14">
        <v>-152</v>
      </c>
      <c r="BC14">
        <v>-148</v>
      </c>
      <c r="BD14">
        <v>-186</v>
      </c>
      <c r="BE14">
        <v>-190</v>
      </c>
      <c r="BF14">
        <v>-188</v>
      </c>
      <c r="BG14">
        <v>-190</v>
      </c>
      <c r="BH14">
        <v>-154</v>
      </c>
      <c r="BI14">
        <v>-146</v>
      </c>
      <c r="BJ14">
        <v>-150</v>
      </c>
      <c r="BK14">
        <v>-166</v>
      </c>
      <c r="BL14">
        <v>-190</v>
      </c>
      <c r="BM14">
        <v>-136</v>
      </c>
      <c r="BN14">
        <v>-128</v>
      </c>
      <c r="BO14">
        <v>-128</v>
      </c>
      <c r="BP14">
        <v>-72</v>
      </c>
      <c r="BQ14">
        <v>-76</v>
      </c>
      <c r="BR14">
        <v>-54</v>
      </c>
      <c r="BS14">
        <v>-34</v>
      </c>
      <c r="BT14">
        <v>-64</v>
      </c>
      <c r="BU14">
        <v>-70</v>
      </c>
      <c r="BV14">
        <v>-84</v>
      </c>
      <c r="BW14">
        <v>-166</v>
      </c>
      <c r="BX14">
        <v>-156</v>
      </c>
      <c r="BY14">
        <v>-142</v>
      </c>
      <c r="BZ14">
        <v>-126</v>
      </c>
      <c r="CA14">
        <v>-102</v>
      </c>
      <c r="CB14">
        <v>-94</v>
      </c>
      <c r="CC14">
        <v>-162</v>
      </c>
      <c r="CD14">
        <v>-144</v>
      </c>
      <c r="CE14">
        <v>-144</v>
      </c>
      <c r="CF14">
        <v>-104</v>
      </c>
      <c r="CG14">
        <v>-100</v>
      </c>
      <c r="CH14">
        <v>-122</v>
      </c>
      <c r="CI14">
        <v>-128</v>
      </c>
      <c r="CJ14">
        <v>-140</v>
      </c>
      <c r="CK14">
        <v>50</v>
      </c>
      <c r="CL14">
        <v>98</v>
      </c>
      <c r="CM14">
        <v>124</v>
      </c>
      <c r="CN14">
        <v>114</v>
      </c>
      <c r="CO14">
        <v>108</v>
      </c>
      <c r="CP14">
        <v>144</v>
      </c>
      <c r="CQ14">
        <v>126</v>
      </c>
      <c r="CR14">
        <v>46</v>
      </c>
      <c r="CS14">
        <v>64</v>
      </c>
      <c r="CT14">
        <v>22</v>
      </c>
      <c r="CU14">
        <v>-2</v>
      </c>
      <c r="CV14">
        <v>38</v>
      </c>
      <c r="CW14">
        <v>62</v>
      </c>
      <c r="CX14">
        <v>58</v>
      </c>
      <c r="CY14">
        <v>46</v>
      </c>
      <c r="CZ14">
        <v>40</v>
      </c>
      <c r="DA14">
        <v>62</v>
      </c>
      <c r="DB14">
        <v>74</v>
      </c>
      <c r="DC14">
        <v>80</v>
      </c>
      <c r="DD14">
        <v>68</v>
      </c>
      <c r="DE14">
        <v>76</v>
      </c>
      <c r="DF14">
        <v>82</v>
      </c>
      <c r="DG14">
        <v>130</v>
      </c>
      <c r="DH14">
        <v>172</v>
      </c>
      <c r="DI14">
        <v>76</v>
      </c>
      <c r="DJ14">
        <v>46</v>
      </c>
      <c r="DK14">
        <v>0</v>
      </c>
      <c r="DL14">
        <v>0</v>
      </c>
      <c r="DM14">
        <v>46</v>
      </c>
      <c r="DN14">
        <v>102</v>
      </c>
      <c r="DO14">
        <v>34</v>
      </c>
      <c r="DP14">
        <v>100</v>
      </c>
      <c r="DQ14">
        <v>92</v>
      </c>
      <c r="DR14">
        <v>36</v>
      </c>
      <c r="DS14">
        <v>20</v>
      </c>
      <c r="DT14">
        <v>2</v>
      </c>
      <c r="DU14">
        <v>-22</v>
      </c>
      <c r="DV14">
        <v>-46</v>
      </c>
      <c r="DW14">
        <v>-40</v>
      </c>
      <c r="DX14">
        <v>-6</v>
      </c>
      <c r="DY14">
        <v>16</v>
      </c>
      <c r="DZ14">
        <v>-44</v>
      </c>
      <c r="EA14">
        <v>-46</v>
      </c>
      <c r="EB14">
        <v>-24</v>
      </c>
      <c r="EC14">
        <v>-168</v>
      </c>
      <c r="ED14">
        <v>-168</v>
      </c>
      <c r="EE14">
        <v>-192</v>
      </c>
      <c r="EF14">
        <v>-194</v>
      </c>
      <c r="EG14">
        <v>-188</v>
      </c>
      <c r="EH14">
        <v>-186</v>
      </c>
      <c r="EI14">
        <v>-170</v>
      </c>
      <c r="EJ14">
        <v>-142</v>
      </c>
      <c r="EK14">
        <v>-166</v>
      </c>
      <c r="EL14">
        <v>-180</v>
      </c>
      <c r="EM14">
        <v>-226</v>
      </c>
    </row>
    <row r="15" spans="1:143" x14ac:dyDescent="0.2">
      <c r="A15" t="str">
        <f>Input!M15</f>
        <v>L</v>
      </c>
      <c r="B15">
        <v>-145</v>
      </c>
      <c r="C15">
        <v>-180</v>
      </c>
      <c r="D15">
        <v>0</v>
      </c>
      <c r="E15">
        <v>-115</v>
      </c>
      <c r="F15">
        <v>-90</v>
      </c>
      <c r="G15">
        <v>-50</v>
      </c>
      <c r="H15">
        <v>-45</v>
      </c>
      <c r="I15">
        <v>-75</v>
      </c>
      <c r="J15">
        <v>-190</v>
      </c>
      <c r="K15">
        <v>-320</v>
      </c>
      <c r="L15">
        <v>-255</v>
      </c>
      <c r="M15">
        <v>-220</v>
      </c>
      <c r="N15">
        <v>-230</v>
      </c>
      <c r="O15">
        <v>-200</v>
      </c>
      <c r="P15">
        <v>-250</v>
      </c>
      <c r="Q15">
        <v>-175</v>
      </c>
      <c r="R15">
        <v>-175</v>
      </c>
      <c r="S15">
        <v>85</v>
      </c>
      <c r="T15">
        <v>30</v>
      </c>
      <c r="U15">
        <v>75</v>
      </c>
      <c r="V15">
        <v>80</v>
      </c>
      <c r="W15">
        <v>-55</v>
      </c>
      <c r="X15">
        <v>50</v>
      </c>
      <c r="Y15">
        <v>-10</v>
      </c>
      <c r="Z15">
        <v>-55</v>
      </c>
      <c r="AA15">
        <v>-30</v>
      </c>
      <c r="AB15">
        <v>-70</v>
      </c>
      <c r="AC15">
        <v>-60</v>
      </c>
      <c r="AD15">
        <v>-15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-30</v>
      </c>
      <c r="AL15">
        <v>-95</v>
      </c>
      <c r="AM15">
        <v>-45</v>
      </c>
      <c r="AN15">
        <v>-50</v>
      </c>
      <c r="AO15">
        <v>-50</v>
      </c>
      <c r="AP15">
        <v>-5</v>
      </c>
      <c r="AQ15">
        <v>0</v>
      </c>
      <c r="AR15">
        <v>-55</v>
      </c>
      <c r="AS15">
        <v>-80</v>
      </c>
      <c r="AT15">
        <v>-110</v>
      </c>
      <c r="AU15">
        <v>-105</v>
      </c>
      <c r="AV15">
        <v>-150</v>
      </c>
      <c r="AW15">
        <v>-120</v>
      </c>
      <c r="AX15">
        <v>-110</v>
      </c>
      <c r="AY15">
        <v>-130</v>
      </c>
      <c r="AZ15">
        <v>-115</v>
      </c>
      <c r="BA15">
        <v>-135</v>
      </c>
      <c r="BB15">
        <v>-110</v>
      </c>
      <c r="BC15">
        <v>-125</v>
      </c>
      <c r="BD15">
        <v>-155</v>
      </c>
      <c r="BE15">
        <v>-120</v>
      </c>
      <c r="BF15">
        <v>-170</v>
      </c>
      <c r="BG15">
        <v>-150</v>
      </c>
      <c r="BH15">
        <v>-75</v>
      </c>
      <c r="BI15">
        <v>-45</v>
      </c>
      <c r="BJ15">
        <v>-50</v>
      </c>
      <c r="BK15">
        <v>-105</v>
      </c>
      <c r="BL15">
        <v>-105</v>
      </c>
      <c r="BM15">
        <v>-100</v>
      </c>
      <c r="BN15">
        <v>-150</v>
      </c>
      <c r="BO15">
        <v>-100</v>
      </c>
      <c r="BP15">
        <v>-160</v>
      </c>
      <c r="BQ15">
        <v>-150</v>
      </c>
      <c r="BR15">
        <v>-135</v>
      </c>
      <c r="BS15">
        <v>-85</v>
      </c>
      <c r="BT15">
        <v>-195</v>
      </c>
      <c r="BU15">
        <v>-145</v>
      </c>
      <c r="BV15">
        <v>-105</v>
      </c>
      <c r="BW15">
        <v>-100</v>
      </c>
      <c r="BX15">
        <v>-50</v>
      </c>
      <c r="BY15">
        <v>-85</v>
      </c>
      <c r="BZ15">
        <v>-105</v>
      </c>
      <c r="CA15">
        <v>-120</v>
      </c>
      <c r="CB15">
        <v>-100</v>
      </c>
      <c r="CC15">
        <v>-130</v>
      </c>
      <c r="CD15">
        <v>-130</v>
      </c>
      <c r="CE15">
        <v>-150</v>
      </c>
      <c r="CF15">
        <v>-150</v>
      </c>
      <c r="CG15">
        <v>-150</v>
      </c>
      <c r="CH15">
        <v>-185</v>
      </c>
      <c r="CI15">
        <v>-200</v>
      </c>
      <c r="CJ15">
        <v>-200</v>
      </c>
      <c r="CK15">
        <v>-160</v>
      </c>
      <c r="CL15">
        <v>80</v>
      </c>
      <c r="CM15">
        <v>-170</v>
      </c>
      <c r="CN15">
        <v>50</v>
      </c>
      <c r="CO15">
        <v>10</v>
      </c>
      <c r="CP15">
        <v>130</v>
      </c>
      <c r="CQ15">
        <v>-40</v>
      </c>
      <c r="CR15">
        <v>20</v>
      </c>
      <c r="CS15">
        <v>-70</v>
      </c>
      <c r="CT15">
        <v>-270</v>
      </c>
      <c r="CU15">
        <v>-145</v>
      </c>
      <c r="CV15">
        <v>-130</v>
      </c>
      <c r="CW15">
        <v>-105</v>
      </c>
      <c r="CX15">
        <v>-30</v>
      </c>
      <c r="CY15">
        <v>-85</v>
      </c>
      <c r="CZ15">
        <v>-170</v>
      </c>
      <c r="DA15">
        <v>-145</v>
      </c>
      <c r="DB15">
        <v>-140</v>
      </c>
      <c r="DC15">
        <v>-275</v>
      </c>
      <c r="DD15">
        <v>-175</v>
      </c>
      <c r="DE15">
        <v>-180</v>
      </c>
      <c r="DF15">
        <v>-145</v>
      </c>
      <c r="DG15">
        <v>-75</v>
      </c>
      <c r="DH15">
        <v>-140</v>
      </c>
      <c r="DI15">
        <v>-125</v>
      </c>
      <c r="DJ15">
        <v>-150</v>
      </c>
      <c r="DK15">
        <v>-185</v>
      </c>
      <c r="DL15">
        <v>-100</v>
      </c>
      <c r="DM15">
        <v>-210</v>
      </c>
      <c r="DN15">
        <v>-105</v>
      </c>
      <c r="DO15">
        <v>-170</v>
      </c>
      <c r="DP15">
        <v>-165</v>
      </c>
      <c r="DQ15">
        <v>-150</v>
      </c>
      <c r="DR15">
        <v>-160</v>
      </c>
      <c r="DS15">
        <v>-285</v>
      </c>
      <c r="DT15">
        <v>-85</v>
      </c>
      <c r="DU15">
        <v>-130</v>
      </c>
      <c r="DV15">
        <v>-190</v>
      </c>
      <c r="DW15">
        <v>-235</v>
      </c>
      <c r="DX15">
        <v>-155</v>
      </c>
      <c r="DY15">
        <v>-290</v>
      </c>
      <c r="DZ15">
        <v>-445</v>
      </c>
      <c r="EA15">
        <v>-160</v>
      </c>
      <c r="EB15">
        <v>-195</v>
      </c>
      <c r="EC15">
        <v>-175</v>
      </c>
      <c r="ED15">
        <v>-95</v>
      </c>
      <c r="EE15">
        <v>-245</v>
      </c>
      <c r="EF15">
        <v>-130</v>
      </c>
      <c r="EG15">
        <v>-5</v>
      </c>
      <c r="EH15">
        <v>-85</v>
      </c>
      <c r="EI15">
        <v>-125</v>
      </c>
      <c r="EJ15">
        <v>-85</v>
      </c>
      <c r="EK15">
        <v>5</v>
      </c>
      <c r="EL15">
        <v>65</v>
      </c>
      <c r="EM15">
        <v>-130</v>
      </c>
    </row>
    <row r="16" spans="1:143" x14ac:dyDescent="0.2">
      <c r="A16" t="str">
        <f>Input!M16</f>
        <v>SR</v>
      </c>
      <c r="B16">
        <v>163</v>
      </c>
      <c r="C16">
        <v>157</v>
      </c>
      <c r="D16">
        <v>191</v>
      </c>
      <c r="E16">
        <v>244</v>
      </c>
      <c r="F16">
        <v>252</v>
      </c>
      <c r="G16">
        <v>276</v>
      </c>
      <c r="H16">
        <v>251</v>
      </c>
      <c r="I16">
        <v>243</v>
      </c>
      <c r="J16">
        <v>229</v>
      </c>
      <c r="K16">
        <v>230</v>
      </c>
      <c r="L16">
        <v>241</v>
      </c>
      <c r="M16">
        <v>240</v>
      </c>
      <c r="N16">
        <v>269</v>
      </c>
      <c r="O16">
        <v>286</v>
      </c>
      <c r="P16">
        <v>303</v>
      </c>
      <c r="Q16">
        <v>297</v>
      </c>
      <c r="R16">
        <v>322</v>
      </c>
      <c r="S16">
        <v>-45</v>
      </c>
      <c r="T16">
        <v>-32</v>
      </c>
      <c r="U16">
        <v>32</v>
      </c>
      <c r="V16">
        <v>21</v>
      </c>
      <c r="W16">
        <v>4</v>
      </c>
      <c r="X16">
        <v>31</v>
      </c>
      <c r="Y16">
        <v>49</v>
      </c>
      <c r="Z16">
        <v>65</v>
      </c>
      <c r="AA16">
        <v>58</v>
      </c>
      <c r="AB16">
        <v>51</v>
      </c>
      <c r="AC16">
        <v>41</v>
      </c>
      <c r="AD16">
        <v>54</v>
      </c>
      <c r="AE16">
        <v>94</v>
      </c>
      <c r="AF16">
        <v>149</v>
      </c>
      <c r="AG16">
        <v>21</v>
      </c>
      <c r="AH16">
        <v>-85</v>
      </c>
      <c r="AI16">
        <v>-58</v>
      </c>
      <c r="AJ16">
        <v>-28</v>
      </c>
      <c r="AK16">
        <v>-24</v>
      </c>
      <c r="AL16">
        <v>-22</v>
      </c>
      <c r="AM16">
        <v>2</v>
      </c>
      <c r="AN16">
        <v>74</v>
      </c>
      <c r="AO16">
        <v>79</v>
      </c>
      <c r="AP16">
        <v>97</v>
      </c>
      <c r="AQ16">
        <v>48</v>
      </c>
      <c r="AR16">
        <v>-126</v>
      </c>
      <c r="AS16">
        <v>-135</v>
      </c>
      <c r="AT16">
        <v>-30</v>
      </c>
      <c r="AU16">
        <v>39</v>
      </c>
      <c r="AV16">
        <v>17</v>
      </c>
      <c r="AW16">
        <v>21</v>
      </c>
      <c r="AX16">
        <v>-37</v>
      </c>
      <c r="AY16">
        <v>-69</v>
      </c>
      <c r="AZ16">
        <v>-64</v>
      </c>
      <c r="BA16">
        <v>-82</v>
      </c>
      <c r="BB16">
        <v>-81</v>
      </c>
      <c r="BC16">
        <v>-39</v>
      </c>
      <c r="BD16">
        <v>-85</v>
      </c>
      <c r="BE16">
        <v>-18</v>
      </c>
      <c r="BF16">
        <v>-29</v>
      </c>
      <c r="BG16">
        <v>-6</v>
      </c>
      <c r="BH16">
        <v>80</v>
      </c>
      <c r="BI16">
        <v>64</v>
      </c>
      <c r="BJ16">
        <v>108</v>
      </c>
      <c r="BK16">
        <v>56</v>
      </c>
      <c r="BL16">
        <v>42</v>
      </c>
      <c r="BM16">
        <v>41</v>
      </c>
      <c r="BN16">
        <v>73</v>
      </c>
      <c r="BO16">
        <v>91</v>
      </c>
      <c r="BP16">
        <v>177</v>
      </c>
      <c r="BQ16">
        <v>174</v>
      </c>
      <c r="BR16">
        <v>200</v>
      </c>
      <c r="BS16">
        <v>202</v>
      </c>
      <c r="BT16">
        <v>185</v>
      </c>
      <c r="BU16">
        <v>219</v>
      </c>
      <c r="BV16">
        <v>282</v>
      </c>
      <c r="BW16">
        <v>221</v>
      </c>
      <c r="BX16">
        <v>258</v>
      </c>
      <c r="BY16">
        <v>277</v>
      </c>
      <c r="BZ16">
        <v>460</v>
      </c>
      <c r="CA16">
        <v>424</v>
      </c>
      <c r="CB16">
        <v>447</v>
      </c>
      <c r="CC16">
        <v>484</v>
      </c>
      <c r="CD16">
        <v>436</v>
      </c>
      <c r="CE16">
        <v>371</v>
      </c>
      <c r="CF16">
        <v>398</v>
      </c>
      <c r="CG16">
        <v>416</v>
      </c>
      <c r="CH16">
        <v>396</v>
      </c>
      <c r="CI16">
        <v>429</v>
      </c>
      <c r="CJ16">
        <v>411</v>
      </c>
      <c r="CK16">
        <v>453</v>
      </c>
      <c r="CL16">
        <v>130</v>
      </c>
      <c r="CM16">
        <v>230</v>
      </c>
      <c r="CN16">
        <v>240</v>
      </c>
      <c r="CO16">
        <v>144</v>
      </c>
      <c r="CP16">
        <v>138</v>
      </c>
      <c r="CQ16">
        <v>85</v>
      </c>
      <c r="CR16">
        <v>105</v>
      </c>
      <c r="CS16">
        <v>120</v>
      </c>
      <c r="CT16">
        <v>130</v>
      </c>
      <c r="CU16">
        <v>164</v>
      </c>
      <c r="CV16">
        <v>189</v>
      </c>
      <c r="CW16">
        <v>145</v>
      </c>
      <c r="CX16">
        <v>118</v>
      </c>
      <c r="CY16">
        <v>147</v>
      </c>
      <c r="CZ16">
        <v>260</v>
      </c>
      <c r="DA16">
        <v>258</v>
      </c>
      <c r="DB16">
        <v>212</v>
      </c>
      <c r="DC16">
        <v>204</v>
      </c>
      <c r="DD16">
        <v>199</v>
      </c>
      <c r="DE16">
        <v>224</v>
      </c>
      <c r="DF16">
        <v>219</v>
      </c>
      <c r="DG16">
        <v>190</v>
      </c>
      <c r="DH16">
        <v>209</v>
      </c>
      <c r="DI16">
        <v>210</v>
      </c>
      <c r="DJ16">
        <v>214</v>
      </c>
      <c r="DK16">
        <v>224</v>
      </c>
      <c r="DL16">
        <v>230</v>
      </c>
      <c r="DM16">
        <v>226</v>
      </c>
      <c r="DN16">
        <v>182</v>
      </c>
      <c r="DO16">
        <v>178</v>
      </c>
      <c r="DP16">
        <v>201</v>
      </c>
      <c r="DQ16">
        <v>193</v>
      </c>
      <c r="DR16">
        <v>207</v>
      </c>
      <c r="DS16">
        <v>253</v>
      </c>
      <c r="DT16">
        <v>203</v>
      </c>
      <c r="DU16">
        <v>232</v>
      </c>
      <c r="DV16">
        <v>232</v>
      </c>
      <c r="DW16">
        <v>171</v>
      </c>
      <c r="DX16">
        <v>168</v>
      </c>
      <c r="DY16">
        <v>230</v>
      </c>
      <c r="DZ16">
        <v>204</v>
      </c>
      <c r="EA16">
        <v>235</v>
      </c>
      <c r="EB16">
        <v>179</v>
      </c>
      <c r="EC16">
        <v>186</v>
      </c>
      <c r="ED16">
        <v>193</v>
      </c>
      <c r="EE16">
        <v>235</v>
      </c>
      <c r="EF16">
        <v>221</v>
      </c>
      <c r="EG16">
        <v>278</v>
      </c>
      <c r="EH16">
        <v>235</v>
      </c>
      <c r="EI16">
        <v>337</v>
      </c>
      <c r="EJ16">
        <v>337</v>
      </c>
      <c r="EK16">
        <v>330</v>
      </c>
      <c r="EL16">
        <v>378</v>
      </c>
      <c r="EM16">
        <v>221</v>
      </c>
    </row>
    <row r="17" spans="1:143" x14ac:dyDescent="0.2">
      <c r="A17" t="str">
        <f>Input!M17</f>
        <v>IC</v>
      </c>
      <c r="B17">
        <v>-0.68000000000029104</v>
      </c>
      <c r="C17">
        <v>-9.3900000000003274</v>
      </c>
      <c r="D17">
        <v>-16.269999999999527</v>
      </c>
      <c r="E17">
        <v>0.85999999999967258</v>
      </c>
      <c r="F17">
        <v>-11.9399999999996</v>
      </c>
      <c r="G17">
        <v>-2.2799999999997453</v>
      </c>
      <c r="H17">
        <v>-9.42</v>
      </c>
      <c r="I17">
        <v>-5.9499999999998181</v>
      </c>
      <c r="J17">
        <v>-14.529999999999745</v>
      </c>
      <c r="K17">
        <v>54.710000000000036</v>
      </c>
      <c r="L17">
        <v>75.849999999999454</v>
      </c>
      <c r="M17">
        <v>55.170000000000073</v>
      </c>
      <c r="N17">
        <v>66.729999999999563</v>
      </c>
      <c r="O17">
        <v>67.800000000000182</v>
      </c>
      <c r="P17">
        <v>55.649999999999636</v>
      </c>
      <c r="Q17">
        <v>62.960000000000036</v>
      </c>
      <c r="R17">
        <v>46.159999999999854</v>
      </c>
      <c r="S17">
        <v>-22.070000000000618</v>
      </c>
      <c r="T17">
        <v>-19.829999999999927</v>
      </c>
      <c r="U17">
        <v>-11.279999999999745</v>
      </c>
      <c r="V17">
        <v>-15.760000000000218</v>
      </c>
      <c r="W17">
        <v>11.039999999999964</v>
      </c>
      <c r="X17">
        <v>6.9999999999708962E-2</v>
      </c>
      <c r="Y17">
        <v>21.900000000000546</v>
      </c>
      <c r="Z17">
        <v>6.2700000000004366</v>
      </c>
      <c r="AA17">
        <v>-3.0200000000004366</v>
      </c>
      <c r="AB17">
        <v>44.470000000000255</v>
      </c>
      <c r="AC17">
        <v>5.1100000000005821</v>
      </c>
      <c r="AD17">
        <v>37.240000000000691</v>
      </c>
      <c r="AE17">
        <v>4.4400000000005093</v>
      </c>
      <c r="AF17">
        <v>3.0100000000002183</v>
      </c>
      <c r="AG17">
        <v>4.1599999999998545</v>
      </c>
      <c r="AH17">
        <v>3.5500000000001819</v>
      </c>
      <c r="AI17">
        <v>7.2799999999997453</v>
      </c>
      <c r="AJ17">
        <v>7.5599999999994907</v>
      </c>
      <c r="AK17">
        <v>26.450000000000728</v>
      </c>
      <c r="AL17">
        <v>33.429999999999382</v>
      </c>
      <c r="AM17">
        <v>25.590000000000146</v>
      </c>
      <c r="AN17">
        <v>42.5600000000004</v>
      </c>
      <c r="AO17">
        <v>17.670000000000073</v>
      </c>
      <c r="AP17">
        <v>42.0600000000004</v>
      </c>
      <c r="AQ17">
        <v>55.699999999999818</v>
      </c>
      <c r="AR17">
        <v>7.930000000000291</v>
      </c>
      <c r="AS17">
        <v>19.539999999999964</v>
      </c>
      <c r="AT17">
        <v>49.389999999999418</v>
      </c>
      <c r="AU17">
        <v>27.350000000000364</v>
      </c>
      <c r="AV17">
        <v>45</v>
      </c>
      <c r="AW17">
        <v>36.74</v>
      </c>
      <c r="AX17">
        <v>1</v>
      </c>
      <c r="AY17">
        <v>6</v>
      </c>
      <c r="AZ17">
        <v>7</v>
      </c>
      <c r="BA17">
        <v>21.409999999999854</v>
      </c>
      <c r="BB17">
        <v>6</v>
      </c>
      <c r="BC17">
        <v>21</v>
      </c>
      <c r="BD17">
        <v>16</v>
      </c>
      <c r="BE17">
        <v>18</v>
      </c>
      <c r="BF17">
        <v>33.969999999999345</v>
      </c>
      <c r="BG17">
        <v>27</v>
      </c>
      <c r="BH17">
        <v>45</v>
      </c>
      <c r="BI17">
        <v>45</v>
      </c>
      <c r="BJ17">
        <v>53</v>
      </c>
      <c r="BK17">
        <v>44</v>
      </c>
      <c r="BL17">
        <v>58.880000000000109</v>
      </c>
      <c r="BM17">
        <v>46.550000000000182</v>
      </c>
      <c r="BN17">
        <v>22.789999999999964</v>
      </c>
      <c r="BO17">
        <v>62</v>
      </c>
      <c r="BP17">
        <v>57.619999999999891</v>
      </c>
      <c r="BQ17">
        <v>41.800000000000182</v>
      </c>
      <c r="BR17">
        <v>-1</v>
      </c>
      <c r="BS17">
        <v>-12.389999999999418</v>
      </c>
      <c r="BT17">
        <v>16.320000000000618</v>
      </c>
      <c r="BU17">
        <v>-0.72999999999956344</v>
      </c>
      <c r="BV17">
        <v>14.83</v>
      </c>
      <c r="BW17">
        <v>3.569999999999709</v>
      </c>
      <c r="BX17">
        <v>9.4499999999998181</v>
      </c>
      <c r="BY17">
        <v>3.4099999999998545</v>
      </c>
      <c r="BZ17">
        <v>1.6799999999993815</v>
      </c>
      <c r="CA17">
        <v>12.010000000000218</v>
      </c>
      <c r="CB17">
        <v>19.900000000000546</v>
      </c>
      <c r="CC17">
        <v>18.539999999999964</v>
      </c>
      <c r="CD17">
        <v>22.369999999999891</v>
      </c>
      <c r="CE17">
        <v>47.150000000000546</v>
      </c>
      <c r="CF17">
        <v>27.8799999999992</v>
      </c>
      <c r="CG17">
        <v>20.1899999999996</v>
      </c>
      <c r="CH17">
        <v>4.5700000000006185</v>
      </c>
      <c r="CI17">
        <v>10.449999999999818</v>
      </c>
      <c r="CJ17">
        <v>-4.6700000000000728</v>
      </c>
      <c r="CK17">
        <v>-5.8900000000003274</v>
      </c>
      <c r="CL17">
        <v>-7.6799999999993815</v>
      </c>
      <c r="CM17">
        <v>1.9499999999998181</v>
      </c>
      <c r="CN17">
        <v>-10.520000000000437</v>
      </c>
      <c r="CO17">
        <v>3.9299999999993815</v>
      </c>
      <c r="CP17">
        <v>-2.2200000000002547</v>
      </c>
      <c r="CQ17">
        <v>2.9299999999993815</v>
      </c>
      <c r="CR17">
        <v>9.4800000000004729</v>
      </c>
      <c r="CS17">
        <v>12.920000000000073</v>
      </c>
      <c r="CT17">
        <v>7.2700000000004366</v>
      </c>
      <c r="CU17">
        <v>-6.410000000000764</v>
      </c>
      <c r="CV17">
        <v>3.4200000000000728</v>
      </c>
      <c r="CW17">
        <v>11.069999999999709</v>
      </c>
      <c r="CX17">
        <v>9.2699999999995271</v>
      </c>
      <c r="CY17">
        <v>-7.3599999999996726</v>
      </c>
      <c r="CZ17">
        <v>3.0600000000004002</v>
      </c>
      <c r="DA17">
        <v>36.75</v>
      </c>
      <c r="DB17">
        <v>35.279999999999745</v>
      </c>
      <c r="DC17">
        <v>60.559999999999491</v>
      </c>
      <c r="DD17">
        <v>30.170000000000073</v>
      </c>
      <c r="DE17">
        <v>-1.3100000000004002</v>
      </c>
      <c r="DF17">
        <v>8.1400000000003274</v>
      </c>
      <c r="DG17">
        <v>-3.4799999999995634</v>
      </c>
      <c r="DH17">
        <v>9.569999999999709</v>
      </c>
      <c r="DI17">
        <v>12.420000000000073</v>
      </c>
      <c r="DJ17">
        <v>21.479999999999563</v>
      </c>
      <c r="DK17">
        <v>21.5600000000004</v>
      </c>
      <c r="DL17">
        <v>21.930000000000291</v>
      </c>
      <c r="DM17">
        <v>31.890000000000327</v>
      </c>
      <c r="DN17">
        <v>26.450000000000728</v>
      </c>
      <c r="DO17">
        <v>21.809999999999491</v>
      </c>
      <c r="DP17">
        <v>18.910000000000764</v>
      </c>
      <c r="DQ17">
        <v>22.900000000000546</v>
      </c>
      <c r="DR17">
        <v>42.8100000000004</v>
      </c>
      <c r="DS17">
        <v>32.75</v>
      </c>
      <c r="DT17">
        <v>50.220000000000255</v>
      </c>
      <c r="DU17">
        <v>47.690000000000509</v>
      </c>
      <c r="DV17">
        <v>74.789999999999964</v>
      </c>
      <c r="DW17">
        <v>72.679999999999382</v>
      </c>
      <c r="DX17">
        <v>68.520000000000437</v>
      </c>
      <c r="DY17">
        <v>6.2100000000000364</v>
      </c>
      <c r="DZ17">
        <v>25.219999999999345</v>
      </c>
      <c r="EA17">
        <v>20.759999999999309</v>
      </c>
      <c r="EB17">
        <v>2.9200000000000728</v>
      </c>
      <c r="EC17">
        <v>31.279999999999745</v>
      </c>
      <c r="ED17">
        <v>39.069999999999709</v>
      </c>
      <c r="EE17">
        <v>27.520000000000437</v>
      </c>
      <c r="EF17">
        <v>22.759999999999309</v>
      </c>
      <c r="EG17">
        <v>42.739999999999782</v>
      </c>
      <c r="EH17">
        <v>42.079999999999927</v>
      </c>
      <c r="EI17">
        <v>30.390000000000327</v>
      </c>
      <c r="EJ17">
        <v>45.950000000000728</v>
      </c>
      <c r="EK17">
        <v>36.170000000000073</v>
      </c>
      <c r="EL17">
        <v>44.949999999999818</v>
      </c>
      <c r="EM17">
        <v>31.460000000000036</v>
      </c>
    </row>
    <row r="18" spans="1:143" x14ac:dyDescent="0.2">
      <c r="A18" t="str">
        <f>Input!M18</f>
        <v>IH</v>
      </c>
      <c r="B18">
        <v>-10.569999999999709</v>
      </c>
      <c r="C18">
        <v>-8.7300000000000182</v>
      </c>
      <c r="D18">
        <v>-8.3099999999999454</v>
      </c>
      <c r="E18">
        <v>-11.230000000000018</v>
      </c>
      <c r="F18">
        <v>-12.460000000000036</v>
      </c>
      <c r="G18">
        <v>-2</v>
      </c>
      <c r="H18">
        <v>-5.91</v>
      </c>
      <c r="I18">
        <v>-3.2400000000002365</v>
      </c>
      <c r="J18">
        <v>-5.25</v>
      </c>
      <c r="K18">
        <v>-21.059999999999945</v>
      </c>
      <c r="L18">
        <v>-25.140000000000327</v>
      </c>
      <c r="M18">
        <v>-23.369999999999891</v>
      </c>
      <c r="N18">
        <v>-22.050000000000182</v>
      </c>
      <c r="O18">
        <v>-25.880000000000109</v>
      </c>
      <c r="P18">
        <v>-24.070000000000164</v>
      </c>
      <c r="Q18">
        <v>-23.440000000000055</v>
      </c>
      <c r="R18">
        <v>-24.529999999999745</v>
      </c>
      <c r="S18">
        <v>-4.8299999999999272</v>
      </c>
      <c r="T18">
        <v>-6.2899999999999636</v>
      </c>
      <c r="U18">
        <v>-6.8000000000001819</v>
      </c>
      <c r="V18">
        <v>-10.759999999999764</v>
      </c>
      <c r="W18">
        <v>-18.360000000000127</v>
      </c>
      <c r="X18">
        <v>-16.690000000000055</v>
      </c>
      <c r="Y18">
        <v>-15.5300000000002</v>
      </c>
      <c r="Z18">
        <v>-15.25</v>
      </c>
      <c r="AA18">
        <v>-14.790000000000418</v>
      </c>
      <c r="AB18">
        <v>-6.8799999999996544</v>
      </c>
      <c r="AC18">
        <v>-12.100000000000364</v>
      </c>
      <c r="AD18">
        <v>-12.320000000000164</v>
      </c>
      <c r="AE18">
        <v>-3.2100000000000364</v>
      </c>
      <c r="AF18">
        <v>-0.6499999999996362</v>
      </c>
      <c r="AG18">
        <v>-5.3000000000001819</v>
      </c>
      <c r="AH18">
        <v>-5.2100000000000364</v>
      </c>
      <c r="AI18">
        <v>-2.5700000000001637</v>
      </c>
      <c r="AJ18">
        <v>-1.9499999999998181</v>
      </c>
      <c r="AK18">
        <v>-3.6199999999998909</v>
      </c>
      <c r="AL18">
        <v>-2.0999999999999091</v>
      </c>
      <c r="AM18">
        <v>1.0799999999999272</v>
      </c>
      <c r="AN18">
        <v>-5.4200000000000728</v>
      </c>
      <c r="AO18">
        <v>-1.9699999999997999</v>
      </c>
      <c r="AP18">
        <v>-6</v>
      </c>
      <c r="AQ18">
        <v>-6.7300000000000182</v>
      </c>
      <c r="AR18">
        <v>-9.7100000000000364</v>
      </c>
      <c r="AS18">
        <v>-7.9600000000000364</v>
      </c>
      <c r="AT18">
        <v>-14.849999999999909</v>
      </c>
      <c r="AU18">
        <v>-10.769999999999982</v>
      </c>
      <c r="AV18">
        <v>-6</v>
      </c>
      <c r="AW18">
        <v>-7.11</v>
      </c>
      <c r="AX18">
        <v>-1</v>
      </c>
      <c r="AY18">
        <v>1</v>
      </c>
      <c r="AZ18">
        <v>-5</v>
      </c>
      <c r="BA18">
        <v>-1.9800000000000182</v>
      </c>
      <c r="BB18">
        <v>-2</v>
      </c>
      <c r="BC18">
        <v>0</v>
      </c>
      <c r="BD18">
        <v>-7</v>
      </c>
      <c r="BE18">
        <v>-7</v>
      </c>
      <c r="BF18">
        <v>-4.9000000000000909</v>
      </c>
      <c r="BG18">
        <v>-2</v>
      </c>
      <c r="BH18">
        <v>-7</v>
      </c>
      <c r="BI18">
        <v>-6</v>
      </c>
      <c r="BJ18">
        <v>-4</v>
      </c>
      <c r="BK18">
        <v>-2</v>
      </c>
      <c r="BL18">
        <v>-1.7899999999999636</v>
      </c>
      <c r="BM18">
        <v>-4.3899999999998727</v>
      </c>
      <c r="BN18">
        <v>-2.5</v>
      </c>
      <c r="BO18">
        <v>-3</v>
      </c>
      <c r="BP18">
        <v>-0.92000000000007276</v>
      </c>
      <c r="BQ18">
        <v>1</v>
      </c>
      <c r="BR18">
        <v>-3</v>
      </c>
      <c r="BS18">
        <v>-2.580000000000382</v>
      </c>
      <c r="BT18">
        <v>1.0299999999997453</v>
      </c>
      <c r="BU18">
        <v>-1.6599999999998545</v>
      </c>
      <c r="BV18">
        <v>-4.75</v>
      </c>
      <c r="BW18">
        <v>-2.4899999999997817</v>
      </c>
      <c r="BX18">
        <v>-2.9600000000000364</v>
      </c>
      <c r="BY18">
        <v>-1.9800000000000182</v>
      </c>
      <c r="BZ18">
        <v>-12.75</v>
      </c>
      <c r="CA18">
        <v>-10.720000000000255</v>
      </c>
      <c r="CB18">
        <v>-7.1099999999996726</v>
      </c>
      <c r="CC18">
        <v>-8.4100000000003092</v>
      </c>
      <c r="CD18">
        <v>-8.2400000000002365</v>
      </c>
      <c r="CE18">
        <v>-5.9900000000002365</v>
      </c>
      <c r="CF18">
        <v>-8.4800000000000182</v>
      </c>
      <c r="CG18">
        <v>-10.470000000000255</v>
      </c>
      <c r="CH18">
        <v>-8.1499999999996362</v>
      </c>
      <c r="CI18">
        <v>-11.650000000000091</v>
      </c>
      <c r="CJ18">
        <v>-13.449999999999818</v>
      </c>
      <c r="CK18">
        <v>9.9999999999909051E-2</v>
      </c>
      <c r="CL18">
        <v>-2.8099999999999454</v>
      </c>
      <c r="CM18">
        <v>-2.0799999999999272</v>
      </c>
      <c r="CN18">
        <v>-4.3799999999996544</v>
      </c>
      <c r="CO18">
        <v>-5.930000000000291</v>
      </c>
      <c r="CP18">
        <v>-5.0300000000002001</v>
      </c>
      <c r="CQ18">
        <v>-7.4299999999998363</v>
      </c>
      <c r="CR18">
        <v>-5.4299999999998363</v>
      </c>
      <c r="CS18">
        <v>-6.6100000000001273</v>
      </c>
      <c r="CT18">
        <v>-9.0099999999997635</v>
      </c>
      <c r="CU18">
        <v>-9.0999999999999091</v>
      </c>
      <c r="CV18">
        <v>-10.010000000000218</v>
      </c>
      <c r="CW18">
        <v>-8.1600000000003092</v>
      </c>
      <c r="CX18">
        <v>-9.0899999999996908</v>
      </c>
      <c r="CY18">
        <v>-6.9600000000000364</v>
      </c>
      <c r="CZ18">
        <v>-4.6599999999998545</v>
      </c>
      <c r="DA18">
        <v>-3.1200000000003456</v>
      </c>
      <c r="DB18">
        <v>-3.3200000000001637</v>
      </c>
      <c r="DC18">
        <v>-0.23999999999978172</v>
      </c>
      <c r="DD18">
        <v>-1.8600000000001273</v>
      </c>
      <c r="DE18">
        <v>2.0499999999997272</v>
      </c>
      <c r="DF18">
        <v>7.0000000000163709E-2</v>
      </c>
      <c r="DG18">
        <v>-0.63000000000010914</v>
      </c>
      <c r="DH18">
        <v>1.0500000000001819</v>
      </c>
      <c r="DI18">
        <v>2.6399999999998727</v>
      </c>
      <c r="DJ18">
        <v>-4.0099999999997635</v>
      </c>
      <c r="DK18">
        <v>0.27999999999974534</v>
      </c>
      <c r="DL18">
        <v>0.46000000000003638</v>
      </c>
      <c r="DM18">
        <v>-1.1400000000003274</v>
      </c>
      <c r="DN18">
        <v>-1.7400000000002365</v>
      </c>
      <c r="DO18">
        <v>-1.9500000000002728</v>
      </c>
      <c r="DP18">
        <v>-5.9899999999997817</v>
      </c>
      <c r="DQ18">
        <v>-1.2300000000000182</v>
      </c>
      <c r="DR18">
        <v>0.92000000000007276</v>
      </c>
      <c r="DS18">
        <v>1.8000000000001819</v>
      </c>
      <c r="DT18">
        <v>2.1500000000000909</v>
      </c>
      <c r="DU18">
        <v>-2.6399999999998727</v>
      </c>
      <c r="DV18">
        <v>-8.9999999999690772E-2</v>
      </c>
      <c r="DW18">
        <v>-3.069999999999709</v>
      </c>
      <c r="DX18">
        <v>-2.1199999999998909</v>
      </c>
      <c r="DY18">
        <v>-1.8200000000001637</v>
      </c>
      <c r="DZ18">
        <v>-3.1400000000003274</v>
      </c>
      <c r="EA18">
        <v>0.30999999999994543</v>
      </c>
      <c r="EB18">
        <v>-2.1300000000001091</v>
      </c>
      <c r="EC18">
        <v>-0.15000000000009095</v>
      </c>
      <c r="ED18">
        <v>0.84000000000014552</v>
      </c>
      <c r="EE18">
        <v>6.4699999999997999</v>
      </c>
      <c r="EF18">
        <v>6.5999999999999091</v>
      </c>
      <c r="EG18">
        <v>10.929999999999836</v>
      </c>
      <c r="EH18">
        <v>14.879999999999654</v>
      </c>
      <c r="EI18">
        <v>15.039999999999964</v>
      </c>
      <c r="EJ18">
        <v>22.759999999999764</v>
      </c>
      <c r="EK18">
        <v>22.190000000000055</v>
      </c>
      <c r="EL18">
        <v>20.519999999999982</v>
      </c>
      <c r="EM18">
        <v>19.700000000000273</v>
      </c>
    </row>
    <row r="19" spans="1:143" x14ac:dyDescent="0.2">
      <c r="A19" t="str">
        <f>Input!M19</f>
        <v>IF</v>
      </c>
      <c r="B19">
        <v>-12.950000000000728</v>
      </c>
      <c r="C19">
        <v>-11.050000000000182</v>
      </c>
      <c r="D19">
        <v>-14.069999999999709</v>
      </c>
      <c r="E19">
        <v>-10.720000000000255</v>
      </c>
      <c r="F19">
        <v>-14.039999999999964</v>
      </c>
      <c r="G19">
        <v>-4.0399999999999636</v>
      </c>
      <c r="H19">
        <v>-10.44</v>
      </c>
      <c r="I19">
        <v>-8.7399999999997817</v>
      </c>
      <c r="J19">
        <v>-8.3500000000003638</v>
      </c>
      <c r="K19">
        <v>-1.3099999999994907</v>
      </c>
      <c r="L19">
        <v>-2.1899999999995998</v>
      </c>
      <c r="M19">
        <v>-7.4200000000000728</v>
      </c>
      <c r="N19">
        <v>-1.8900000000003274</v>
      </c>
      <c r="O19">
        <v>-6.930000000000291</v>
      </c>
      <c r="P19">
        <v>-5.5900000000001455</v>
      </c>
      <c r="Q19">
        <v>-4.680000000000291</v>
      </c>
      <c r="R19">
        <v>-6.8299999999999272</v>
      </c>
      <c r="S19">
        <v>-9.6999999999998181</v>
      </c>
      <c r="T19">
        <v>-10.599999999999909</v>
      </c>
      <c r="U19">
        <v>-8.1199999999998909</v>
      </c>
      <c r="V19">
        <v>-12.419999999999618</v>
      </c>
      <c r="W19">
        <v>-15.649999999999636</v>
      </c>
      <c r="X19">
        <v>-20.910000000000309</v>
      </c>
      <c r="Y19">
        <v>-13.269999999999982</v>
      </c>
      <c r="Z19">
        <v>-16.269999999999982</v>
      </c>
      <c r="AA19">
        <v>-19.039999999999964</v>
      </c>
      <c r="AB19">
        <v>2.1799999999998363</v>
      </c>
      <c r="AC19">
        <v>-10.349999999999909</v>
      </c>
      <c r="AD19">
        <v>-6.6399999999998727</v>
      </c>
      <c r="AE19">
        <v>-5.8099999999999454</v>
      </c>
      <c r="AF19">
        <v>1.6199999999998909</v>
      </c>
      <c r="AG19">
        <v>-2.3399999999996908</v>
      </c>
      <c r="AH19">
        <v>-2.6400000000003274</v>
      </c>
      <c r="AI19">
        <v>5.7300000000000182</v>
      </c>
      <c r="AJ19">
        <v>0.37000000000034561</v>
      </c>
      <c r="AK19">
        <v>5.75</v>
      </c>
      <c r="AL19">
        <v>16.130000000000109</v>
      </c>
      <c r="AM19">
        <v>11.090000000000146</v>
      </c>
      <c r="AN19">
        <v>12.660000000000309</v>
      </c>
      <c r="AO19">
        <v>5.5100000000002183</v>
      </c>
      <c r="AP19">
        <v>9.2399999999997817</v>
      </c>
      <c r="AQ19">
        <v>16.409999999999854</v>
      </c>
      <c r="AR19">
        <v>-3.4800000000000182</v>
      </c>
      <c r="AS19">
        <v>-2.669999999999618</v>
      </c>
      <c r="AT19">
        <v>-18.650000000000546</v>
      </c>
      <c r="AU19">
        <v>-13.920000000000073</v>
      </c>
      <c r="AV19">
        <v>1</v>
      </c>
      <c r="AW19">
        <v>-2.27</v>
      </c>
      <c r="AX19">
        <v>0</v>
      </c>
      <c r="AY19">
        <v>-1</v>
      </c>
      <c r="AZ19">
        <v>-9</v>
      </c>
      <c r="BA19">
        <v>-2.1599999999998545</v>
      </c>
      <c r="BB19">
        <v>-2</v>
      </c>
      <c r="BC19">
        <v>7</v>
      </c>
      <c r="BD19">
        <v>-2</v>
      </c>
      <c r="BE19">
        <v>1</v>
      </c>
      <c r="BF19">
        <v>5.6500000000000909</v>
      </c>
      <c r="BG19">
        <v>17</v>
      </c>
      <c r="BH19">
        <v>5</v>
      </c>
      <c r="BI19">
        <v>8</v>
      </c>
      <c r="BJ19">
        <v>12</v>
      </c>
      <c r="BK19">
        <v>14</v>
      </c>
      <c r="BL19">
        <v>13.730000000000018</v>
      </c>
      <c r="BM19">
        <v>7.4299999999998363</v>
      </c>
      <c r="BN19">
        <v>4.7300000000000182</v>
      </c>
      <c r="BO19">
        <v>14</v>
      </c>
      <c r="BP19">
        <v>19.440000000000055</v>
      </c>
      <c r="BQ19">
        <v>15.799999999999727</v>
      </c>
      <c r="BR19">
        <v>-4</v>
      </c>
      <c r="BS19">
        <v>-1.7999999999997272</v>
      </c>
      <c r="BT19">
        <v>4.4000000000000909</v>
      </c>
      <c r="BU19">
        <v>-2.1500000000000909</v>
      </c>
      <c r="BV19">
        <v>-3.83</v>
      </c>
      <c r="BW19">
        <v>-3.2800000000002001</v>
      </c>
      <c r="BX19">
        <v>2.2899999999999636</v>
      </c>
      <c r="BY19">
        <v>1.1899999999995998</v>
      </c>
      <c r="BZ19">
        <v>-14.720000000000255</v>
      </c>
      <c r="CA19">
        <v>-8.0799999999999272</v>
      </c>
      <c r="CB19">
        <v>0.88999999999987267</v>
      </c>
      <c r="CC19">
        <v>2.2400000000002365</v>
      </c>
      <c r="CD19">
        <v>2.5100000000002183</v>
      </c>
      <c r="CE19">
        <v>4.6599999999998545</v>
      </c>
      <c r="CF19">
        <v>3.7199999999997999</v>
      </c>
      <c r="CG19">
        <v>2.5599999999999454</v>
      </c>
      <c r="CH19">
        <v>0.17000000000007276</v>
      </c>
      <c r="CI19">
        <v>-4</v>
      </c>
      <c r="CJ19">
        <v>-8.4900000000002365</v>
      </c>
      <c r="CK19">
        <v>-2.1900000000000546</v>
      </c>
      <c r="CL19">
        <v>-4.2100000000000364</v>
      </c>
      <c r="CM19">
        <v>0.84000000000014552</v>
      </c>
      <c r="CN19">
        <v>-3.0199999999999818</v>
      </c>
      <c r="CO19">
        <v>-4.1900000000000546</v>
      </c>
      <c r="CP19">
        <v>-4.5500000000001819</v>
      </c>
      <c r="CQ19">
        <v>-1.9400000000000546</v>
      </c>
      <c r="CR19">
        <v>-0.23000000000001819</v>
      </c>
      <c r="CS19">
        <v>-0.90999999999985448</v>
      </c>
      <c r="CT19">
        <v>-1.7600000000002183</v>
      </c>
      <c r="CU19">
        <v>-10.100000000000364</v>
      </c>
      <c r="CV19">
        <v>-7.6900000000000546</v>
      </c>
      <c r="CW19">
        <v>-4.5399999999999636</v>
      </c>
      <c r="CX19">
        <v>-3.6300000000001091</v>
      </c>
      <c r="CY19">
        <v>-4.5599999999999454</v>
      </c>
      <c r="CZ19">
        <v>2.3099999999999454</v>
      </c>
      <c r="DA19">
        <v>16.579999999999927</v>
      </c>
      <c r="DB19">
        <v>17.340000000000146</v>
      </c>
      <c r="DC19">
        <v>25.139999999999873</v>
      </c>
      <c r="DD19">
        <v>15.840000000000146</v>
      </c>
      <c r="DE19">
        <v>-2.1900000000000546</v>
      </c>
      <c r="DF19">
        <v>7.7600000000002183</v>
      </c>
      <c r="DG19">
        <v>5.9000000000000909</v>
      </c>
      <c r="DH19">
        <v>10.849999999999909</v>
      </c>
      <c r="DI19">
        <v>10.579999999999927</v>
      </c>
      <c r="DJ19">
        <v>5.1300000000001091</v>
      </c>
      <c r="DK19">
        <v>12.599999999999909</v>
      </c>
      <c r="DL19">
        <v>14.5300000000002</v>
      </c>
      <c r="DM19">
        <v>14.180000000000291</v>
      </c>
      <c r="DN19">
        <v>11.420000000000073</v>
      </c>
      <c r="DO19">
        <v>6.3099999999999454</v>
      </c>
      <c r="DP19">
        <v>5.4899999999997817</v>
      </c>
      <c r="DQ19">
        <v>15.509999999999764</v>
      </c>
      <c r="DR19">
        <v>19.5</v>
      </c>
      <c r="DS19">
        <v>13.649999999999636</v>
      </c>
      <c r="DT19">
        <v>17.880000000000109</v>
      </c>
      <c r="DU19">
        <v>12.210000000000036</v>
      </c>
      <c r="DV19">
        <v>16.450000000000273</v>
      </c>
      <c r="DW19">
        <v>12.769999999999982</v>
      </c>
      <c r="DX19">
        <v>11.409999999999854</v>
      </c>
      <c r="DY19">
        <v>1.1900000000000546</v>
      </c>
      <c r="DZ19">
        <v>3.3699999999998909</v>
      </c>
      <c r="EA19">
        <v>8.5299999999997453</v>
      </c>
      <c r="EB19">
        <v>1.5899999999996908</v>
      </c>
      <c r="EC19">
        <v>7.25</v>
      </c>
      <c r="ED19">
        <v>10.049999999999727</v>
      </c>
      <c r="EE19">
        <v>11.349999999999909</v>
      </c>
      <c r="EF19">
        <v>6.3000000000001819</v>
      </c>
      <c r="EG19">
        <v>19.419999999999618</v>
      </c>
      <c r="EH19">
        <v>22.380000000000109</v>
      </c>
      <c r="EI19">
        <v>17.889999999999873</v>
      </c>
      <c r="EJ19">
        <v>24.429999999999836</v>
      </c>
      <c r="EK19">
        <v>21.170000000000073</v>
      </c>
      <c r="EL19">
        <v>23.679999999999836</v>
      </c>
      <c r="EM19">
        <v>20.210000000000036</v>
      </c>
    </row>
    <row r="20" spans="1:143" x14ac:dyDescent="0.2">
      <c r="A20" t="str">
        <f>Input!M20</f>
        <v>CU</v>
      </c>
      <c r="B20">
        <v>-100</v>
      </c>
      <c r="C20">
        <v>-90</v>
      </c>
      <c r="D20">
        <v>-40</v>
      </c>
      <c r="E20">
        <v>30</v>
      </c>
      <c r="F20">
        <v>-40</v>
      </c>
      <c r="G20">
        <v>-100</v>
      </c>
      <c r="H20">
        <v>-200</v>
      </c>
      <c r="I20">
        <v>-40</v>
      </c>
      <c r="J20">
        <v>50</v>
      </c>
      <c r="K20">
        <v>-480</v>
      </c>
      <c r="L20">
        <v>-340</v>
      </c>
      <c r="M20">
        <v>-400</v>
      </c>
      <c r="N20">
        <v>-340</v>
      </c>
      <c r="O20">
        <v>-310</v>
      </c>
      <c r="P20">
        <v>-250</v>
      </c>
      <c r="Q20">
        <v>-250</v>
      </c>
      <c r="R20">
        <v>-270</v>
      </c>
      <c r="S20">
        <v>-260</v>
      </c>
      <c r="T20">
        <v>-350</v>
      </c>
      <c r="U20">
        <v>-210</v>
      </c>
      <c r="V20">
        <v>-290</v>
      </c>
      <c r="W20">
        <v>-330</v>
      </c>
      <c r="X20">
        <v>-280</v>
      </c>
      <c r="Y20">
        <v>-220</v>
      </c>
      <c r="Z20">
        <v>-170</v>
      </c>
      <c r="AA20">
        <v>-180</v>
      </c>
      <c r="AB20">
        <v>-220</v>
      </c>
      <c r="AC20">
        <v>40</v>
      </c>
      <c r="AD20">
        <v>-80</v>
      </c>
      <c r="AE20">
        <v>-220</v>
      </c>
      <c r="AF20">
        <v>20</v>
      </c>
      <c r="AG20">
        <v>-90</v>
      </c>
      <c r="AH20">
        <v>-230</v>
      </c>
      <c r="AI20">
        <v>160</v>
      </c>
      <c r="AJ20">
        <v>-250</v>
      </c>
      <c r="AK20">
        <v>-170</v>
      </c>
      <c r="AL20">
        <v>-90</v>
      </c>
      <c r="AM20">
        <v>120</v>
      </c>
      <c r="AN20">
        <v>-20</v>
      </c>
      <c r="AO20">
        <v>-80</v>
      </c>
      <c r="AP20">
        <v>-150</v>
      </c>
      <c r="AQ20">
        <v>-150</v>
      </c>
      <c r="AR20">
        <v>190</v>
      </c>
      <c r="AS20">
        <v>120</v>
      </c>
      <c r="AT20">
        <v>-190</v>
      </c>
      <c r="AU20">
        <v>-180</v>
      </c>
      <c r="AV20">
        <v>-220</v>
      </c>
      <c r="AW20">
        <v>-10</v>
      </c>
      <c r="AX20">
        <v>-110</v>
      </c>
      <c r="AY20">
        <v>30</v>
      </c>
      <c r="AZ20">
        <v>-50</v>
      </c>
      <c r="BA20">
        <v>-50</v>
      </c>
      <c r="BB20">
        <v>-100</v>
      </c>
      <c r="BC20">
        <v>0</v>
      </c>
      <c r="BD20">
        <v>160</v>
      </c>
      <c r="BE20">
        <v>170</v>
      </c>
      <c r="BF20">
        <v>180</v>
      </c>
      <c r="BG20">
        <v>-60</v>
      </c>
      <c r="BH20">
        <v>-40</v>
      </c>
      <c r="BI20">
        <v>150</v>
      </c>
      <c r="BJ20">
        <v>-10</v>
      </c>
      <c r="BK20">
        <v>70</v>
      </c>
      <c r="BL20">
        <v>20</v>
      </c>
      <c r="BM20">
        <v>290</v>
      </c>
      <c r="BN20">
        <v>180</v>
      </c>
      <c r="BO20">
        <v>430</v>
      </c>
      <c r="BP20">
        <v>280</v>
      </c>
      <c r="BQ20">
        <v>270</v>
      </c>
      <c r="BR20">
        <v>-430</v>
      </c>
      <c r="BS20">
        <v>150</v>
      </c>
      <c r="BT20">
        <v>410</v>
      </c>
      <c r="BU20">
        <v>290</v>
      </c>
      <c r="BV20">
        <v>-300</v>
      </c>
      <c r="BW20">
        <v>330</v>
      </c>
      <c r="BX20">
        <v>500</v>
      </c>
      <c r="BY20">
        <v>380</v>
      </c>
      <c r="BZ20">
        <v>380</v>
      </c>
      <c r="CA20">
        <v>60</v>
      </c>
      <c r="CB20">
        <v>110</v>
      </c>
      <c r="CC20">
        <v>40</v>
      </c>
      <c r="CD20">
        <v>110</v>
      </c>
      <c r="CE20">
        <v>220</v>
      </c>
      <c r="CF20">
        <v>200</v>
      </c>
      <c r="CG20">
        <v>120</v>
      </c>
      <c r="CH20">
        <v>100</v>
      </c>
      <c r="CI20">
        <v>160</v>
      </c>
      <c r="CJ20">
        <v>90</v>
      </c>
      <c r="CK20">
        <v>260</v>
      </c>
      <c r="CL20">
        <v>10</v>
      </c>
      <c r="CM20">
        <v>170</v>
      </c>
      <c r="CN20">
        <v>-30</v>
      </c>
      <c r="CO20">
        <v>-100</v>
      </c>
      <c r="CP20">
        <v>140</v>
      </c>
      <c r="CQ20">
        <v>150</v>
      </c>
      <c r="CR20">
        <v>-40</v>
      </c>
      <c r="CS20">
        <v>0</v>
      </c>
      <c r="CT20">
        <v>150</v>
      </c>
      <c r="CU20">
        <v>50</v>
      </c>
      <c r="CV20">
        <v>-40</v>
      </c>
      <c r="CW20">
        <v>20</v>
      </c>
      <c r="CX20">
        <v>120</v>
      </c>
      <c r="CY20">
        <v>-100</v>
      </c>
      <c r="CZ20">
        <v>-120</v>
      </c>
      <c r="DA20">
        <v>-170</v>
      </c>
      <c r="DB20">
        <v>-280</v>
      </c>
      <c r="DC20">
        <v>-270</v>
      </c>
      <c r="DD20">
        <v>-180</v>
      </c>
      <c r="DE20">
        <v>-160</v>
      </c>
      <c r="DF20">
        <v>-60</v>
      </c>
      <c r="DG20">
        <v>60</v>
      </c>
      <c r="DH20">
        <v>90</v>
      </c>
      <c r="DI20">
        <v>60</v>
      </c>
      <c r="DJ20">
        <v>180</v>
      </c>
      <c r="DK20">
        <v>170</v>
      </c>
      <c r="DL20">
        <v>10</v>
      </c>
      <c r="DM20">
        <v>140</v>
      </c>
      <c r="DN20">
        <v>-10</v>
      </c>
      <c r="DO20">
        <v>200</v>
      </c>
      <c r="DP20">
        <v>120</v>
      </c>
      <c r="DQ20">
        <v>100</v>
      </c>
      <c r="DR20">
        <v>-40</v>
      </c>
      <c r="DS20">
        <v>-50</v>
      </c>
      <c r="DT20">
        <v>230</v>
      </c>
      <c r="DU20">
        <v>20</v>
      </c>
      <c r="DV20">
        <v>-690</v>
      </c>
      <c r="DW20">
        <v>-280</v>
      </c>
      <c r="DX20">
        <v>-10</v>
      </c>
      <c r="DY20">
        <v>-50</v>
      </c>
      <c r="DZ20">
        <v>-160</v>
      </c>
      <c r="EA20">
        <v>-80</v>
      </c>
      <c r="EB20">
        <v>50</v>
      </c>
      <c r="EC20">
        <v>-320</v>
      </c>
      <c r="ED20">
        <v>-160</v>
      </c>
      <c r="EE20">
        <v>-180</v>
      </c>
      <c r="EF20">
        <v>-170</v>
      </c>
      <c r="EG20">
        <v>-90</v>
      </c>
      <c r="EH20">
        <v>-70</v>
      </c>
      <c r="EI20">
        <v>-10</v>
      </c>
      <c r="EJ20">
        <v>60</v>
      </c>
      <c r="EK20">
        <v>-10</v>
      </c>
      <c r="EL20">
        <v>30</v>
      </c>
      <c r="EM20">
        <v>-130</v>
      </c>
    </row>
    <row r="21" spans="1:143" x14ac:dyDescent="0.2">
      <c r="A21" t="str">
        <f>Input!M21</f>
        <v>CS</v>
      </c>
      <c r="B21">
        <v>163</v>
      </c>
      <c r="C21">
        <v>164</v>
      </c>
      <c r="D21">
        <v>162</v>
      </c>
      <c r="E21">
        <v>156</v>
      </c>
      <c r="F21">
        <v>157</v>
      </c>
      <c r="G21">
        <v>147</v>
      </c>
      <c r="H21">
        <v>140</v>
      </c>
      <c r="I21">
        <v>128</v>
      </c>
      <c r="J21">
        <v>114</v>
      </c>
      <c r="K21">
        <v>112</v>
      </c>
      <c r="L21">
        <v>128</v>
      </c>
      <c r="M21">
        <v>134</v>
      </c>
      <c r="N21">
        <v>129</v>
      </c>
      <c r="O21">
        <v>138</v>
      </c>
      <c r="P21">
        <v>106</v>
      </c>
      <c r="Q21">
        <v>96</v>
      </c>
      <c r="R21">
        <v>106</v>
      </c>
      <c r="S21">
        <v>150</v>
      </c>
      <c r="T21">
        <v>141</v>
      </c>
      <c r="U21">
        <v>164</v>
      </c>
      <c r="V21">
        <v>165</v>
      </c>
      <c r="W21">
        <v>182</v>
      </c>
      <c r="X21">
        <v>202</v>
      </c>
      <c r="Y21">
        <v>207</v>
      </c>
      <c r="Z21">
        <v>162</v>
      </c>
      <c r="AA21">
        <v>173</v>
      </c>
      <c r="AB21">
        <v>171</v>
      </c>
      <c r="AC21">
        <v>139</v>
      </c>
      <c r="AD21">
        <v>136</v>
      </c>
      <c r="AE21">
        <v>163</v>
      </c>
      <c r="AF21">
        <v>151</v>
      </c>
      <c r="AG21">
        <v>165</v>
      </c>
      <c r="AH21">
        <v>163</v>
      </c>
      <c r="AI21">
        <v>168</v>
      </c>
      <c r="AJ21">
        <v>152</v>
      </c>
      <c r="AK21">
        <v>157</v>
      </c>
      <c r="AL21">
        <v>129</v>
      </c>
      <c r="AM21">
        <v>138</v>
      </c>
      <c r="AN21">
        <v>117</v>
      </c>
      <c r="AO21">
        <v>154</v>
      </c>
      <c r="AP21">
        <v>158</v>
      </c>
      <c r="AQ21">
        <v>136</v>
      </c>
      <c r="AR21">
        <v>146</v>
      </c>
      <c r="AS21">
        <v>140</v>
      </c>
      <c r="AT21">
        <v>151</v>
      </c>
      <c r="AU21">
        <v>138</v>
      </c>
      <c r="AV21">
        <v>153</v>
      </c>
      <c r="AW21">
        <v>142</v>
      </c>
      <c r="AX21">
        <v>183</v>
      </c>
      <c r="AY21">
        <v>109</v>
      </c>
      <c r="AZ21">
        <v>80</v>
      </c>
      <c r="BA21">
        <v>124</v>
      </c>
      <c r="BB21">
        <v>120</v>
      </c>
      <c r="BC21">
        <v>129</v>
      </c>
      <c r="BD21">
        <v>146</v>
      </c>
      <c r="BE21">
        <v>162</v>
      </c>
      <c r="BF21">
        <v>199</v>
      </c>
      <c r="BG21">
        <v>207</v>
      </c>
      <c r="BH21">
        <v>324</v>
      </c>
      <c r="BI21">
        <v>325</v>
      </c>
      <c r="BJ21">
        <v>318</v>
      </c>
      <c r="BK21">
        <v>345</v>
      </c>
      <c r="BL21">
        <v>346</v>
      </c>
      <c r="BM21">
        <v>322</v>
      </c>
      <c r="BN21">
        <v>319</v>
      </c>
      <c r="BO21">
        <v>325</v>
      </c>
      <c r="BP21">
        <v>336</v>
      </c>
      <c r="BQ21">
        <v>338</v>
      </c>
      <c r="BR21">
        <v>331</v>
      </c>
      <c r="BS21">
        <v>328</v>
      </c>
      <c r="BT21">
        <v>304</v>
      </c>
      <c r="BU21">
        <v>305</v>
      </c>
      <c r="BV21">
        <v>247</v>
      </c>
      <c r="BW21">
        <v>230</v>
      </c>
      <c r="BX21">
        <v>246</v>
      </c>
      <c r="BY21">
        <v>248</v>
      </c>
      <c r="BZ21">
        <v>241</v>
      </c>
      <c r="CA21">
        <v>241</v>
      </c>
      <c r="CB21">
        <v>235</v>
      </c>
      <c r="CC21">
        <v>219</v>
      </c>
      <c r="CD21">
        <v>217</v>
      </c>
      <c r="CE21">
        <v>214</v>
      </c>
      <c r="CF21">
        <v>243</v>
      </c>
      <c r="CG21">
        <v>276</v>
      </c>
      <c r="CH21">
        <v>270</v>
      </c>
      <c r="CI21">
        <v>291</v>
      </c>
      <c r="CJ21">
        <v>287</v>
      </c>
      <c r="CK21">
        <v>308</v>
      </c>
      <c r="CL21">
        <v>345</v>
      </c>
      <c r="CM21">
        <v>354</v>
      </c>
      <c r="CN21">
        <v>306</v>
      </c>
      <c r="CO21">
        <v>330</v>
      </c>
      <c r="CP21">
        <v>351</v>
      </c>
      <c r="CQ21">
        <v>320</v>
      </c>
      <c r="CR21">
        <v>320</v>
      </c>
      <c r="CS21">
        <v>365</v>
      </c>
      <c r="CT21">
        <v>365</v>
      </c>
      <c r="CU21">
        <v>350</v>
      </c>
      <c r="CV21">
        <v>355</v>
      </c>
      <c r="CW21">
        <v>337</v>
      </c>
      <c r="CX21">
        <v>315</v>
      </c>
      <c r="CY21">
        <v>296</v>
      </c>
      <c r="CZ21">
        <v>248</v>
      </c>
      <c r="DA21">
        <v>259</v>
      </c>
      <c r="DB21">
        <v>253</v>
      </c>
      <c r="DC21">
        <v>268</v>
      </c>
      <c r="DD21">
        <v>265</v>
      </c>
      <c r="DE21">
        <v>271</v>
      </c>
      <c r="DF21">
        <v>189</v>
      </c>
      <c r="DG21">
        <v>195</v>
      </c>
      <c r="DH21">
        <v>202</v>
      </c>
      <c r="DI21">
        <v>154</v>
      </c>
      <c r="DJ21">
        <v>134</v>
      </c>
      <c r="DK21">
        <v>130</v>
      </c>
      <c r="DL21">
        <v>98</v>
      </c>
      <c r="DM21">
        <v>116</v>
      </c>
      <c r="DN21">
        <v>139</v>
      </c>
      <c r="DO21">
        <v>142</v>
      </c>
      <c r="DP21">
        <v>144</v>
      </c>
      <c r="DQ21">
        <v>197</v>
      </c>
      <c r="DR21">
        <v>183</v>
      </c>
      <c r="DS21">
        <v>198</v>
      </c>
      <c r="DT21">
        <v>205</v>
      </c>
      <c r="DU21">
        <v>197</v>
      </c>
      <c r="DV21">
        <v>201</v>
      </c>
      <c r="DW21">
        <v>240</v>
      </c>
      <c r="DX21">
        <v>237</v>
      </c>
      <c r="DY21">
        <v>216</v>
      </c>
      <c r="DZ21">
        <v>202</v>
      </c>
      <c r="EA21">
        <v>195</v>
      </c>
      <c r="EB21">
        <v>178</v>
      </c>
      <c r="EC21">
        <v>212</v>
      </c>
      <c r="ED21">
        <v>195</v>
      </c>
      <c r="EE21">
        <v>198</v>
      </c>
      <c r="EF21">
        <v>177</v>
      </c>
      <c r="EG21">
        <v>183</v>
      </c>
      <c r="EH21">
        <v>165</v>
      </c>
      <c r="EI21">
        <v>173</v>
      </c>
      <c r="EJ21">
        <v>193</v>
      </c>
      <c r="EK21">
        <v>181</v>
      </c>
      <c r="EL21">
        <v>181</v>
      </c>
      <c r="EM21">
        <v>173</v>
      </c>
    </row>
    <row r="22" spans="1:143" x14ac:dyDescent="0.2">
      <c r="A22" t="str">
        <f>Input!M22</f>
        <v>AL</v>
      </c>
      <c r="B22">
        <v>-75</v>
      </c>
      <c r="C22">
        <v>-115</v>
      </c>
      <c r="D22">
        <v>-210</v>
      </c>
      <c r="E22">
        <v>-195</v>
      </c>
      <c r="F22">
        <v>-215</v>
      </c>
      <c r="G22">
        <v>-190</v>
      </c>
      <c r="H22">
        <v>-160</v>
      </c>
      <c r="I22">
        <v>-110</v>
      </c>
      <c r="J22">
        <v>-85</v>
      </c>
      <c r="K22">
        <v>-260</v>
      </c>
      <c r="L22">
        <v>-265</v>
      </c>
      <c r="M22">
        <v>-320</v>
      </c>
      <c r="N22">
        <v>-375</v>
      </c>
      <c r="O22">
        <v>-365</v>
      </c>
      <c r="P22">
        <v>-380</v>
      </c>
      <c r="Q22">
        <v>-440</v>
      </c>
      <c r="R22">
        <v>-505</v>
      </c>
      <c r="S22">
        <v>-410</v>
      </c>
      <c r="T22">
        <v>-475</v>
      </c>
      <c r="U22">
        <v>-310</v>
      </c>
      <c r="V22">
        <v>-415</v>
      </c>
      <c r="W22">
        <v>-425</v>
      </c>
      <c r="X22">
        <v>-310</v>
      </c>
      <c r="Y22">
        <v>-285</v>
      </c>
      <c r="Z22">
        <v>-260</v>
      </c>
      <c r="AA22">
        <v>-265</v>
      </c>
      <c r="AB22">
        <v>-230</v>
      </c>
      <c r="AC22">
        <v>-190</v>
      </c>
      <c r="AD22">
        <v>-235</v>
      </c>
      <c r="AE22">
        <v>-325</v>
      </c>
      <c r="AF22">
        <v>-205</v>
      </c>
      <c r="AG22">
        <v>-245</v>
      </c>
      <c r="AH22">
        <v>-240</v>
      </c>
      <c r="AI22">
        <v>-210</v>
      </c>
      <c r="AJ22">
        <v>-255</v>
      </c>
      <c r="AK22">
        <v>-250</v>
      </c>
      <c r="AL22">
        <v>-260</v>
      </c>
      <c r="AM22">
        <v>-255</v>
      </c>
      <c r="AN22">
        <v>-225</v>
      </c>
      <c r="AO22">
        <v>-140</v>
      </c>
      <c r="AP22">
        <v>-90</v>
      </c>
      <c r="AQ22">
        <v>-140</v>
      </c>
      <c r="AR22">
        <v>-55</v>
      </c>
      <c r="AS22">
        <v>-140</v>
      </c>
      <c r="AT22">
        <v>-150</v>
      </c>
      <c r="AU22">
        <v>-85</v>
      </c>
      <c r="AV22">
        <v>-10</v>
      </c>
      <c r="AW22">
        <v>55</v>
      </c>
      <c r="AX22">
        <v>-130</v>
      </c>
      <c r="AY22">
        <v>-115</v>
      </c>
      <c r="AZ22">
        <v>-175</v>
      </c>
      <c r="BA22">
        <v>-125</v>
      </c>
      <c r="BB22">
        <v>-130</v>
      </c>
      <c r="BC22">
        <v>-150</v>
      </c>
      <c r="BD22">
        <v>20</v>
      </c>
      <c r="BE22">
        <v>-85</v>
      </c>
      <c r="BF22">
        <v>-20</v>
      </c>
      <c r="BG22">
        <v>-115</v>
      </c>
      <c r="BH22">
        <v>-100</v>
      </c>
      <c r="BI22">
        <v>-150</v>
      </c>
      <c r="BJ22">
        <v>-85</v>
      </c>
      <c r="BK22">
        <v>-120</v>
      </c>
      <c r="BL22">
        <v>-120</v>
      </c>
      <c r="BM22">
        <v>-125</v>
      </c>
      <c r="BN22">
        <v>-165</v>
      </c>
      <c r="BO22">
        <v>-35</v>
      </c>
      <c r="BP22">
        <v>-105</v>
      </c>
      <c r="BQ22">
        <v>-85</v>
      </c>
      <c r="BR22">
        <v>-175</v>
      </c>
      <c r="BS22">
        <v>-115</v>
      </c>
      <c r="BT22">
        <v>-35</v>
      </c>
      <c r="BU22">
        <v>-240</v>
      </c>
      <c r="BV22">
        <v>-200</v>
      </c>
      <c r="BW22">
        <v>-300</v>
      </c>
      <c r="BX22">
        <v>-220</v>
      </c>
      <c r="BY22">
        <v>-175</v>
      </c>
      <c r="BZ22">
        <v>-315</v>
      </c>
      <c r="CA22">
        <v>-95</v>
      </c>
      <c r="CB22">
        <v>-215</v>
      </c>
      <c r="CC22">
        <v>-255</v>
      </c>
      <c r="CD22">
        <v>-210</v>
      </c>
      <c r="CE22">
        <v>-205</v>
      </c>
      <c r="CF22">
        <v>-130</v>
      </c>
      <c r="CG22">
        <v>-235</v>
      </c>
      <c r="CH22">
        <v>-200</v>
      </c>
      <c r="CI22">
        <v>-245</v>
      </c>
      <c r="CJ22">
        <v>-105</v>
      </c>
      <c r="CK22">
        <v>-45</v>
      </c>
      <c r="CL22">
        <v>-275</v>
      </c>
      <c r="CM22">
        <v>-150</v>
      </c>
      <c r="CN22">
        <v>-310</v>
      </c>
      <c r="CO22">
        <v>-290</v>
      </c>
      <c r="CP22">
        <v>-180</v>
      </c>
      <c r="CQ22">
        <v>-120</v>
      </c>
      <c r="CR22">
        <v>-180</v>
      </c>
      <c r="CS22">
        <v>-230</v>
      </c>
      <c r="CT22">
        <v>0</v>
      </c>
      <c r="CU22">
        <v>-320</v>
      </c>
      <c r="CV22">
        <v>-240</v>
      </c>
      <c r="CW22">
        <v>-230</v>
      </c>
      <c r="CX22">
        <v>-140</v>
      </c>
      <c r="CY22">
        <v>-240</v>
      </c>
      <c r="CZ22">
        <v>-200</v>
      </c>
      <c r="DA22">
        <v>-105</v>
      </c>
      <c r="DB22">
        <v>-185</v>
      </c>
      <c r="DC22">
        <v>-205</v>
      </c>
      <c r="DD22">
        <v>-260</v>
      </c>
      <c r="DE22">
        <v>-260</v>
      </c>
      <c r="DF22">
        <v>-280</v>
      </c>
      <c r="DG22">
        <v>160</v>
      </c>
      <c r="DH22">
        <v>-155</v>
      </c>
      <c r="DI22">
        <v>-130</v>
      </c>
      <c r="DJ22">
        <v>-70</v>
      </c>
      <c r="DK22">
        <v>-90</v>
      </c>
      <c r="DL22">
        <v>-240</v>
      </c>
      <c r="DM22">
        <v>-100</v>
      </c>
      <c r="DN22">
        <v>-150</v>
      </c>
      <c r="DO22">
        <v>-150</v>
      </c>
      <c r="DP22">
        <v>-100</v>
      </c>
      <c r="DQ22">
        <v>-315</v>
      </c>
      <c r="DR22">
        <v>-190</v>
      </c>
      <c r="DS22">
        <v>-130</v>
      </c>
      <c r="DT22">
        <v>-95</v>
      </c>
      <c r="DU22">
        <v>-190</v>
      </c>
      <c r="DV22">
        <v>-230</v>
      </c>
      <c r="DW22">
        <v>-115</v>
      </c>
      <c r="DX22">
        <v>-145</v>
      </c>
      <c r="DY22">
        <v>-155</v>
      </c>
      <c r="DZ22">
        <v>-165</v>
      </c>
      <c r="EA22">
        <v>-190</v>
      </c>
      <c r="EB22">
        <v>-110</v>
      </c>
      <c r="EC22">
        <v>-185</v>
      </c>
      <c r="ED22">
        <v>-130</v>
      </c>
      <c r="EE22">
        <v>-215</v>
      </c>
      <c r="EF22">
        <v>-220</v>
      </c>
      <c r="EG22">
        <v>-155</v>
      </c>
      <c r="EH22">
        <v>-185</v>
      </c>
      <c r="EI22">
        <v>-220</v>
      </c>
      <c r="EJ22">
        <v>-170</v>
      </c>
      <c r="EK22">
        <v>-235</v>
      </c>
      <c r="EL22">
        <v>-110</v>
      </c>
      <c r="EM22">
        <v>-150</v>
      </c>
    </row>
    <row r="23" spans="1:143" x14ac:dyDescent="0.2">
      <c r="A23" t="str">
        <f>Input!M23</f>
        <v>PP</v>
      </c>
      <c r="B23">
        <v>-68</v>
      </c>
      <c r="C23">
        <v>-130</v>
      </c>
      <c r="D23">
        <v>0</v>
      </c>
      <c r="E23">
        <v>-56</v>
      </c>
      <c r="F23">
        <v>-68</v>
      </c>
      <c r="G23">
        <v>0</v>
      </c>
      <c r="H23">
        <v>-5</v>
      </c>
      <c r="I23">
        <v>-66</v>
      </c>
      <c r="J23">
        <v>-184</v>
      </c>
      <c r="K23">
        <v>-229</v>
      </c>
      <c r="L23">
        <v>-182</v>
      </c>
      <c r="M23">
        <v>-138</v>
      </c>
      <c r="N23">
        <v>-169</v>
      </c>
      <c r="O23">
        <v>-179</v>
      </c>
      <c r="P23">
        <v>-158</v>
      </c>
      <c r="Q23">
        <v>-225</v>
      </c>
      <c r="R23">
        <v>-225</v>
      </c>
      <c r="S23">
        <v>-8</v>
      </c>
      <c r="T23">
        <v>-56</v>
      </c>
      <c r="U23">
        <v>18</v>
      </c>
      <c r="V23">
        <v>85</v>
      </c>
      <c r="W23">
        <v>1</v>
      </c>
      <c r="X23">
        <v>25</v>
      </c>
      <c r="Y23">
        <v>0</v>
      </c>
      <c r="Z23">
        <v>40</v>
      </c>
      <c r="AA23">
        <v>0</v>
      </c>
      <c r="AB23">
        <v>-25</v>
      </c>
      <c r="AC23">
        <v>-28</v>
      </c>
      <c r="AD23">
        <v>16</v>
      </c>
      <c r="AE23">
        <v>-21</v>
      </c>
      <c r="AF23">
        <v>-12</v>
      </c>
      <c r="AG23">
        <v>-24</v>
      </c>
      <c r="AH23">
        <v>-52</v>
      </c>
      <c r="AI23">
        <v>-24</v>
      </c>
      <c r="AJ23">
        <v>-50</v>
      </c>
      <c r="AK23">
        <v>-51</v>
      </c>
      <c r="AL23">
        <v>-65</v>
      </c>
      <c r="AM23">
        <v>-52</v>
      </c>
      <c r="AN23">
        <v>-50</v>
      </c>
      <c r="AO23">
        <v>-102</v>
      </c>
      <c r="AP23">
        <v>-79</v>
      </c>
      <c r="AQ23">
        <v>-79</v>
      </c>
      <c r="AR23">
        <v>-146</v>
      </c>
      <c r="AS23">
        <v>-155</v>
      </c>
      <c r="AT23">
        <v>-141</v>
      </c>
      <c r="AU23">
        <v>-154</v>
      </c>
      <c r="AV23">
        <v>-143</v>
      </c>
      <c r="AW23">
        <v>-115</v>
      </c>
      <c r="AX23">
        <v>-97</v>
      </c>
      <c r="AY23">
        <v>-146</v>
      </c>
      <c r="AZ23">
        <v>-158</v>
      </c>
      <c r="BA23">
        <v>-178</v>
      </c>
      <c r="BB23">
        <v>-156</v>
      </c>
      <c r="BC23">
        <v>-152</v>
      </c>
      <c r="BD23">
        <v>-139</v>
      </c>
      <c r="BE23">
        <v>-139</v>
      </c>
      <c r="BF23">
        <v>-189</v>
      </c>
      <c r="BG23">
        <v>-192</v>
      </c>
      <c r="BH23">
        <v>-77</v>
      </c>
      <c r="BI23">
        <v>-17</v>
      </c>
      <c r="BJ23">
        <v>-117</v>
      </c>
      <c r="BK23">
        <v>-122</v>
      </c>
      <c r="BL23">
        <v>-154</v>
      </c>
      <c r="BM23">
        <v>-96</v>
      </c>
      <c r="BN23">
        <v>-172</v>
      </c>
      <c r="BO23">
        <v>-147</v>
      </c>
      <c r="BP23">
        <v>-221</v>
      </c>
      <c r="BQ23">
        <v>-200</v>
      </c>
      <c r="BR23">
        <v>-177</v>
      </c>
      <c r="BS23">
        <v>-147</v>
      </c>
      <c r="BT23">
        <v>-200</v>
      </c>
      <c r="BU23">
        <v>-164</v>
      </c>
      <c r="BV23">
        <v>-136</v>
      </c>
      <c r="BW23">
        <v>-104</v>
      </c>
      <c r="BX23">
        <v>-93</v>
      </c>
      <c r="BY23">
        <v>-92</v>
      </c>
      <c r="BZ23">
        <v>-135</v>
      </c>
      <c r="CA23">
        <v>-116</v>
      </c>
      <c r="CB23">
        <v>-100</v>
      </c>
      <c r="CC23">
        <v>-133</v>
      </c>
      <c r="CD23">
        <v>-138</v>
      </c>
      <c r="CE23">
        <v>-128</v>
      </c>
      <c r="CF23">
        <v>-152</v>
      </c>
      <c r="CG23">
        <v>-131</v>
      </c>
      <c r="CH23">
        <v>-168</v>
      </c>
      <c r="CI23">
        <v>-202</v>
      </c>
      <c r="CJ23">
        <v>-199</v>
      </c>
      <c r="CK23">
        <v>-187</v>
      </c>
      <c r="CL23">
        <v>-29</v>
      </c>
      <c r="CM23">
        <v>-130</v>
      </c>
      <c r="CN23">
        <v>20</v>
      </c>
      <c r="CO23">
        <v>25</v>
      </c>
      <c r="CP23">
        <v>-39</v>
      </c>
      <c r="CQ23">
        <v>22</v>
      </c>
      <c r="CR23">
        <v>-22</v>
      </c>
      <c r="CS23">
        <v>-20</v>
      </c>
      <c r="CT23">
        <v>-240</v>
      </c>
      <c r="CU23">
        <v>-115</v>
      </c>
      <c r="CV23">
        <v>-130</v>
      </c>
      <c r="CW23">
        <v>-84</v>
      </c>
      <c r="CX23">
        <v>-203</v>
      </c>
      <c r="CY23">
        <v>-90</v>
      </c>
      <c r="CZ23">
        <v>-105</v>
      </c>
      <c r="DA23">
        <v>-110</v>
      </c>
      <c r="DB23">
        <v>-191</v>
      </c>
      <c r="DC23">
        <v>-210</v>
      </c>
      <c r="DD23">
        <v>-95</v>
      </c>
      <c r="DE23">
        <v>-144</v>
      </c>
      <c r="DF23">
        <v>-177</v>
      </c>
      <c r="DG23">
        <v>-65</v>
      </c>
      <c r="DH23">
        <v>-184</v>
      </c>
      <c r="DI23">
        <v>-146</v>
      </c>
      <c r="DJ23">
        <v>-115</v>
      </c>
      <c r="DK23">
        <v>-168</v>
      </c>
      <c r="DL23">
        <v>96</v>
      </c>
      <c r="DM23">
        <v>-121</v>
      </c>
      <c r="DN23">
        <v>-122</v>
      </c>
      <c r="DO23">
        <v>-140</v>
      </c>
      <c r="DP23">
        <v>-166</v>
      </c>
      <c r="DQ23">
        <v>-168</v>
      </c>
      <c r="DR23">
        <v>-154</v>
      </c>
      <c r="DS23">
        <v>-146</v>
      </c>
      <c r="DT23">
        <v>-151</v>
      </c>
      <c r="DU23">
        <v>-137</v>
      </c>
      <c r="DV23">
        <v>-125</v>
      </c>
      <c r="DW23">
        <v>-143</v>
      </c>
      <c r="DX23">
        <v>-151</v>
      </c>
      <c r="DY23">
        <v>-192</v>
      </c>
      <c r="DZ23">
        <v>-326</v>
      </c>
      <c r="EA23">
        <v>-136</v>
      </c>
      <c r="EB23">
        <v>-139</v>
      </c>
      <c r="EC23">
        <v>-117</v>
      </c>
      <c r="ED23">
        <v>-163</v>
      </c>
      <c r="EE23">
        <v>-135</v>
      </c>
      <c r="EF23">
        <v>-197</v>
      </c>
      <c r="EG23">
        <v>-258</v>
      </c>
      <c r="EH23">
        <v>-83</v>
      </c>
      <c r="EI23">
        <v>-233</v>
      </c>
      <c r="EJ23">
        <v>-119</v>
      </c>
      <c r="EK23">
        <v>-221</v>
      </c>
      <c r="EL23">
        <v>-152</v>
      </c>
      <c r="EM23">
        <v>-146</v>
      </c>
    </row>
    <row r="24" spans="1:143" x14ac:dyDescent="0.2">
      <c r="A24" t="str">
        <f>Input!M24</f>
        <v>C</v>
      </c>
      <c r="B24">
        <v>59</v>
      </c>
      <c r="C24">
        <v>49</v>
      </c>
      <c r="D24">
        <v>51</v>
      </c>
      <c r="E24">
        <v>43</v>
      </c>
      <c r="F24">
        <v>43</v>
      </c>
      <c r="G24">
        <v>39</v>
      </c>
      <c r="H24">
        <v>29</v>
      </c>
      <c r="I24">
        <v>20</v>
      </c>
      <c r="J24">
        <v>24</v>
      </c>
      <c r="K24">
        <v>21</v>
      </c>
      <c r="L24">
        <v>17</v>
      </c>
      <c r="M24">
        <v>22</v>
      </c>
      <c r="N24">
        <v>13</v>
      </c>
      <c r="O24">
        <v>19</v>
      </c>
      <c r="P24">
        <v>13</v>
      </c>
      <c r="Q24">
        <v>-26</v>
      </c>
      <c r="R24">
        <v>-23</v>
      </c>
      <c r="S24">
        <v>-20</v>
      </c>
      <c r="T24">
        <v>44</v>
      </c>
      <c r="U24">
        <v>44</v>
      </c>
      <c r="V24">
        <v>26</v>
      </c>
      <c r="W24">
        <v>23</v>
      </c>
      <c r="X24">
        <v>47</v>
      </c>
      <c r="Y24">
        <v>49</v>
      </c>
      <c r="Z24">
        <v>26</v>
      </c>
      <c r="AA24">
        <v>10</v>
      </c>
      <c r="AB24">
        <v>19</v>
      </c>
      <c r="AC24">
        <v>11</v>
      </c>
      <c r="AD24">
        <v>2</v>
      </c>
      <c r="AE24">
        <v>9</v>
      </c>
      <c r="AF24">
        <v>8</v>
      </c>
      <c r="AG24">
        <v>19</v>
      </c>
      <c r="AH24">
        <v>7</v>
      </c>
      <c r="AI24">
        <v>4</v>
      </c>
      <c r="AJ24">
        <v>-7</v>
      </c>
      <c r="AK24">
        <v>4</v>
      </c>
      <c r="AL24">
        <v>-10</v>
      </c>
      <c r="AM24">
        <v>-24</v>
      </c>
      <c r="AN24">
        <v>-21</v>
      </c>
      <c r="AO24">
        <v>-18</v>
      </c>
      <c r="AP24">
        <v>-34</v>
      </c>
      <c r="AQ24">
        <v>-31</v>
      </c>
      <c r="AR24">
        <v>-43</v>
      </c>
      <c r="AS24">
        <v>-51</v>
      </c>
      <c r="AT24">
        <v>-63</v>
      </c>
      <c r="AU24">
        <v>-56</v>
      </c>
      <c r="AV24">
        <v>-52</v>
      </c>
      <c r="AW24">
        <v>-49</v>
      </c>
      <c r="AX24">
        <v>-27</v>
      </c>
      <c r="AY24">
        <v>-36</v>
      </c>
      <c r="AZ24">
        <v>-50</v>
      </c>
      <c r="BA24">
        <v>-50</v>
      </c>
      <c r="BB24">
        <v>-34</v>
      </c>
      <c r="BC24">
        <v>-32</v>
      </c>
      <c r="BD24">
        <v>-27</v>
      </c>
      <c r="BE24">
        <v>-27</v>
      </c>
      <c r="BF24">
        <v>-24</v>
      </c>
      <c r="BG24">
        <v>-15</v>
      </c>
      <c r="BH24">
        <v>-14</v>
      </c>
      <c r="BI24">
        <v>-16</v>
      </c>
      <c r="BJ24">
        <v>-8</v>
      </c>
      <c r="BK24">
        <v>13</v>
      </c>
      <c r="BL24">
        <v>23</v>
      </c>
      <c r="BM24">
        <v>33</v>
      </c>
      <c r="BN24">
        <v>24</v>
      </c>
      <c r="BO24">
        <v>25</v>
      </c>
      <c r="BP24">
        <v>32</v>
      </c>
      <c r="BQ24">
        <v>35</v>
      </c>
      <c r="BR24">
        <v>29</v>
      </c>
      <c r="BS24">
        <v>41</v>
      </c>
      <c r="BT24">
        <v>34</v>
      </c>
      <c r="BU24">
        <v>31</v>
      </c>
      <c r="BV24">
        <v>37</v>
      </c>
      <c r="BW24">
        <v>19</v>
      </c>
      <c r="BX24">
        <v>6</v>
      </c>
      <c r="BY24">
        <v>8</v>
      </c>
      <c r="BZ24">
        <v>6</v>
      </c>
      <c r="CA24">
        <v>-4</v>
      </c>
      <c r="CB24">
        <v>-15</v>
      </c>
      <c r="CC24">
        <v>-22</v>
      </c>
      <c r="CD24">
        <v>-40</v>
      </c>
      <c r="CE24">
        <v>-32</v>
      </c>
      <c r="CF24">
        <v>-40</v>
      </c>
      <c r="CG24">
        <v>-24</v>
      </c>
      <c r="CH24">
        <v>-23</v>
      </c>
      <c r="CI24">
        <v>-16</v>
      </c>
      <c r="CJ24">
        <v>-13</v>
      </c>
      <c r="CK24">
        <v>-14</v>
      </c>
      <c r="CL24">
        <v>70</v>
      </c>
      <c r="CM24">
        <v>50</v>
      </c>
      <c r="CN24">
        <v>50</v>
      </c>
      <c r="CO24">
        <v>10</v>
      </c>
      <c r="CP24">
        <v>40</v>
      </c>
      <c r="CQ24">
        <v>24</v>
      </c>
      <c r="CR24">
        <v>15</v>
      </c>
      <c r="CS24">
        <v>35</v>
      </c>
      <c r="CT24">
        <v>30</v>
      </c>
      <c r="CU24">
        <v>48</v>
      </c>
      <c r="CV24">
        <v>43</v>
      </c>
      <c r="CW24">
        <v>23</v>
      </c>
      <c r="CX24">
        <v>-11</v>
      </c>
      <c r="CY24">
        <v>-28</v>
      </c>
      <c r="CZ24">
        <v>-44</v>
      </c>
      <c r="DA24">
        <v>-41</v>
      </c>
      <c r="DB24">
        <v>-51</v>
      </c>
      <c r="DC24">
        <v>-39</v>
      </c>
      <c r="DD24">
        <v>-39</v>
      </c>
      <c r="DE24">
        <v>-35</v>
      </c>
      <c r="DF24">
        <v>-41</v>
      </c>
      <c r="DG24">
        <v>-34</v>
      </c>
      <c r="DH24">
        <v>-38</v>
      </c>
      <c r="DI24">
        <v>-38</v>
      </c>
      <c r="DJ24">
        <v>-32</v>
      </c>
      <c r="DK24">
        <v>-30</v>
      </c>
      <c r="DL24">
        <v>-39</v>
      </c>
      <c r="DM24">
        <v>-25</v>
      </c>
      <c r="DN24">
        <v>-22</v>
      </c>
      <c r="DO24">
        <v>-23</v>
      </c>
      <c r="DP24">
        <v>-17</v>
      </c>
      <c r="DQ24">
        <v>-4</v>
      </c>
      <c r="DR24">
        <v>-12</v>
      </c>
      <c r="DS24">
        <v>-9</v>
      </c>
      <c r="DT24">
        <v>-18</v>
      </c>
      <c r="DU24">
        <v>3</v>
      </c>
      <c r="DV24">
        <v>8</v>
      </c>
      <c r="DW24">
        <v>17</v>
      </c>
      <c r="DX24">
        <v>10</v>
      </c>
      <c r="DY24">
        <v>20</v>
      </c>
      <c r="DZ24">
        <v>18</v>
      </c>
      <c r="EA24">
        <v>17</v>
      </c>
      <c r="EB24">
        <v>10</v>
      </c>
      <c r="EC24">
        <v>30</v>
      </c>
      <c r="ED24">
        <v>23</v>
      </c>
      <c r="EE24">
        <v>23</v>
      </c>
      <c r="EF24">
        <v>8</v>
      </c>
      <c r="EG24">
        <v>15</v>
      </c>
      <c r="EH24">
        <v>1</v>
      </c>
      <c r="EI24">
        <v>6</v>
      </c>
      <c r="EJ24">
        <v>7</v>
      </c>
      <c r="EK24">
        <v>-14</v>
      </c>
      <c r="EL24">
        <v>-12</v>
      </c>
      <c r="EM24">
        <v>-24</v>
      </c>
    </row>
    <row r="25" spans="1:143" x14ac:dyDescent="0.2">
      <c r="A25" t="str">
        <f>Input!M25</f>
        <v>NI</v>
      </c>
      <c r="B25">
        <v>-1080</v>
      </c>
      <c r="C25">
        <v>-2210</v>
      </c>
      <c r="D25">
        <v>-990</v>
      </c>
      <c r="E25">
        <v>-280</v>
      </c>
      <c r="F25">
        <v>-400</v>
      </c>
      <c r="G25">
        <v>-230</v>
      </c>
      <c r="H25">
        <v>-590</v>
      </c>
      <c r="I25">
        <v>-330</v>
      </c>
      <c r="J25">
        <v>470</v>
      </c>
      <c r="K25">
        <v>-1030</v>
      </c>
      <c r="L25">
        <v>-1010</v>
      </c>
      <c r="M25">
        <v>-1220</v>
      </c>
      <c r="N25">
        <v>-1200</v>
      </c>
      <c r="O25">
        <v>-1120</v>
      </c>
      <c r="P25">
        <v>-890</v>
      </c>
      <c r="Q25">
        <v>-1030</v>
      </c>
      <c r="R25">
        <v>-760</v>
      </c>
      <c r="S25">
        <v>230</v>
      </c>
      <c r="T25">
        <v>-190</v>
      </c>
      <c r="U25">
        <v>520</v>
      </c>
      <c r="V25">
        <v>320</v>
      </c>
      <c r="W25">
        <v>200</v>
      </c>
      <c r="X25">
        <v>160</v>
      </c>
      <c r="Y25">
        <v>0</v>
      </c>
      <c r="Z25">
        <v>510</v>
      </c>
      <c r="AA25">
        <v>250</v>
      </c>
      <c r="AB25">
        <v>220</v>
      </c>
      <c r="AC25">
        <v>1280</v>
      </c>
      <c r="AD25">
        <v>950</v>
      </c>
      <c r="AE25">
        <v>170</v>
      </c>
      <c r="AF25">
        <v>720</v>
      </c>
      <c r="AG25">
        <v>680</v>
      </c>
      <c r="AH25">
        <v>380</v>
      </c>
      <c r="AI25">
        <v>1480</v>
      </c>
      <c r="AJ25">
        <v>90</v>
      </c>
      <c r="AK25">
        <v>-20</v>
      </c>
      <c r="AL25">
        <v>240</v>
      </c>
      <c r="AM25">
        <v>740</v>
      </c>
      <c r="AN25">
        <v>360</v>
      </c>
      <c r="AO25">
        <v>400</v>
      </c>
      <c r="AP25">
        <v>600</v>
      </c>
      <c r="AQ25">
        <v>-150</v>
      </c>
      <c r="AR25">
        <v>750</v>
      </c>
      <c r="AS25">
        <v>820</v>
      </c>
      <c r="AT25">
        <v>60</v>
      </c>
      <c r="AU25">
        <v>670</v>
      </c>
      <c r="AV25">
        <v>-180</v>
      </c>
      <c r="AW25">
        <v>350</v>
      </c>
      <c r="AX25">
        <v>380</v>
      </c>
      <c r="AY25">
        <v>600</v>
      </c>
      <c r="AZ25">
        <v>360</v>
      </c>
      <c r="BA25">
        <v>-160</v>
      </c>
      <c r="BB25">
        <v>-670</v>
      </c>
      <c r="BC25">
        <v>390</v>
      </c>
      <c r="BD25">
        <v>2060</v>
      </c>
      <c r="BE25">
        <v>330</v>
      </c>
      <c r="BF25">
        <v>470</v>
      </c>
      <c r="BG25">
        <v>-230</v>
      </c>
      <c r="BH25">
        <v>290</v>
      </c>
      <c r="BI25">
        <v>-450</v>
      </c>
      <c r="BJ25">
        <v>210</v>
      </c>
      <c r="BK25">
        <v>490</v>
      </c>
      <c r="BL25">
        <v>360</v>
      </c>
      <c r="BM25">
        <v>950</v>
      </c>
      <c r="BN25">
        <v>-110</v>
      </c>
      <c r="BO25">
        <v>510</v>
      </c>
      <c r="BP25">
        <v>220</v>
      </c>
      <c r="BQ25">
        <v>-10</v>
      </c>
      <c r="BR25">
        <v>-1580</v>
      </c>
      <c r="BS25">
        <v>-520</v>
      </c>
      <c r="BT25">
        <v>70</v>
      </c>
      <c r="BU25">
        <v>-20</v>
      </c>
      <c r="BV25">
        <v>-250</v>
      </c>
      <c r="BW25">
        <v>-130</v>
      </c>
      <c r="BX25">
        <v>-210</v>
      </c>
      <c r="BY25">
        <v>490</v>
      </c>
      <c r="BZ25">
        <v>-90</v>
      </c>
      <c r="CA25">
        <v>590</v>
      </c>
      <c r="CB25">
        <v>390</v>
      </c>
      <c r="CC25">
        <v>-200</v>
      </c>
      <c r="CD25">
        <v>650</v>
      </c>
      <c r="CE25">
        <v>600</v>
      </c>
      <c r="CF25">
        <v>1070</v>
      </c>
      <c r="CG25">
        <v>160</v>
      </c>
      <c r="CH25">
        <v>0</v>
      </c>
      <c r="CI25">
        <v>500</v>
      </c>
      <c r="CJ25">
        <v>-130</v>
      </c>
      <c r="CK25">
        <v>430</v>
      </c>
      <c r="CL25">
        <v>-130</v>
      </c>
      <c r="CM25">
        <v>490</v>
      </c>
      <c r="CN25">
        <v>-570</v>
      </c>
      <c r="CO25">
        <v>-940</v>
      </c>
      <c r="CP25">
        <v>230</v>
      </c>
      <c r="CQ25">
        <v>700</v>
      </c>
      <c r="CR25">
        <v>-100</v>
      </c>
      <c r="CS25">
        <v>310</v>
      </c>
      <c r="CT25">
        <v>500</v>
      </c>
      <c r="CU25">
        <v>-100</v>
      </c>
      <c r="CV25">
        <v>-380</v>
      </c>
      <c r="CW25">
        <v>170</v>
      </c>
      <c r="CX25">
        <v>880</v>
      </c>
      <c r="CY25">
        <v>50</v>
      </c>
      <c r="CZ25">
        <v>-180</v>
      </c>
      <c r="DA25">
        <v>410</v>
      </c>
      <c r="DB25">
        <v>-720</v>
      </c>
      <c r="DC25">
        <v>60</v>
      </c>
      <c r="DD25">
        <v>310</v>
      </c>
      <c r="DE25">
        <v>50</v>
      </c>
      <c r="DF25">
        <v>-220</v>
      </c>
      <c r="DG25">
        <v>-80</v>
      </c>
      <c r="DH25">
        <v>-330</v>
      </c>
      <c r="DI25">
        <v>-50</v>
      </c>
      <c r="DJ25">
        <v>620</v>
      </c>
      <c r="DK25">
        <v>370</v>
      </c>
      <c r="DL25">
        <v>310</v>
      </c>
      <c r="DM25">
        <v>430</v>
      </c>
      <c r="DN25">
        <v>-220</v>
      </c>
      <c r="DO25">
        <v>-160</v>
      </c>
      <c r="DP25">
        <v>180</v>
      </c>
      <c r="DQ25">
        <v>280</v>
      </c>
      <c r="DR25">
        <v>-60</v>
      </c>
      <c r="DS25">
        <v>-430</v>
      </c>
      <c r="DT25">
        <v>380</v>
      </c>
      <c r="DU25">
        <v>-240</v>
      </c>
      <c r="DV25">
        <v>-660</v>
      </c>
      <c r="DW25">
        <v>-340</v>
      </c>
      <c r="DX25">
        <v>-580</v>
      </c>
      <c r="DY25">
        <v>-220</v>
      </c>
      <c r="DZ25">
        <v>-650</v>
      </c>
      <c r="EA25">
        <v>-500</v>
      </c>
      <c r="EB25">
        <v>-380</v>
      </c>
      <c r="EC25">
        <v>-790</v>
      </c>
      <c r="ED25">
        <v>-640</v>
      </c>
      <c r="EE25">
        <v>-410</v>
      </c>
      <c r="EF25">
        <v>-1060</v>
      </c>
      <c r="EG25">
        <v>-310</v>
      </c>
      <c r="EH25">
        <v>-310</v>
      </c>
      <c r="EI25">
        <v>-370</v>
      </c>
      <c r="EJ25">
        <v>-210</v>
      </c>
      <c r="EK25">
        <v>-530</v>
      </c>
      <c r="EL25">
        <v>-280</v>
      </c>
      <c r="EM25">
        <v>-720</v>
      </c>
    </row>
    <row r="26" spans="1:143" x14ac:dyDescent="0.2">
      <c r="A26" t="str">
        <f>Input!M26</f>
        <v>Y</v>
      </c>
      <c r="B26">
        <v>-210</v>
      </c>
      <c r="C26">
        <v>-178</v>
      </c>
      <c r="D26">
        <v>-186</v>
      </c>
      <c r="E26">
        <v>-202</v>
      </c>
      <c r="F26">
        <v>-186</v>
      </c>
      <c r="G26">
        <v>-156</v>
      </c>
      <c r="H26">
        <v>-188</v>
      </c>
      <c r="I26">
        <v>-150</v>
      </c>
      <c r="J26">
        <v>-146</v>
      </c>
      <c r="K26">
        <v>-172</v>
      </c>
      <c r="L26">
        <v>-170</v>
      </c>
      <c r="M26">
        <v>-152</v>
      </c>
      <c r="N26">
        <v>-136</v>
      </c>
      <c r="O26">
        <v>-132</v>
      </c>
      <c r="P26">
        <v>-116</v>
      </c>
      <c r="Q26">
        <v>-140</v>
      </c>
      <c r="R26">
        <v>-114</v>
      </c>
      <c r="S26">
        <v>290</v>
      </c>
      <c r="T26">
        <v>270</v>
      </c>
      <c r="U26">
        <v>292</v>
      </c>
      <c r="V26">
        <v>290</v>
      </c>
      <c r="W26">
        <v>240</v>
      </c>
      <c r="X26">
        <v>246</v>
      </c>
      <c r="Y26">
        <v>240</v>
      </c>
      <c r="Z26">
        <v>232</v>
      </c>
      <c r="AA26">
        <v>240</v>
      </c>
      <c r="AB26">
        <v>166</v>
      </c>
      <c r="AC26">
        <v>168</v>
      </c>
      <c r="AD26">
        <v>154</v>
      </c>
      <c r="AE26">
        <v>168</v>
      </c>
      <c r="AF26">
        <v>170</v>
      </c>
      <c r="AG26">
        <v>132</v>
      </c>
      <c r="AH26">
        <v>128</v>
      </c>
      <c r="AI26">
        <v>92</v>
      </c>
      <c r="AJ26">
        <v>104</v>
      </c>
      <c r="AK26">
        <v>84</v>
      </c>
      <c r="AL26">
        <v>62</v>
      </c>
      <c r="AM26">
        <v>60</v>
      </c>
      <c r="AN26">
        <v>36</v>
      </c>
      <c r="AO26">
        <v>24</v>
      </c>
      <c r="AP26">
        <v>36</v>
      </c>
      <c r="AQ26">
        <v>56</v>
      </c>
      <c r="AR26">
        <v>32</v>
      </c>
      <c r="AS26">
        <v>48</v>
      </c>
      <c r="AT26">
        <v>38</v>
      </c>
      <c r="AU26">
        <v>52</v>
      </c>
      <c r="AV26">
        <v>40</v>
      </c>
      <c r="AW26">
        <v>26</v>
      </c>
      <c r="AX26">
        <v>-6</v>
      </c>
      <c r="AY26">
        <v>-14</v>
      </c>
      <c r="AZ26">
        <v>-20</v>
      </c>
      <c r="BA26">
        <v>-46</v>
      </c>
      <c r="BB26">
        <v>-50</v>
      </c>
      <c r="BC26">
        <v>-66</v>
      </c>
      <c r="BD26">
        <v>-66</v>
      </c>
      <c r="BE26">
        <v>-94</v>
      </c>
      <c r="BF26">
        <v>-80</v>
      </c>
      <c r="BG26">
        <v>-78</v>
      </c>
      <c r="BH26">
        <v>-78</v>
      </c>
      <c r="BI26">
        <v>-108</v>
      </c>
      <c r="BJ26">
        <v>-88</v>
      </c>
      <c r="BK26">
        <v>-88</v>
      </c>
      <c r="BL26">
        <v>-130</v>
      </c>
      <c r="BM26">
        <v>-106</v>
      </c>
      <c r="BN26">
        <v>-152</v>
      </c>
      <c r="BO26">
        <v>-128</v>
      </c>
      <c r="BP26">
        <v>-92</v>
      </c>
      <c r="BQ26">
        <v>-86</v>
      </c>
      <c r="BR26">
        <v>-96</v>
      </c>
      <c r="BS26">
        <v>-26</v>
      </c>
      <c r="BT26">
        <v>-60</v>
      </c>
      <c r="BU26">
        <v>-78</v>
      </c>
      <c r="BV26">
        <v>-76</v>
      </c>
      <c r="BW26">
        <v>-70</v>
      </c>
      <c r="BX26">
        <v>-104</v>
      </c>
      <c r="BY26">
        <v>-108</v>
      </c>
      <c r="BZ26">
        <v>-102</v>
      </c>
      <c r="CA26">
        <v>-112</v>
      </c>
      <c r="CB26">
        <v>-10</v>
      </c>
      <c r="CC26">
        <v>-84</v>
      </c>
      <c r="CD26">
        <v>-56</v>
      </c>
      <c r="CE26">
        <v>-34</v>
      </c>
      <c r="CF26">
        <v>102</v>
      </c>
      <c r="CG26">
        <v>-10</v>
      </c>
      <c r="CH26">
        <v>2</v>
      </c>
      <c r="CI26">
        <v>-10</v>
      </c>
      <c r="CJ26">
        <v>22</v>
      </c>
      <c r="CK26">
        <v>28</v>
      </c>
      <c r="CL26">
        <v>230</v>
      </c>
      <c r="CM26">
        <v>190</v>
      </c>
      <c r="CN26">
        <v>240</v>
      </c>
      <c r="CO26">
        <v>224</v>
      </c>
      <c r="CP26">
        <v>202</v>
      </c>
      <c r="CQ26">
        <v>212</v>
      </c>
      <c r="CR26">
        <v>194</v>
      </c>
      <c r="CS26">
        <v>194</v>
      </c>
      <c r="CT26">
        <v>200</v>
      </c>
      <c r="CU26">
        <v>202</v>
      </c>
      <c r="CV26">
        <v>190</v>
      </c>
      <c r="CW26">
        <v>194</v>
      </c>
      <c r="CX26">
        <v>178</v>
      </c>
      <c r="CY26">
        <v>162</v>
      </c>
      <c r="CZ26">
        <v>160</v>
      </c>
      <c r="DA26">
        <v>136</v>
      </c>
      <c r="DB26">
        <v>120</v>
      </c>
      <c r="DC26">
        <v>158</v>
      </c>
      <c r="DD26">
        <v>200</v>
      </c>
      <c r="DE26">
        <v>246</v>
      </c>
      <c r="DF26">
        <v>112</v>
      </c>
      <c r="DG26">
        <v>112</v>
      </c>
      <c r="DH26">
        <v>26</v>
      </c>
      <c r="DI26">
        <v>14</v>
      </c>
      <c r="DJ26">
        <v>64</v>
      </c>
      <c r="DK26">
        <v>20</v>
      </c>
      <c r="DL26">
        <v>0</v>
      </c>
      <c r="DM26">
        <v>44</v>
      </c>
      <c r="DN26">
        <v>24</v>
      </c>
      <c r="DO26">
        <v>-42</v>
      </c>
      <c r="DP26">
        <v>-104</v>
      </c>
      <c r="DQ26">
        <v>-158</v>
      </c>
      <c r="DR26">
        <v>-206</v>
      </c>
      <c r="DS26">
        <v>-220</v>
      </c>
      <c r="DT26">
        <v>-162</v>
      </c>
      <c r="DU26">
        <v>-194</v>
      </c>
      <c r="DV26">
        <v>-134</v>
      </c>
      <c r="DW26">
        <v>-166</v>
      </c>
      <c r="DX26">
        <v>-166</v>
      </c>
      <c r="DY26">
        <v>-134</v>
      </c>
      <c r="DZ26">
        <v>-162</v>
      </c>
      <c r="EA26">
        <v>-160</v>
      </c>
      <c r="EB26">
        <v>-150</v>
      </c>
      <c r="EC26">
        <v>-188</v>
      </c>
      <c r="ED26">
        <v>-138</v>
      </c>
      <c r="EE26">
        <v>-156</v>
      </c>
      <c r="EF26">
        <v>-148</v>
      </c>
      <c r="EG26">
        <v>-146</v>
      </c>
      <c r="EH26">
        <v>-176</v>
      </c>
      <c r="EI26">
        <v>-114</v>
      </c>
      <c r="EJ26">
        <v>-146</v>
      </c>
      <c r="EK26">
        <v>-158</v>
      </c>
      <c r="EL26">
        <v>-128</v>
      </c>
      <c r="EM26">
        <v>-156</v>
      </c>
    </row>
    <row r="27" spans="1:143" x14ac:dyDescent="0.2">
      <c r="A27" t="str">
        <f>Input!M27</f>
        <v>OI</v>
      </c>
      <c r="B27">
        <v>90</v>
      </c>
      <c r="C27">
        <v>90</v>
      </c>
      <c r="D27">
        <v>90</v>
      </c>
      <c r="E27">
        <v>90</v>
      </c>
      <c r="F27">
        <v>90</v>
      </c>
      <c r="G27">
        <v>70</v>
      </c>
      <c r="H27">
        <v>70</v>
      </c>
      <c r="I27">
        <v>70</v>
      </c>
      <c r="J27">
        <v>114</v>
      </c>
      <c r="K27">
        <v>60</v>
      </c>
      <c r="L27">
        <v>56</v>
      </c>
      <c r="M27">
        <v>82</v>
      </c>
      <c r="N27">
        <v>60</v>
      </c>
      <c r="O27">
        <v>50</v>
      </c>
      <c r="P27">
        <v>40</v>
      </c>
      <c r="Q27">
        <v>40</v>
      </c>
      <c r="R27">
        <v>30</v>
      </c>
      <c r="S27">
        <v>224</v>
      </c>
      <c r="T27">
        <v>140</v>
      </c>
      <c r="U27">
        <v>268</v>
      </c>
      <c r="V27">
        <v>240</v>
      </c>
      <c r="W27">
        <v>196</v>
      </c>
      <c r="X27">
        <v>164</v>
      </c>
      <c r="Y27">
        <v>156</v>
      </c>
      <c r="Z27">
        <v>218</v>
      </c>
      <c r="AA27">
        <v>276</v>
      </c>
      <c r="AB27">
        <v>178</v>
      </c>
      <c r="AC27">
        <v>166</v>
      </c>
      <c r="AD27">
        <v>152</v>
      </c>
      <c r="AE27">
        <v>186</v>
      </c>
      <c r="AF27">
        <v>174</v>
      </c>
      <c r="AG27">
        <v>166</v>
      </c>
      <c r="AH27">
        <v>166</v>
      </c>
      <c r="AI27">
        <v>164</v>
      </c>
      <c r="AJ27">
        <v>174</v>
      </c>
      <c r="AK27">
        <v>166</v>
      </c>
      <c r="AL27">
        <v>118</v>
      </c>
      <c r="AM27">
        <v>122</v>
      </c>
      <c r="AN27">
        <v>58</v>
      </c>
      <c r="AO27">
        <v>30</v>
      </c>
      <c r="AP27">
        <v>36</v>
      </c>
      <c r="AQ27">
        <v>82</v>
      </c>
      <c r="AR27">
        <v>44</v>
      </c>
      <c r="AS27">
        <v>70</v>
      </c>
      <c r="AT27">
        <v>76</v>
      </c>
      <c r="AU27">
        <v>50</v>
      </c>
      <c r="AV27">
        <v>52</v>
      </c>
      <c r="AW27">
        <v>126</v>
      </c>
      <c r="AX27">
        <v>228</v>
      </c>
      <c r="AY27">
        <v>226</v>
      </c>
      <c r="AZ27">
        <v>192</v>
      </c>
      <c r="BA27">
        <v>198</v>
      </c>
      <c r="BB27">
        <v>134</v>
      </c>
      <c r="BC27">
        <v>96</v>
      </c>
      <c r="BD27">
        <v>38</v>
      </c>
      <c r="BE27">
        <v>38</v>
      </c>
      <c r="BF27">
        <v>40</v>
      </c>
      <c r="BG27">
        <v>28</v>
      </c>
      <c r="BH27">
        <v>84</v>
      </c>
      <c r="BI27">
        <v>50</v>
      </c>
      <c r="BJ27">
        <v>64</v>
      </c>
      <c r="BK27">
        <v>72</v>
      </c>
      <c r="BL27">
        <v>-16</v>
      </c>
      <c r="BM27">
        <v>46</v>
      </c>
      <c r="BN27">
        <v>78</v>
      </c>
      <c r="BO27">
        <v>68</v>
      </c>
      <c r="BP27">
        <v>94</v>
      </c>
      <c r="BQ27">
        <v>120</v>
      </c>
      <c r="BR27">
        <v>204</v>
      </c>
      <c r="BS27">
        <v>192</v>
      </c>
      <c r="BT27">
        <v>154</v>
      </c>
      <c r="BU27">
        <v>92</v>
      </c>
      <c r="BV27">
        <v>112</v>
      </c>
      <c r="BW27">
        <v>128</v>
      </c>
      <c r="BX27">
        <v>160</v>
      </c>
      <c r="BY27">
        <v>142</v>
      </c>
      <c r="BZ27">
        <v>148</v>
      </c>
      <c r="CA27">
        <v>160</v>
      </c>
      <c r="CB27">
        <v>188</v>
      </c>
      <c r="CC27">
        <v>104</v>
      </c>
      <c r="CD27">
        <v>116</v>
      </c>
      <c r="CE27">
        <v>134</v>
      </c>
      <c r="CF27">
        <v>128</v>
      </c>
      <c r="CG27">
        <v>68</v>
      </c>
      <c r="CH27">
        <v>62</v>
      </c>
      <c r="CI27">
        <v>36</v>
      </c>
      <c r="CJ27">
        <v>64</v>
      </c>
      <c r="CK27">
        <v>-6</v>
      </c>
      <c r="CL27">
        <v>68</v>
      </c>
      <c r="CM27">
        <v>50</v>
      </c>
      <c r="CN27">
        <v>30</v>
      </c>
      <c r="CO27">
        <v>40</v>
      </c>
      <c r="CP27">
        <v>-30</v>
      </c>
      <c r="CQ27">
        <v>-30</v>
      </c>
      <c r="CR27">
        <v>-52</v>
      </c>
      <c r="CS27">
        <v>-30</v>
      </c>
      <c r="CT27">
        <v>-58</v>
      </c>
      <c r="CU27">
        <v>-104</v>
      </c>
      <c r="CV27">
        <v>-62</v>
      </c>
      <c r="CW27">
        <v>-72</v>
      </c>
      <c r="CX27">
        <v>-50</v>
      </c>
      <c r="CY27">
        <v>-70</v>
      </c>
      <c r="CZ27">
        <v>-54</v>
      </c>
      <c r="DA27">
        <v>-210</v>
      </c>
      <c r="DB27">
        <v>-190</v>
      </c>
      <c r="DC27">
        <v>-128</v>
      </c>
      <c r="DD27">
        <v>-26</v>
      </c>
      <c r="DE27">
        <v>-12</v>
      </c>
      <c r="DF27">
        <v>8</v>
      </c>
      <c r="DG27">
        <v>54</v>
      </c>
      <c r="DH27">
        <v>44</v>
      </c>
      <c r="DI27">
        <v>38</v>
      </c>
      <c r="DJ27">
        <v>90</v>
      </c>
      <c r="DK27">
        <v>48</v>
      </c>
      <c r="DL27">
        <v>48</v>
      </c>
      <c r="DM27">
        <v>38</v>
      </c>
      <c r="DN27">
        <v>48</v>
      </c>
      <c r="DO27">
        <v>32</v>
      </c>
      <c r="DP27">
        <v>40</v>
      </c>
      <c r="DQ27">
        <v>50</v>
      </c>
      <c r="DR27">
        <v>-50</v>
      </c>
      <c r="DS27">
        <v>-28</v>
      </c>
      <c r="DT27">
        <v>56</v>
      </c>
      <c r="DU27">
        <v>2</v>
      </c>
      <c r="DV27">
        <v>22</v>
      </c>
      <c r="DW27">
        <v>-10</v>
      </c>
      <c r="DX27">
        <v>6</v>
      </c>
      <c r="DY27">
        <v>26</v>
      </c>
      <c r="DZ27">
        <v>-70</v>
      </c>
      <c r="EA27">
        <v>54</v>
      </c>
      <c r="EB27">
        <v>-38</v>
      </c>
      <c r="EC27">
        <v>-28</v>
      </c>
      <c r="ED27">
        <v>62</v>
      </c>
      <c r="EE27">
        <v>92</v>
      </c>
      <c r="EF27">
        <v>36</v>
      </c>
      <c r="EG27">
        <v>54</v>
      </c>
      <c r="EH27">
        <v>44</v>
      </c>
      <c r="EI27">
        <v>78</v>
      </c>
      <c r="EJ27">
        <v>-74</v>
      </c>
      <c r="EK27">
        <v>-18</v>
      </c>
      <c r="EL27">
        <v>-14</v>
      </c>
      <c r="EM27">
        <v>-106</v>
      </c>
    </row>
    <row r="28" spans="1:143" x14ac:dyDescent="0.2">
      <c r="A28" t="str">
        <f>Input!M28</f>
        <v>TA</v>
      </c>
      <c r="B28">
        <v>-45</v>
      </c>
      <c r="C28">
        <v>-70</v>
      </c>
      <c r="D28">
        <v>-75</v>
      </c>
      <c r="E28">
        <v>0</v>
      </c>
      <c r="F28">
        <v>60</v>
      </c>
      <c r="G28">
        <v>85</v>
      </c>
      <c r="H28">
        <v>105</v>
      </c>
      <c r="I28">
        <v>174</v>
      </c>
      <c r="J28">
        <v>160</v>
      </c>
      <c r="K28">
        <v>106</v>
      </c>
      <c r="L28">
        <v>147</v>
      </c>
      <c r="M28">
        <v>210</v>
      </c>
      <c r="N28">
        <v>192</v>
      </c>
      <c r="O28">
        <v>192</v>
      </c>
      <c r="P28">
        <v>160</v>
      </c>
      <c r="Q28">
        <v>250</v>
      </c>
      <c r="R28">
        <v>206</v>
      </c>
      <c r="S28">
        <v>36</v>
      </c>
      <c r="T28">
        <v>165</v>
      </c>
      <c r="U28">
        <v>85</v>
      </c>
      <c r="V28">
        <v>85</v>
      </c>
      <c r="W28">
        <v>85</v>
      </c>
      <c r="X28">
        <v>120</v>
      </c>
      <c r="Y28">
        <v>120</v>
      </c>
      <c r="Z28">
        <v>150</v>
      </c>
      <c r="AA28">
        <v>230</v>
      </c>
      <c r="AB28">
        <v>235</v>
      </c>
      <c r="AC28">
        <v>240</v>
      </c>
      <c r="AD28">
        <v>235</v>
      </c>
      <c r="AE28">
        <v>225</v>
      </c>
      <c r="AF28">
        <v>225</v>
      </c>
      <c r="AG28">
        <v>258</v>
      </c>
      <c r="AH28">
        <v>275</v>
      </c>
      <c r="AI28">
        <v>225</v>
      </c>
      <c r="AJ28">
        <v>140</v>
      </c>
      <c r="AK28">
        <v>225</v>
      </c>
      <c r="AL28">
        <v>165</v>
      </c>
      <c r="AM28">
        <v>125</v>
      </c>
      <c r="AN28">
        <v>125</v>
      </c>
      <c r="AO28">
        <v>40</v>
      </c>
      <c r="AP28">
        <v>40</v>
      </c>
      <c r="AQ28">
        <v>15</v>
      </c>
      <c r="AR28">
        <v>-2</v>
      </c>
      <c r="AS28">
        <v>15</v>
      </c>
      <c r="AT28">
        <v>40</v>
      </c>
      <c r="AU28">
        <v>30</v>
      </c>
      <c r="AV28">
        <v>15</v>
      </c>
      <c r="AW28">
        <v>0</v>
      </c>
      <c r="AX28">
        <v>0</v>
      </c>
      <c r="AY28">
        <v>0</v>
      </c>
      <c r="AZ28">
        <v>-30</v>
      </c>
      <c r="BA28">
        <v>-40</v>
      </c>
      <c r="BB28">
        <v>-30</v>
      </c>
      <c r="BC28">
        <v>-45</v>
      </c>
      <c r="BD28">
        <v>-40</v>
      </c>
      <c r="BE28">
        <v>-35</v>
      </c>
      <c r="BF28">
        <v>-45</v>
      </c>
      <c r="BG28">
        <v>-45</v>
      </c>
      <c r="BH28">
        <v>-5</v>
      </c>
      <c r="BI28">
        <v>-15</v>
      </c>
      <c r="BJ28">
        <v>-20</v>
      </c>
      <c r="BK28">
        <v>-10</v>
      </c>
      <c r="BL28">
        <v>-20</v>
      </c>
      <c r="BM28">
        <v>-18</v>
      </c>
      <c r="BN28">
        <v>-20</v>
      </c>
      <c r="BO28">
        <v>-25</v>
      </c>
      <c r="BP28">
        <v>-15</v>
      </c>
      <c r="BQ28">
        <v>-4</v>
      </c>
      <c r="BR28">
        <v>-30</v>
      </c>
      <c r="BS28">
        <v>-25</v>
      </c>
      <c r="BT28">
        <v>-30</v>
      </c>
      <c r="BU28">
        <v>-6</v>
      </c>
      <c r="BV28">
        <v>5</v>
      </c>
      <c r="BW28">
        <v>15</v>
      </c>
      <c r="BX28">
        <v>22</v>
      </c>
      <c r="BY28">
        <v>20</v>
      </c>
      <c r="BZ28">
        <v>18</v>
      </c>
      <c r="CA28">
        <v>-10</v>
      </c>
      <c r="CB28">
        <v>-10</v>
      </c>
      <c r="CC28">
        <v>-20</v>
      </c>
      <c r="CD28">
        <v>-30</v>
      </c>
      <c r="CE28">
        <v>-23</v>
      </c>
      <c r="CF28">
        <v>-30</v>
      </c>
      <c r="CG28">
        <v>-50</v>
      </c>
      <c r="CH28">
        <v>-64</v>
      </c>
      <c r="CI28">
        <v>-62</v>
      </c>
      <c r="CJ28">
        <v>-65</v>
      </c>
      <c r="CK28">
        <v>-68</v>
      </c>
      <c r="CL28">
        <v>60</v>
      </c>
      <c r="CM28">
        <v>-4</v>
      </c>
      <c r="CN28">
        <v>-10</v>
      </c>
      <c r="CO28">
        <v>4</v>
      </c>
      <c r="CP28">
        <v>12</v>
      </c>
      <c r="CQ28">
        <v>4</v>
      </c>
      <c r="CR28">
        <v>12</v>
      </c>
      <c r="CS28">
        <v>30</v>
      </c>
      <c r="CT28">
        <v>40</v>
      </c>
      <c r="CU28">
        <v>30</v>
      </c>
      <c r="CV28">
        <v>20</v>
      </c>
      <c r="CW28">
        <v>20</v>
      </c>
      <c r="CX28">
        <v>26</v>
      </c>
      <c r="CY28">
        <v>40</v>
      </c>
      <c r="CZ28">
        <v>50</v>
      </c>
      <c r="DA28">
        <v>50</v>
      </c>
      <c r="DB28">
        <v>50</v>
      </c>
      <c r="DC28">
        <v>42</v>
      </c>
      <c r="DD28">
        <v>42</v>
      </c>
      <c r="DE28">
        <v>34</v>
      </c>
      <c r="DF28">
        <v>10</v>
      </c>
      <c r="DG28">
        <v>4</v>
      </c>
      <c r="DH28">
        <v>10</v>
      </c>
      <c r="DI28">
        <v>10</v>
      </c>
      <c r="DJ28">
        <v>0</v>
      </c>
      <c r="DK28">
        <v>0</v>
      </c>
      <c r="DL28">
        <v>-10</v>
      </c>
      <c r="DM28">
        <v>-28</v>
      </c>
      <c r="DN28">
        <v>-30</v>
      </c>
      <c r="DO28">
        <v>-30</v>
      </c>
      <c r="DP28">
        <v>-30</v>
      </c>
      <c r="DQ28">
        <v>-30</v>
      </c>
      <c r="DR28">
        <v>-30</v>
      </c>
      <c r="DS28">
        <v>-30</v>
      </c>
      <c r="DT28">
        <v>-30</v>
      </c>
      <c r="DU28">
        <v>-15</v>
      </c>
      <c r="DV28">
        <v>-15</v>
      </c>
      <c r="DW28">
        <v>-10</v>
      </c>
      <c r="DX28">
        <v>-21</v>
      </c>
      <c r="DY28">
        <v>-20</v>
      </c>
      <c r="DZ28">
        <v>0</v>
      </c>
      <c r="EA28">
        <v>0</v>
      </c>
      <c r="EB28">
        <v>-9</v>
      </c>
      <c r="EC28">
        <v>-14</v>
      </c>
      <c r="ED28">
        <v>-11</v>
      </c>
      <c r="EE28">
        <v>-10</v>
      </c>
      <c r="EF28">
        <v>-20</v>
      </c>
      <c r="EG28">
        <v>0</v>
      </c>
      <c r="EH28">
        <v>-50</v>
      </c>
      <c r="EI28">
        <v>-49</v>
      </c>
      <c r="EJ28">
        <v>-55</v>
      </c>
      <c r="EK28">
        <v>-64</v>
      </c>
      <c r="EL28">
        <v>-70</v>
      </c>
      <c r="EM28">
        <v>-70</v>
      </c>
    </row>
    <row r="29" spans="1:143" x14ac:dyDescent="0.2">
      <c r="A29" t="str">
        <f>Input!M29</f>
        <v>M</v>
      </c>
      <c r="B29">
        <v>65</v>
      </c>
      <c r="C29">
        <v>61</v>
      </c>
      <c r="D29">
        <v>76</v>
      </c>
      <c r="E29">
        <v>78</v>
      </c>
      <c r="F29">
        <v>74</v>
      </c>
      <c r="G29">
        <v>62</v>
      </c>
      <c r="H29">
        <v>73</v>
      </c>
      <c r="I29">
        <v>76</v>
      </c>
      <c r="J29">
        <v>90</v>
      </c>
      <c r="K29">
        <v>95</v>
      </c>
      <c r="L29">
        <v>112</v>
      </c>
      <c r="M29">
        <v>119</v>
      </c>
      <c r="N29">
        <v>121</v>
      </c>
      <c r="O29">
        <v>120</v>
      </c>
      <c r="P29">
        <v>140</v>
      </c>
      <c r="Q29">
        <v>154</v>
      </c>
      <c r="R29">
        <v>160</v>
      </c>
      <c r="S29">
        <v>89</v>
      </c>
      <c r="T29">
        <v>77</v>
      </c>
      <c r="U29">
        <v>85</v>
      </c>
      <c r="V29">
        <v>53</v>
      </c>
      <c r="W29">
        <v>48</v>
      </c>
      <c r="X29">
        <v>55</v>
      </c>
      <c r="Y29">
        <v>69</v>
      </c>
      <c r="Z29">
        <v>53</v>
      </c>
      <c r="AA29">
        <v>54</v>
      </c>
      <c r="AB29">
        <v>62</v>
      </c>
      <c r="AC29">
        <v>63</v>
      </c>
      <c r="AD29">
        <v>52</v>
      </c>
      <c r="AE29">
        <v>129</v>
      </c>
      <c r="AF29">
        <v>123</v>
      </c>
      <c r="AG29">
        <v>131</v>
      </c>
      <c r="AH29">
        <v>120</v>
      </c>
      <c r="AI29">
        <v>133</v>
      </c>
      <c r="AJ29">
        <v>118</v>
      </c>
      <c r="AK29">
        <v>98</v>
      </c>
      <c r="AL29">
        <v>101</v>
      </c>
      <c r="AM29">
        <v>121</v>
      </c>
      <c r="AN29">
        <v>98</v>
      </c>
      <c r="AO29">
        <v>97</v>
      </c>
      <c r="AP29">
        <v>97</v>
      </c>
      <c r="AQ29">
        <v>109</v>
      </c>
      <c r="AR29">
        <v>109</v>
      </c>
      <c r="AS29">
        <v>122</v>
      </c>
      <c r="AT29">
        <v>118</v>
      </c>
      <c r="AU29">
        <v>117</v>
      </c>
      <c r="AV29">
        <v>121</v>
      </c>
      <c r="AW29">
        <v>127</v>
      </c>
      <c r="AX29">
        <v>133</v>
      </c>
      <c r="AY29">
        <v>112</v>
      </c>
      <c r="AZ29">
        <v>119</v>
      </c>
      <c r="BA29">
        <v>133</v>
      </c>
      <c r="BB29">
        <v>117</v>
      </c>
      <c r="BC29">
        <v>133</v>
      </c>
      <c r="BD29">
        <v>128</v>
      </c>
      <c r="BE29">
        <v>127</v>
      </c>
      <c r="BF29">
        <v>116</v>
      </c>
      <c r="BG29">
        <v>117</v>
      </c>
      <c r="BH29">
        <v>114</v>
      </c>
      <c r="BI29">
        <v>124</v>
      </c>
      <c r="BJ29">
        <v>116</v>
      </c>
      <c r="BK29">
        <v>138</v>
      </c>
      <c r="BL29">
        <v>140</v>
      </c>
      <c r="BM29">
        <v>153</v>
      </c>
      <c r="BN29">
        <v>149</v>
      </c>
      <c r="BO29">
        <v>251</v>
      </c>
      <c r="BP29">
        <v>242</v>
      </c>
      <c r="BQ29">
        <v>179</v>
      </c>
      <c r="BR29">
        <v>116</v>
      </c>
      <c r="BS29">
        <v>113</v>
      </c>
      <c r="BT29">
        <v>94</v>
      </c>
      <c r="BU29">
        <v>96</v>
      </c>
      <c r="BV29">
        <v>99</v>
      </c>
      <c r="BW29">
        <v>105</v>
      </c>
      <c r="BX29">
        <v>105</v>
      </c>
      <c r="BY29">
        <v>136</v>
      </c>
      <c r="BZ29">
        <v>125</v>
      </c>
      <c r="CA29">
        <v>133</v>
      </c>
      <c r="CB29">
        <v>133</v>
      </c>
      <c r="CC29">
        <v>123</v>
      </c>
      <c r="CD29">
        <v>139</v>
      </c>
      <c r="CE29">
        <v>115</v>
      </c>
      <c r="CF29">
        <v>92</v>
      </c>
      <c r="CG29">
        <v>104</v>
      </c>
      <c r="CH29">
        <v>101</v>
      </c>
      <c r="CI29">
        <v>102</v>
      </c>
      <c r="CJ29">
        <v>98</v>
      </c>
      <c r="CK29">
        <v>100</v>
      </c>
      <c r="CL29">
        <v>54</v>
      </c>
      <c r="CM29">
        <v>44</v>
      </c>
      <c r="CN29">
        <v>54</v>
      </c>
      <c r="CO29">
        <v>60</v>
      </c>
      <c r="CP29">
        <v>80</v>
      </c>
      <c r="CQ29">
        <v>80</v>
      </c>
      <c r="CR29">
        <v>90</v>
      </c>
      <c r="CS29">
        <v>55</v>
      </c>
      <c r="CT29">
        <v>60</v>
      </c>
      <c r="CU29">
        <v>57</v>
      </c>
      <c r="CV29">
        <v>48</v>
      </c>
      <c r="CW29">
        <v>45</v>
      </c>
      <c r="CX29">
        <v>35</v>
      </c>
      <c r="CY29">
        <v>36</v>
      </c>
      <c r="CZ29">
        <v>20</v>
      </c>
      <c r="DA29">
        <v>53</v>
      </c>
      <c r="DB29">
        <v>43</v>
      </c>
      <c r="DC29">
        <v>46</v>
      </c>
      <c r="DD29">
        <v>39</v>
      </c>
      <c r="DE29">
        <v>58</v>
      </c>
      <c r="DF29">
        <v>19</v>
      </c>
      <c r="DG29">
        <v>13</v>
      </c>
      <c r="DH29">
        <v>-3</v>
      </c>
      <c r="DI29">
        <v>16</v>
      </c>
      <c r="DJ29">
        <v>39</v>
      </c>
      <c r="DK29">
        <v>2</v>
      </c>
      <c r="DL29">
        <v>6</v>
      </c>
      <c r="DM29">
        <v>-7</v>
      </c>
      <c r="DN29">
        <v>6</v>
      </c>
      <c r="DO29">
        <v>7</v>
      </c>
      <c r="DP29">
        <v>-14</v>
      </c>
      <c r="DQ29">
        <v>-17</v>
      </c>
      <c r="DR29">
        <v>-35</v>
      </c>
      <c r="DS29">
        <v>-38</v>
      </c>
      <c r="DT29">
        <v>-37</v>
      </c>
      <c r="DU29">
        <v>-34</v>
      </c>
      <c r="DV29">
        <v>-48</v>
      </c>
      <c r="DW29">
        <v>-62</v>
      </c>
      <c r="DX29">
        <v>-40</v>
      </c>
      <c r="DY29">
        <v>-35</v>
      </c>
      <c r="DZ29">
        <v>-62</v>
      </c>
      <c r="EA29">
        <v>-35</v>
      </c>
      <c r="EB29">
        <v>-26</v>
      </c>
      <c r="EC29">
        <v>-16</v>
      </c>
      <c r="ED29">
        <v>-13</v>
      </c>
      <c r="EE29">
        <v>-30</v>
      </c>
      <c r="EF29">
        <v>-25</v>
      </c>
      <c r="EG29">
        <v>-26</v>
      </c>
      <c r="EH29">
        <v>-16</v>
      </c>
      <c r="EI29">
        <v>-34</v>
      </c>
      <c r="EJ29">
        <v>-12</v>
      </c>
      <c r="EK29">
        <v>14</v>
      </c>
      <c r="EL29">
        <v>14</v>
      </c>
      <c r="EM29">
        <v>20</v>
      </c>
    </row>
    <row r="30" spans="1:143" x14ac:dyDescent="0.2">
      <c r="A30" t="str">
        <f>Input!M30</f>
        <v>RU</v>
      </c>
      <c r="B30">
        <v>-1900</v>
      </c>
      <c r="C30">
        <v>-1900</v>
      </c>
      <c r="D30">
        <v>-2000</v>
      </c>
      <c r="E30">
        <v>-2000</v>
      </c>
      <c r="F30">
        <v>-2000</v>
      </c>
      <c r="G30">
        <v>-2000</v>
      </c>
      <c r="H30">
        <v>-2000</v>
      </c>
      <c r="I30">
        <v>-2000</v>
      </c>
      <c r="J30">
        <v>-2000</v>
      </c>
      <c r="K30">
        <v>-2030</v>
      </c>
      <c r="L30">
        <v>-1930</v>
      </c>
      <c r="M30">
        <v>-1955</v>
      </c>
      <c r="N30">
        <v>-1950</v>
      </c>
      <c r="O30">
        <v>-1945</v>
      </c>
      <c r="P30">
        <v>-1945</v>
      </c>
      <c r="Q30">
        <v>-1950</v>
      </c>
      <c r="R30">
        <v>-2055</v>
      </c>
      <c r="S30">
        <v>-1600</v>
      </c>
      <c r="T30">
        <v>-1600</v>
      </c>
      <c r="U30">
        <v>-1600</v>
      </c>
      <c r="V30">
        <v>-1600</v>
      </c>
      <c r="W30">
        <v>-1600</v>
      </c>
      <c r="X30">
        <v>-1600</v>
      </c>
      <c r="Y30">
        <v>-1600</v>
      </c>
      <c r="Z30">
        <v>-1600</v>
      </c>
      <c r="AA30">
        <v>-1600</v>
      </c>
      <c r="AB30">
        <v>-1600</v>
      </c>
      <c r="AC30">
        <v>-1600</v>
      </c>
      <c r="AD30">
        <v>-1600</v>
      </c>
      <c r="AE30">
        <v>-1600</v>
      </c>
      <c r="AF30">
        <v>-1600</v>
      </c>
      <c r="AG30">
        <v>-1600</v>
      </c>
      <c r="AH30">
        <v>-1600</v>
      </c>
      <c r="AI30">
        <v>-1600</v>
      </c>
      <c r="AJ30">
        <v>-1600</v>
      </c>
      <c r="AK30">
        <v>-1600</v>
      </c>
      <c r="AL30">
        <v>-1600</v>
      </c>
      <c r="AM30">
        <v>-1600</v>
      </c>
      <c r="AN30">
        <v>-1600</v>
      </c>
      <c r="AO30">
        <v>-1600</v>
      </c>
      <c r="AP30">
        <v>-1600</v>
      </c>
      <c r="AQ30">
        <v>-1600</v>
      </c>
      <c r="AR30">
        <v>-1575</v>
      </c>
      <c r="AS30">
        <v>-1595</v>
      </c>
      <c r="AT30">
        <v>-1615</v>
      </c>
      <c r="AU30">
        <v>-1610</v>
      </c>
      <c r="AV30">
        <v>-1575</v>
      </c>
      <c r="AW30">
        <v>-1640</v>
      </c>
      <c r="AX30">
        <v>-2000</v>
      </c>
      <c r="AY30">
        <v>-2010</v>
      </c>
      <c r="AZ30">
        <v>-2005</v>
      </c>
      <c r="BA30">
        <v>-2425</v>
      </c>
      <c r="BB30">
        <v>-2400</v>
      </c>
      <c r="BC30">
        <v>-2135</v>
      </c>
      <c r="BD30">
        <v>-1980</v>
      </c>
      <c r="BE30">
        <v>-2045</v>
      </c>
      <c r="BF30">
        <v>-2090</v>
      </c>
      <c r="BG30">
        <v>-2175</v>
      </c>
      <c r="BH30">
        <v>-2165</v>
      </c>
      <c r="BI30">
        <v>-2260</v>
      </c>
      <c r="BJ30">
        <v>-2255</v>
      </c>
      <c r="BK30">
        <v>-2090</v>
      </c>
      <c r="BL30">
        <v>-2075</v>
      </c>
      <c r="BM30">
        <v>-2020</v>
      </c>
      <c r="BN30">
        <v>-2100</v>
      </c>
      <c r="BO30">
        <v>-2050</v>
      </c>
      <c r="BP30">
        <v>-2030</v>
      </c>
      <c r="BQ30">
        <v>-2065</v>
      </c>
      <c r="BR30">
        <v>-2180</v>
      </c>
      <c r="BS30">
        <v>-2185</v>
      </c>
      <c r="BT30">
        <v>-2150</v>
      </c>
      <c r="BU30">
        <v>-2105</v>
      </c>
      <c r="BV30">
        <v>-2040</v>
      </c>
      <c r="BW30">
        <v>-2125</v>
      </c>
      <c r="BX30">
        <v>-1990</v>
      </c>
      <c r="BY30">
        <v>-2045</v>
      </c>
      <c r="BZ30">
        <v>-2010</v>
      </c>
      <c r="CA30">
        <v>-2130</v>
      </c>
      <c r="CB30">
        <v>-2115</v>
      </c>
      <c r="CC30">
        <v>-2360</v>
      </c>
      <c r="CD30">
        <v>-2430</v>
      </c>
      <c r="CE30">
        <v>-2440</v>
      </c>
      <c r="CF30">
        <v>-2490</v>
      </c>
      <c r="CG30">
        <v>-2475</v>
      </c>
      <c r="CH30">
        <v>-2585</v>
      </c>
      <c r="CI30">
        <v>-2555</v>
      </c>
      <c r="CJ30">
        <v>-2510</v>
      </c>
      <c r="CK30">
        <v>-2895</v>
      </c>
      <c r="CL30">
        <v>45</v>
      </c>
      <c r="CM30">
        <v>40</v>
      </c>
      <c r="CN30">
        <v>45</v>
      </c>
      <c r="CO30">
        <v>170</v>
      </c>
      <c r="CP30">
        <v>185</v>
      </c>
      <c r="CQ30">
        <v>160</v>
      </c>
      <c r="CR30">
        <v>195</v>
      </c>
      <c r="CS30">
        <v>175</v>
      </c>
      <c r="CT30">
        <v>185</v>
      </c>
      <c r="CU30">
        <v>185</v>
      </c>
      <c r="CV30">
        <v>170</v>
      </c>
      <c r="CW30">
        <v>175</v>
      </c>
      <c r="CX30">
        <v>170</v>
      </c>
      <c r="CY30">
        <v>100</v>
      </c>
      <c r="CZ30">
        <v>-5</v>
      </c>
      <c r="DA30">
        <v>-10</v>
      </c>
      <c r="DB30">
        <v>-120</v>
      </c>
      <c r="DC30">
        <v>-120</v>
      </c>
      <c r="DD30">
        <v>-130</v>
      </c>
      <c r="DE30">
        <v>-140</v>
      </c>
      <c r="DF30">
        <v>-145</v>
      </c>
      <c r="DG30">
        <v>0</v>
      </c>
      <c r="DH30">
        <v>70</v>
      </c>
      <c r="DI30">
        <v>-150</v>
      </c>
      <c r="DJ30">
        <v>-160</v>
      </c>
      <c r="DK30">
        <v>-160</v>
      </c>
      <c r="DL30">
        <v>-165</v>
      </c>
      <c r="DM30">
        <v>-165</v>
      </c>
      <c r="DN30">
        <v>-170</v>
      </c>
      <c r="DO30">
        <v>-180</v>
      </c>
      <c r="DP30">
        <v>-185</v>
      </c>
      <c r="DQ30">
        <v>-185</v>
      </c>
      <c r="DR30">
        <v>-185</v>
      </c>
      <c r="DS30">
        <v>-190</v>
      </c>
      <c r="DT30">
        <v>-210</v>
      </c>
      <c r="DU30">
        <v>-215</v>
      </c>
      <c r="DV30">
        <v>-215</v>
      </c>
      <c r="DW30">
        <v>-225</v>
      </c>
      <c r="DX30">
        <v>-225</v>
      </c>
      <c r="DY30">
        <v>-240</v>
      </c>
      <c r="DZ30">
        <v>-250</v>
      </c>
      <c r="EA30">
        <v>-242</v>
      </c>
      <c r="EB30">
        <v>-245</v>
      </c>
      <c r="EC30">
        <v>-250</v>
      </c>
      <c r="ED30">
        <v>-255</v>
      </c>
      <c r="EE30">
        <v>-260</v>
      </c>
      <c r="EF30">
        <v>-265</v>
      </c>
      <c r="EG30">
        <v>-270</v>
      </c>
      <c r="EH30">
        <v>-270</v>
      </c>
      <c r="EI30">
        <v>-310</v>
      </c>
      <c r="EJ30">
        <v>-275</v>
      </c>
      <c r="EK30">
        <v>-300</v>
      </c>
      <c r="EL30">
        <v>-285</v>
      </c>
      <c r="EM30">
        <v>-295</v>
      </c>
    </row>
    <row r="31" spans="1:143" x14ac:dyDescent="0.2">
      <c r="A31" t="str">
        <f>Input!M31</f>
        <v>FG</v>
      </c>
      <c r="B31">
        <v>-38</v>
      </c>
      <c r="C31">
        <v>-36</v>
      </c>
      <c r="D31">
        <v>-18</v>
      </c>
      <c r="E31">
        <v>-21</v>
      </c>
      <c r="F31">
        <v>26</v>
      </c>
      <c r="G31">
        <v>-4</v>
      </c>
      <c r="H31">
        <v>-1</v>
      </c>
      <c r="I31">
        <v>8</v>
      </c>
      <c r="J31">
        <v>8</v>
      </c>
      <c r="K31">
        <v>69</v>
      </c>
      <c r="L31">
        <v>59</v>
      </c>
      <c r="M31">
        <v>63</v>
      </c>
      <c r="N31">
        <v>41</v>
      </c>
      <c r="O31">
        <v>45</v>
      </c>
      <c r="P31">
        <v>82</v>
      </c>
      <c r="Q31">
        <v>90</v>
      </c>
      <c r="R31">
        <v>103</v>
      </c>
      <c r="S31">
        <v>47</v>
      </c>
      <c r="T31">
        <v>24</v>
      </c>
      <c r="U31">
        <v>15</v>
      </c>
      <c r="V31">
        <v>50</v>
      </c>
      <c r="W31">
        <v>53</v>
      </c>
      <c r="X31">
        <v>51</v>
      </c>
      <c r="Y31">
        <v>40</v>
      </c>
      <c r="Z31">
        <v>28</v>
      </c>
      <c r="AA31">
        <v>29</v>
      </c>
      <c r="AB31">
        <v>27</v>
      </c>
      <c r="AC31">
        <v>22</v>
      </c>
      <c r="AD31">
        <v>0</v>
      </c>
      <c r="AE31">
        <v>75</v>
      </c>
      <c r="AF31">
        <v>61</v>
      </c>
      <c r="AG31">
        <v>42</v>
      </c>
      <c r="AH31">
        <v>83</v>
      </c>
      <c r="AI31">
        <v>90</v>
      </c>
      <c r="AJ31">
        <v>83</v>
      </c>
      <c r="AK31">
        <v>75</v>
      </c>
      <c r="AL31">
        <v>73</v>
      </c>
      <c r="AM31">
        <v>69</v>
      </c>
      <c r="AN31">
        <v>74</v>
      </c>
      <c r="AO31">
        <v>109</v>
      </c>
      <c r="AP31">
        <v>90</v>
      </c>
      <c r="AQ31">
        <v>113</v>
      </c>
      <c r="AR31">
        <v>126</v>
      </c>
      <c r="AS31">
        <v>89</v>
      </c>
      <c r="AT31">
        <v>99</v>
      </c>
      <c r="AU31">
        <v>92</v>
      </c>
      <c r="AV31">
        <v>79</v>
      </c>
      <c r="AW31">
        <v>-21</v>
      </c>
      <c r="AX31">
        <v>5</v>
      </c>
      <c r="AY31">
        <v>34</v>
      </c>
      <c r="AZ31">
        <v>37</v>
      </c>
      <c r="BA31">
        <v>34</v>
      </c>
      <c r="BB31">
        <v>50</v>
      </c>
      <c r="BC31">
        <v>43</v>
      </c>
      <c r="BD31">
        <v>94</v>
      </c>
      <c r="BE31">
        <v>83</v>
      </c>
      <c r="BF31">
        <v>104</v>
      </c>
      <c r="BG31">
        <v>97</v>
      </c>
      <c r="BH31">
        <v>115</v>
      </c>
      <c r="BI31">
        <v>115</v>
      </c>
      <c r="BJ31">
        <v>113</v>
      </c>
      <c r="BK31">
        <v>145</v>
      </c>
      <c r="BL31">
        <v>148</v>
      </c>
      <c r="BM31">
        <v>146</v>
      </c>
      <c r="BN31">
        <v>129</v>
      </c>
      <c r="BO31">
        <v>124</v>
      </c>
      <c r="BP31">
        <v>112</v>
      </c>
      <c r="BQ31">
        <v>99</v>
      </c>
      <c r="BR31">
        <v>77</v>
      </c>
      <c r="BS31">
        <v>107</v>
      </c>
      <c r="BT31">
        <v>98</v>
      </c>
      <c r="BU31">
        <v>92</v>
      </c>
      <c r="BV31">
        <v>94</v>
      </c>
      <c r="BW31">
        <v>97</v>
      </c>
      <c r="BX31">
        <v>112</v>
      </c>
      <c r="BY31">
        <v>107</v>
      </c>
      <c r="BZ31">
        <v>120</v>
      </c>
      <c r="CA31">
        <v>149</v>
      </c>
      <c r="CB31">
        <v>147</v>
      </c>
      <c r="CC31">
        <v>140</v>
      </c>
      <c r="CD31">
        <v>141</v>
      </c>
      <c r="CE31">
        <v>120</v>
      </c>
      <c r="CF31">
        <v>128</v>
      </c>
      <c r="CG31">
        <v>132</v>
      </c>
      <c r="CH31">
        <v>129</v>
      </c>
      <c r="CI31">
        <v>129</v>
      </c>
      <c r="CJ31">
        <v>131</v>
      </c>
      <c r="CK31">
        <v>94</v>
      </c>
      <c r="CL31">
        <v>18</v>
      </c>
      <c r="CM31">
        <v>18</v>
      </c>
      <c r="CN31">
        <v>18</v>
      </c>
      <c r="CO31">
        <v>18</v>
      </c>
      <c r="CP31">
        <v>-28</v>
      </c>
      <c r="CQ31">
        <v>-28</v>
      </c>
      <c r="CR31">
        <v>-28</v>
      </c>
      <c r="CS31">
        <v>-31</v>
      </c>
      <c r="CT31">
        <v>-29</v>
      </c>
      <c r="CU31">
        <v>-28</v>
      </c>
      <c r="CV31">
        <v>14</v>
      </c>
      <c r="CW31">
        <v>15</v>
      </c>
      <c r="CX31">
        <v>16</v>
      </c>
      <c r="CY31">
        <v>20</v>
      </c>
      <c r="CZ31">
        <v>-1</v>
      </c>
      <c r="DA31">
        <v>10</v>
      </c>
      <c r="DB31">
        <v>5</v>
      </c>
      <c r="DC31">
        <v>-1</v>
      </c>
      <c r="DD31">
        <v>-1</v>
      </c>
      <c r="DE31">
        <v>12</v>
      </c>
      <c r="DF31">
        <v>11</v>
      </c>
      <c r="DG31">
        <v>30</v>
      </c>
      <c r="DH31">
        <v>41</v>
      </c>
      <c r="DI31">
        <v>24</v>
      </c>
      <c r="DJ31">
        <v>27</v>
      </c>
      <c r="DK31">
        <v>28</v>
      </c>
      <c r="DL31">
        <v>7</v>
      </c>
      <c r="DM31">
        <v>47</v>
      </c>
      <c r="DN31">
        <v>36</v>
      </c>
      <c r="DO31">
        <v>7</v>
      </c>
      <c r="DP31">
        <v>10</v>
      </c>
      <c r="DQ31">
        <v>7</v>
      </c>
      <c r="DR31">
        <v>-1</v>
      </c>
      <c r="DS31">
        <v>-6</v>
      </c>
      <c r="DT31">
        <v>26</v>
      </c>
      <c r="DU31">
        <v>26</v>
      </c>
      <c r="DV31">
        <v>23</v>
      </c>
      <c r="DW31">
        <v>6</v>
      </c>
      <c r="DX31">
        <v>9</v>
      </c>
      <c r="DY31">
        <v>2</v>
      </c>
      <c r="DZ31">
        <v>-15</v>
      </c>
      <c r="EA31">
        <v>-30</v>
      </c>
      <c r="EB31">
        <v>21</v>
      </c>
      <c r="EC31">
        <v>20</v>
      </c>
      <c r="ED31">
        <v>20</v>
      </c>
      <c r="EE31">
        <v>22</v>
      </c>
      <c r="EF31">
        <v>1</v>
      </c>
      <c r="EG31">
        <v>-6</v>
      </c>
      <c r="EH31">
        <v>7</v>
      </c>
      <c r="EI31">
        <v>18</v>
      </c>
      <c r="EJ31">
        <v>24</v>
      </c>
      <c r="EK31">
        <v>-1</v>
      </c>
      <c r="EL31">
        <v>33</v>
      </c>
      <c r="EM31">
        <v>14</v>
      </c>
    </row>
    <row r="32" spans="1:143" x14ac:dyDescent="0.2">
      <c r="A32" t="str">
        <f>Input!M32</f>
        <v>CY</v>
      </c>
      <c r="B32">
        <v>-510</v>
      </c>
      <c r="C32">
        <v>-490</v>
      </c>
      <c r="D32">
        <v>-545</v>
      </c>
      <c r="E32">
        <v>-460</v>
      </c>
      <c r="F32">
        <v>-465</v>
      </c>
      <c r="G32">
        <v>-325</v>
      </c>
      <c r="H32">
        <v>-350</v>
      </c>
      <c r="I32">
        <v>-190</v>
      </c>
      <c r="J32">
        <v>-195</v>
      </c>
      <c r="K32">
        <v>-140</v>
      </c>
      <c r="L32">
        <v>-230</v>
      </c>
      <c r="M32">
        <v>-140</v>
      </c>
      <c r="N32">
        <v>-185</v>
      </c>
      <c r="O32">
        <v>-150</v>
      </c>
      <c r="P32">
        <v>-50</v>
      </c>
      <c r="Q32">
        <v>15</v>
      </c>
      <c r="R32">
        <v>55</v>
      </c>
      <c r="S32">
        <v>300</v>
      </c>
      <c r="T32">
        <v>300</v>
      </c>
      <c r="U32">
        <v>200</v>
      </c>
      <c r="V32">
        <v>210</v>
      </c>
      <c r="W32">
        <v>250</v>
      </c>
      <c r="X32">
        <v>145</v>
      </c>
      <c r="Y32">
        <v>-55</v>
      </c>
      <c r="Z32">
        <v>-340</v>
      </c>
      <c r="AA32">
        <v>-95</v>
      </c>
      <c r="AB32">
        <v>35</v>
      </c>
      <c r="AC32">
        <v>-130</v>
      </c>
      <c r="AD32">
        <v>-140</v>
      </c>
      <c r="AE32">
        <v>-200</v>
      </c>
      <c r="AF32">
        <v>-285</v>
      </c>
      <c r="AG32">
        <v>-220</v>
      </c>
      <c r="AH32">
        <v>95</v>
      </c>
      <c r="AI32">
        <v>95</v>
      </c>
      <c r="AJ32">
        <v>55</v>
      </c>
      <c r="AK32">
        <v>50</v>
      </c>
      <c r="AL32">
        <v>30</v>
      </c>
      <c r="AM32">
        <v>0</v>
      </c>
      <c r="AN32">
        <v>25</v>
      </c>
      <c r="AO32">
        <v>-20</v>
      </c>
      <c r="AP32">
        <v>-10</v>
      </c>
      <c r="AQ32">
        <v>25</v>
      </c>
      <c r="AR32">
        <v>80</v>
      </c>
      <c r="AS32">
        <v>240</v>
      </c>
      <c r="AT32">
        <v>240</v>
      </c>
      <c r="AU32">
        <v>315</v>
      </c>
      <c r="AV32">
        <v>275</v>
      </c>
      <c r="AW32">
        <v>245</v>
      </c>
      <c r="AX32">
        <v>195</v>
      </c>
      <c r="AY32">
        <v>200</v>
      </c>
      <c r="AZ32">
        <v>160</v>
      </c>
      <c r="BA32">
        <v>115</v>
      </c>
      <c r="BB32">
        <v>60</v>
      </c>
      <c r="BC32">
        <v>220</v>
      </c>
      <c r="BD32">
        <v>235</v>
      </c>
      <c r="BE32">
        <v>245</v>
      </c>
      <c r="BF32">
        <v>240</v>
      </c>
      <c r="BG32">
        <v>225</v>
      </c>
      <c r="BH32">
        <v>255</v>
      </c>
      <c r="BI32">
        <v>390</v>
      </c>
      <c r="BJ32">
        <v>380</v>
      </c>
      <c r="BK32">
        <v>510</v>
      </c>
      <c r="BL32">
        <v>435</v>
      </c>
      <c r="BM32">
        <v>645</v>
      </c>
      <c r="BN32">
        <v>575</v>
      </c>
      <c r="BO32">
        <v>570</v>
      </c>
      <c r="BP32">
        <v>570</v>
      </c>
      <c r="BQ32">
        <v>660</v>
      </c>
      <c r="BR32">
        <v>640</v>
      </c>
      <c r="BS32">
        <v>575</v>
      </c>
      <c r="BT32">
        <v>440</v>
      </c>
      <c r="BU32">
        <v>435</v>
      </c>
      <c r="BV32">
        <v>450</v>
      </c>
      <c r="BW32">
        <v>470</v>
      </c>
      <c r="BX32">
        <v>470</v>
      </c>
      <c r="BY32">
        <v>470</v>
      </c>
      <c r="BZ32">
        <v>460</v>
      </c>
      <c r="CA32">
        <v>420</v>
      </c>
      <c r="CB32">
        <v>455</v>
      </c>
      <c r="CC32">
        <v>245</v>
      </c>
      <c r="CD32">
        <v>125</v>
      </c>
      <c r="CE32">
        <v>165</v>
      </c>
      <c r="CF32">
        <v>210</v>
      </c>
      <c r="CG32">
        <v>150</v>
      </c>
      <c r="CH32">
        <v>90</v>
      </c>
      <c r="CI32">
        <v>315</v>
      </c>
      <c r="CJ32">
        <v>375</v>
      </c>
      <c r="CK32">
        <v>270</v>
      </c>
      <c r="CL32">
        <v>150</v>
      </c>
      <c r="CM32">
        <v>90</v>
      </c>
      <c r="CN32">
        <v>-35</v>
      </c>
      <c r="CO32">
        <v>-165</v>
      </c>
      <c r="CP32">
        <v>15</v>
      </c>
      <c r="CQ32">
        <v>-260</v>
      </c>
      <c r="CR32">
        <v>-335</v>
      </c>
      <c r="CS32">
        <v>-375</v>
      </c>
      <c r="CT32">
        <v>-410</v>
      </c>
      <c r="CU32">
        <v>-5</v>
      </c>
      <c r="CV32">
        <v>-5</v>
      </c>
      <c r="CW32">
        <v>15</v>
      </c>
      <c r="CX32">
        <v>-5</v>
      </c>
    </row>
    <row r="33" spans="1:45" x14ac:dyDescent="0.2">
      <c r="A33" t="str">
        <f>Input!M33</f>
        <v>V</v>
      </c>
      <c r="B33">
        <v>-280</v>
      </c>
      <c r="C33">
        <v>-150</v>
      </c>
      <c r="D33">
        <v>-190</v>
      </c>
      <c r="E33">
        <v>-150</v>
      </c>
      <c r="F33">
        <v>-100</v>
      </c>
      <c r="G33">
        <v>-95</v>
      </c>
      <c r="H33">
        <v>-100</v>
      </c>
      <c r="I33">
        <v>-5</v>
      </c>
      <c r="J33">
        <v>-25</v>
      </c>
      <c r="K33">
        <v>-175</v>
      </c>
      <c r="L33">
        <v>-155</v>
      </c>
      <c r="M33">
        <v>-140</v>
      </c>
      <c r="N33">
        <v>-200</v>
      </c>
      <c r="O33">
        <v>-140</v>
      </c>
      <c r="P33">
        <v>-205</v>
      </c>
      <c r="Q33">
        <v>-165</v>
      </c>
      <c r="R33">
        <v>-165</v>
      </c>
      <c r="S33">
        <v>-10</v>
      </c>
      <c r="T33">
        <v>10</v>
      </c>
      <c r="U33">
        <v>-65</v>
      </c>
      <c r="V33">
        <v>-15</v>
      </c>
      <c r="W33">
        <v>-35</v>
      </c>
      <c r="X33">
        <v>-65</v>
      </c>
      <c r="Y33">
        <v>-10</v>
      </c>
      <c r="Z33">
        <v>-20</v>
      </c>
      <c r="AA33">
        <v>-20</v>
      </c>
      <c r="AB33">
        <v>-90</v>
      </c>
      <c r="AC33">
        <v>-95</v>
      </c>
      <c r="AD33">
        <v>-70</v>
      </c>
      <c r="AE33">
        <v>-50</v>
      </c>
      <c r="AF33">
        <v>-50</v>
      </c>
      <c r="AG33">
        <v>-65</v>
      </c>
      <c r="AH33">
        <v>-100</v>
      </c>
      <c r="AI33">
        <v>-80</v>
      </c>
      <c r="AJ33">
        <v>-225</v>
      </c>
      <c r="AK33">
        <v>-95</v>
      </c>
      <c r="AL33">
        <v>-205</v>
      </c>
      <c r="AM33">
        <v>-160</v>
      </c>
      <c r="AN33">
        <v>-150</v>
      </c>
      <c r="AO33">
        <v>-115</v>
      </c>
      <c r="AP33">
        <v>-45</v>
      </c>
      <c r="AQ33">
        <v>-110</v>
      </c>
      <c r="AR33">
        <v>-70</v>
      </c>
      <c r="AS33">
        <v>-140</v>
      </c>
    </row>
    <row r="34" spans="1:45" x14ac:dyDescent="0.2">
      <c r="A34" t="str">
        <f>Input!M34</f>
        <v>AP</v>
      </c>
      <c r="F34">
        <v>-1415</v>
      </c>
      <c r="G34">
        <v>-1415</v>
      </c>
      <c r="H34">
        <v>-1415</v>
      </c>
      <c r="I34">
        <v>-1415</v>
      </c>
      <c r="J34">
        <v>-1415</v>
      </c>
      <c r="K34">
        <v>-1415</v>
      </c>
      <c r="L34">
        <v>-1415</v>
      </c>
      <c r="M34">
        <v>-1537</v>
      </c>
      <c r="N34">
        <v>-1566</v>
      </c>
      <c r="O34">
        <v>-1613</v>
      </c>
      <c r="P34">
        <v>-1686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M34"/>
  <sheetViews>
    <sheetView workbookViewId="0">
      <selection activeCell="C1" sqref="C1"/>
    </sheetView>
  </sheetViews>
  <sheetFormatPr defaultColWidth="11.625" defaultRowHeight="14.25" x14ac:dyDescent="0.2"/>
  <cols>
    <col min="1" max="15" width="6.5" customWidth="1"/>
    <col min="16" max="143" width="11.25" customWidth="1"/>
  </cols>
  <sheetData>
    <row r="1" spans="1:143" s="13" customFormat="1" x14ac:dyDescent="0.2">
      <c r="A1" s="13" t="s">
        <v>68</v>
      </c>
      <c r="B1" s="13">
        <v>43126</v>
      </c>
      <c r="C1" s="13">
        <v>43125</v>
      </c>
      <c r="D1" s="13">
        <v>43124</v>
      </c>
      <c r="E1" s="13">
        <v>43123</v>
      </c>
      <c r="F1" s="13">
        <v>43122</v>
      </c>
      <c r="G1" s="13">
        <v>43119</v>
      </c>
      <c r="H1" s="13">
        <v>43118</v>
      </c>
      <c r="I1" s="13">
        <v>43117</v>
      </c>
      <c r="J1" s="13">
        <v>43116</v>
      </c>
      <c r="K1" s="13">
        <v>43115</v>
      </c>
      <c r="L1" s="13">
        <v>43112</v>
      </c>
      <c r="M1" s="13">
        <v>43111</v>
      </c>
      <c r="N1" s="13">
        <v>43110</v>
      </c>
      <c r="O1" s="13">
        <v>43109</v>
      </c>
      <c r="P1" s="13">
        <v>43108</v>
      </c>
      <c r="Q1" s="13">
        <v>43105</v>
      </c>
      <c r="R1" s="13">
        <v>43104</v>
      </c>
      <c r="S1" s="13">
        <v>43103</v>
      </c>
      <c r="T1" s="13">
        <v>43102</v>
      </c>
      <c r="U1" s="13">
        <v>43098</v>
      </c>
      <c r="V1" s="13">
        <v>43097</v>
      </c>
      <c r="W1" s="13">
        <v>43096</v>
      </c>
      <c r="X1" s="13">
        <v>43095</v>
      </c>
      <c r="Y1" s="13">
        <v>43094</v>
      </c>
      <c r="Z1" s="13">
        <v>43091</v>
      </c>
      <c r="AA1" s="13">
        <v>43090</v>
      </c>
      <c r="AB1" s="13">
        <v>43089</v>
      </c>
      <c r="AC1" s="13">
        <v>43088</v>
      </c>
      <c r="AD1" s="13">
        <v>43087</v>
      </c>
      <c r="AE1" s="13">
        <v>43084</v>
      </c>
      <c r="AF1" s="13">
        <v>43083</v>
      </c>
      <c r="AG1" s="13">
        <v>43082</v>
      </c>
      <c r="AH1" s="13">
        <v>43081</v>
      </c>
      <c r="AI1" s="13">
        <v>43080</v>
      </c>
      <c r="AJ1" s="13">
        <v>43077</v>
      </c>
      <c r="AK1" s="13">
        <v>43076</v>
      </c>
      <c r="AL1" s="13">
        <v>43075</v>
      </c>
      <c r="AM1" s="13">
        <v>43074</v>
      </c>
      <c r="AN1" s="13">
        <v>43073</v>
      </c>
      <c r="AO1" s="13">
        <v>43070</v>
      </c>
      <c r="AP1" s="13">
        <v>43069</v>
      </c>
      <c r="AQ1" s="13">
        <v>43068</v>
      </c>
      <c r="AR1" s="13">
        <v>43067</v>
      </c>
      <c r="AS1" s="13">
        <v>43066</v>
      </c>
      <c r="AT1" s="13">
        <v>43062</v>
      </c>
      <c r="AU1" s="13">
        <v>43061</v>
      </c>
      <c r="AV1" s="13">
        <v>43060</v>
      </c>
      <c r="AW1" s="13">
        <v>43059</v>
      </c>
      <c r="AX1" s="13">
        <v>43056</v>
      </c>
      <c r="AY1" s="13">
        <v>43055</v>
      </c>
      <c r="AZ1" s="13">
        <v>43054</v>
      </c>
      <c r="BA1" s="13">
        <v>43053</v>
      </c>
      <c r="BB1" s="13">
        <v>43052</v>
      </c>
      <c r="BC1" s="13">
        <v>43049</v>
      </c>
      <c r="BD1" s="13">
        <v>43048</v>
      </c>
      <c r="BE1" s="13">
        <v>43047</v>
      </c>
      <c r="BF1" s="13">
        <v>43046</v>
      </c>
      <c r="BG1" s="13">
        <v>43045</v>
      </c>
      <c r="BH1" s="13">
        <v>43042</v>
      </c>
      <c r="BI1" s="13">
        <v>43041</v>
      </c>
      <c r="BJ1" s="13">
        <v>43040</v>
      </c>
      <c r="BK1" s="13">
        <v>43039</v>
      </c>
      <c r="BL1" s="13">
        <v>43038</v>
      </c>
      <c r="BM1" s="13">
        <v>43035</v>
      </c>
      <c r="BN1" s="13">
        <v>43034</v>
      </c>
      <c r="BO1" s="13">
        <v>43033</v>
      </c>
      <c r="BP1" s="13">
        <v>43032</v>
      </c>
      <c r="BQ1" s="13">
        <v>43031</v>
      </c>
      <c r="BR1" s="13">
        <v>43028</v>
      </c>
      <c r="BS1" s="13">
        <v>43027</v>
      </c>
      <c r="BT1" s="13">
        <v>43026</v>
      </c>
      <c r="BU1" s="13">
        <v>43025</v>
      </c>
      <c r="BV1" s="13">
        <v>43024</v>
      </c>
      <c r="BW1" s="13">
        <v>43021</v>
      </c>
      <c r="BX1" s="13">
        <v>43020</v>
      </c>
      <c r="BY1" s="13">
        <v>43019</v>
      </c>
      <c r="BZ1" s="13">
        <v>43018</v>
      </c>
      <c r="CA1" s="13">
        <v>43007</v>
      </c>
      <c r="CB1" s="13">
        <v>43006</v>
      </c>
      <c r="CC1" s="13">
        <v>43005</v>
      </c>
      <c r="CD1" s="13">
        <v>43004</v>
      </c>
      <c r="CE1" s="13">
        <v>43003</v>
      </c>
      <c r="CF1" s="13">
        <v>43000</v>
      </c>
      <c r="CG1" s="13">
        <v>42999</v>
      </c>
      <c r="CH1" s="13">
        <v>42998</v>
      </c>
      <c r="CI1" s="13">
        <v>42997</v>
      </c>
      <c r="CJ1" s="13">
        <v>42996</v>
      </c>
      <c r="CK1" s="13">
        <v>42993</v>
      </c>
      <c r="CL1" s="13">
        <v>42992</v>
      </c>
      <c r="CM1" s="13">
        <v>42991</v>
      </c>
      <c r="CN1" s="13">
        <v>42990</v>
      </c>
      <c r="CO1" s="13">
        <v>42989</v>
      </c>
      <c r="CP1" s="13">
        <v>42986</v>
      </c>
      <c r="CQ1" s="13">
        <v>42985</v>
      </c>
      <c r="CR1" s="13">
        <v>42984</v>
      </c>
      <c r="CS1" s="13">
        <v>42983</v>
      </c>
      <c r="CT1" s="13">
        <v>42982</v>
      </c>
      <c r="CU1" s="13">
        <v>42979</v>
      </c>
      <c r="CV1" s="13">
        <v>42978</v>
      </c>
      <c r="CW1" s="13">
        <v>42977</v>
      </c>
      <c r="CX1" s="13">
        <v>42976</v>
      </c>
      <c r="CY1" s="13">
        <v>42975</v>
      </c>
      <c r="CZ1" s="13">
        <v>42972</v>
      </c>
      <c r="DA1" s="13">
        <v>42971</v>
      </c>
      <c r="DB1" s="13">
        <v>42970</v>
      </c>
      <c r="DC1" s="13">
        <v>42969</v>
      </c>
      <c r="DD1" s="13">
        <v>42968</v>
      </c>
      <c r="DE1" s="13">
        <v>42965</v>
      </c>
      <c r="DF1" s="13">
        <v>42964</v>
      </c>
      <c r="DG1" s="13">
        <v>42963</v>
      </c>
      <c r="DH1" s="13">
        <v>42962</v>
      </c>
      <c r="DI1" s="13">
        <v>42961</v>
      </c>
      <c r="DJ1" s="13">
        <v>42958</v>
      </c>
      <c r="DK1" s="13">
        <v>42957</v>
      </c>
      <c r="DL1" s="13">
        <v>42956</v>
      </c>
      <c r="DM1" s="13">
        <v>42955</v>
      </c>
      <c r="DN1" s="13">
        <v>42954</v>
      </c>
      <c r="DO1" s="13">
        <v>42951</v>
      </c>
      <c r="DP1" s="13">
        <v>42950</v>
      </c>
      <c r="DQ1" s="13">
        <v>42949</v>
      </c>
      <c r="DR1" s="13">
        <v>42948</v>
      </c>
      <c r="DS1" s="13">
        <v>42947</v>
      </c>
      <c r="DT1" s="13">
        <v>42944</v>
      </c>
      <c r="DU1" s="13">
        <v>42943</v>
      </c>
      <c r="DV1" s="13">
        <v>42942</v>
      </c>
      <c r="DW1" s="13">
        <v>42941</v>
      </c>
      <c r="DX1" s="13">
        <v>42940</v>
      </c>
      <c r="DY1" s="13">
        <v>42937</v>
      </c>
      <c r="DZ1" s="13">
        <v>42936</v>
      </c>
      <c r="EA1" s="13">
        <v>42935</v>
      </c>
      <c r="EB1" s="13">
        <v>42934</v>
      </c>
      <c r="EC1" s="13">
        <v>42933</v>
      </c>
      <c r="ED1" s="13">
        <v>42930</v>
      </c>
      <c r="EE1" s="13">
        <v>42929</v>
      </c>
      <c r="EF1" s="13">
        <v>42928</v>
      </c>
      <c r="EG1" s="13">
        <v>42927</v>
      </c>
      <c r="EH1" s="13">
        <v>42926</v>
      </c>
      <c r="EI1" s="13">
        <v>42923</v>
      </c>
      <c r="EJ1" s="13">
        <v>42922</v>
      </c>
      <c r="EK1" s="13">
        <v>42921</v>
      </c>
      <c r="EL1" s="13">
        <v>42920</v>
      </c>
      <c r="EM1" s="13">
        <v>42919</v>
      </c>
    </row>
    <row r="2" spans="1:143" s="17" customFormat="1" x14ac:dyDescent="0.2">
      <c r="A2" s="17" t="str">
        <f>Input!M2</f>
        <v>JM</v>
      </c>
      <c r="B2" s="17">
        <v>4.0152963671128104E-2</v>
      </c>
      <c r="C2" s="17">
        <v>3.4220532319391636E-2</v>
      </c>
      <c r="D2" s="17">
        <v>6.042884990253411E-2</v>
      </c>
      <c r="E2" s="17">
        <v>7.7227722772277227E-2</v>
      </c>
      <c r="F2" s="17">
        <v>5.877773452705333E-2</v>
      </c>
      <c r="G2" s="17">
        <v>6.6248529988239907E-2</v>
      </c>
      <c r="H2" s="17">
        <v>8.2778000000000004E-2</v>
      </c>
      <c r="I2" s="17">
        <v>8.1928655429243435E-2</v>
      </c>
      <c r="J2" s="17">
        <v>4.743833017077799E-2</v>
      </c>
      <c r="K2" s="17">
        <v>4.0331699962306823E-2</v>
      </c>
      <c r="L2" s="17">
        <v>2.4879316747122168E-2</v>
      </c>
      <c r="M2" s="17">
        <v>1.1730205278592375E-2</v>
      </c>
      <c r="N2" s="17">
        <v>6.9317767238234219E-3</v>
      </c>
      <c r="O2" s="17">
        <v>-3.2502708559046588E-3</v>
      </c>
      <c r="P2" s="17">
        <v>1.4332965821389196E-2</v>
      </c>
      <c r="Q2" s="17">
        <v>2.1465581051073278E-2</v>
      </c>
      <c r="R2" s="17">
        <v>2.3359288097886542E-2</v>
      </c>
      <c r="S2" s="17">
        <v>5.3435114503816793E-2</v>
      </c>
      <c r="T2" s="17">
        <v>4.9030786773090078E-2</v>
      </c>
      <c r="U2" s="17">
        <v>6.9767441860465115E-2</v>
      </c>
      <c r="V2" s="17">
        <v>6.0722521137586472E-2</v>
      </c>
      <c r="W2" s="17">
        <v>5.5853098699311397E-2</v>
      </c>
      <c r="X2" s="17">
        <v>7.3512252042006995E-2</v>
      </c>
      <c r="Y2" s="17">
        <v>5.7471264367816091E-2</v>
      </c>
      <c r="Z2" s="17">
        <v>4.6247156937073541E-2</v>
      </c>
      <c r="AA2" s="17">
        <v>5.0228310502283102E-2</v>
      </c>
      <c r="AB2" s="17">
        <v>3.2161555721765149E-2</v>
      </c>
      <c r="AC2" s="17">
        <v>2.4498886414253896E-2</v>
      </c>
      <c r="AD2" s="17">
        <v>3.1390134529147982E-2</v>
      </c>
      <c r="AE2" s="17">
        <v>4.6511627906976744E-2</v>
      </c>
      <c r="AF2" s="17">
        <v>5.0992604126119112E-2</v>
      </c>
      <c r="AG2" s="17">
        <v>9.7087378640776691E-3</v>
      </c>
      <c r="AH2" s="17">
        <v>1.7612524461839529E-2</v>
      </c>
      <c r="AI2" s="17">
        <v>2.3492560689115116E-3</v>
      </c>
      <c r="AJ2" s="17">
        <v>3.8539553752535496E-2</v>
      </c>
      <c r="AK2" s="17">
        <v>2.5230276331597919E-2</v>
      </c>
      <c r="AL2" s="17">
        <v>-1.8404907975460124E-2</v>
      </c>
      <c r="AM2" s="17">
        <v>-4.0479760119940027E-2</v>
      </c>
      <c r="AN2" s="17">
        <v>-4.5488441461595822E-2</v>
      </c>
      <c r="AO2" s="17">
        <v>-5.6047197640117993E-2</v>
      </c>
      <c r="AP2" s="17">
        <v>-6.2957540263543194E-2</v>
      </c>
      <c r="AQ2" s="17">
        <v>-5.695963787250094E-2</v>
      </c>
      <c r="AR2" s="17">
        <v>-4.5072574484339191E-2</v>
      </c>
      <c r="AS2" s="17">
        <v>-6.2617172853393327E-2</v>
      </c>
      <c r="AT2" s="17">
        <v>-4.2879019908116385E-2</v>
      </c>
      <c r="AU2" s="17">
        <v>-1.1466982997232108E-2</v>
      </c>
      <c r="AV2" s="17">
        <v>2.5000000000000001E-2</v>
      </c>
      <c r="AW2" s="17">
        <v>3.7344398000000001E-2</v>
      </c>
      <c r="AX2" s="17">
        <v>5.3100000000000001E-2</v>
      </c>
      <c r="AY2" s="17">
        <v>7.1999999999999995E-2</v>
      </c>
      <c r="AZ2" s="17">
        <v>5.1299999999999998E-2</v>
      </c>
      <c r="BA2" s="17">
        <v>3.691414350891746E-2</v>
      </c>
      <c r="BB2" s="17">
        <v>3.5200000000000002E-2</v>
      </c>
      <c r="BC2" s="17">
        <v>3.0499999999999999E-2</v>
      </c>
      <c r="BD2" s="17">
        <v>3.5200000000000002E-2</v>
      </c>
      <c r="BE2" s="17">
        <v>5.7999999999999996E-2</v>
      </c>
      <c r="BF2" s="17">
        <v>6.8376068376068383E-2</v>
      </c>
      <c r="BG2" s="17">
        <v>6.7500000000000004E-2</v>
      </c>
      <c r="BH2" s="17">
        <v>0.1404</v>
      </c>
      <c r="BI2" s="17">
        <v>0.16539999999999999</v>
      </c>
      <c r="BJ2" s="17">
        <v>0.20430000000000001</v>
      </c>
      <c r="BK2" s="17">
        <v>0.21609999999999999</v>
      </c>
      <c r="BL2" s="17">
        <v>0.16331096196868009</v>
      </c>
      <c r="BM2" s="17">
        <v>0.18397085610200364</v>
      </c>
      <c r="BN2" s="17">
        <v>0.17860380779691751</v>
      </c>
      <c r="BO2" s="17">
        <v>0.2339</v>
      </c>
      <c r="BP2" s="17">
        <v>0.22598353156450138</v>
      </c>
      <c r="BQ2" s="17">
        <v>0.1958946898705935</v>
      </c>
      <c r="BR2" s="17">
        <v>0.1678</v>
      </c>
      <c r="BS2" s="17">
        <v>0.20017913121361397</v>
      </c>
      <c r="BT2" s="17">
        <v>0.13703860840050913</v>
      </c>
      <c r="BU2" s="17">
        <v>0.15021459227467812</v>
      </c>
      <c r="BV2" s="17">
        <v>0.19006849300000001</v>
      </c>
      <c r="BW2" s="17">
        <v>0.19982736296935694</v>
      </c>
      <c r="BX2" s="17">
        <v>0.27411395244504261</v>
      </c>
      <c r="BY2" s="17">
        <v>0.26899016979445933</v>
      </c>
      <c r="BZ2" s="17">
        <v>0.33949191685912239</v>
      </c>
      <c r="CA2" s="17">
        <v>0.28660159716060335</v>
      </c>
      <c r="CB2" s="17">
        <v>0.29401408450704225</v>
      </c>
      <c r="CC2" s="17">
        <v>0.2537313432835821</v>
      </c>
      <c r="CD2" s="17">
        <v>0.24418112568768516</v>
      </c>
      <c r="CE2" s="17">
        <v>0.26833477135461603</v>
      </c>
      <c r="CF2" s="17">
        <v>0.20987654320987653</v>
      </c>
      <c r="CG2" s="17">
        <v>0.16481774960380349</v>
      </c>
      <c r="CH2" s="17">
        <v>0.14130434782608695</v>
      </c>
      <c r="CI2" s="17">
        <v>0.13120430934974991</v>
      </c>
      <c r="CJ2" s="17">
        <v>0.13948919449901767</v>
      </c>
      <c r="CK2" s="17">
        <v>6.8139963167587483E-2</v>
      </c>
      <c r="CL2" s="17">
        <v>0.16935483870967741</v>
      </c>
      <c r="CM2" s="17">
        <v>0.18078175895765472</v>
      </c>
      <c r="CN2" s="17">
        <v>0.20833333333333334</v>
      </c>
      <c r="CO2" s="17">
        <v>0.16666666666666666</v>
      </c>
      <c r="CP2" s="17">
        <v>0.16666666666666666</v>
      </c>
      <c r="CQ2" s="17">
        <v>0.25955915429599641</v>
      </c>
      <c r="CR2" s="17">
        <v>0.10169491525423729</v>
      </c>
      <c r="CS2" s="17">
        <v>0.10029623360135421</v>
      </c>
      <c r="CT2" s="17">
        <v>9.0146750524109018E-2</v>
      </c>
      <c r="CU2" s="17">
        <v>8.6956521739130432E-2</v>
      </c>
      <c r="CV2" s="17">
        <v>7.43801652892562E-2</v>
      </c>
      <c r="CW2" s="17">
        <v>0.10655737704918032</v>
      </c>
      <c r="CX2" s="17">
        <v>7.1428571428571425E-2</v>
      </c>
      <c r="CY2" s="17">
        <v>4.8951048951048952E-2</v>
      </c>
      <c r="CZ2" s="17">
        <v>4.4207317073170729E-2</v>
      </c>
      <c r="DA2" s="17">
        <v>5.0613496932515337E-2</v>
      </c>
      <c r="DB2" s="17">
        <v>4.8603138155376958E-2</v>
      </c>
      <c r="DC2" s="17">
        <v>2.2006713912719134E-2</v>
      </c>
      <c r="DD2" s="17">
        <v>2.391629297458894E-2</v>
      </c>
      <c r="DE2" s="17">
        <v>4.1825095057034217E-2</v>
      </c>
      <c r="DF2" s="17">
        <v>4.5801526717557252E-2</v>
      </c>
      <c r="DG2" s="17">
        <v>5.5099648300117231E-2</v>
      </c>
      <c r="DH2" s="17">
        <v>2.0007846214201649E-2</v>
      </c>
      <c r="DI2" s="17">
        <v>2.1209740769835034E-2</v>
      </c>
      <c r="DJ2" s="17">
        <v>2.3622047244094488E-2</v>
      </c>
      <c r="DK2" s="17">
        <v>2.20125786163522E-2</v>
      </c>
      <c r="DL2" s="17">
        <v>2.9702970297029702E-2</v>
      </c>
      <c r="DM2" s="17">
        <v>4.0416166466586634E-2</v>
      </c>
      <c r="DN2" s="17">
        <v>1.8409714061887975E-2</v>
      </c>
      <c r="DO2" s="17">
        <v>6.9713400464756006E-3</v>
      </c>
      <c r="DP2" s="17">
        <v>-2.0715630885122412E-2</v>
      </c>
      <c r="DQ2" s="17">
        <v>-2.8400597907324365E-2</v>
      </c>
      <c r="DR2" s="17">
        <v>-2.1084337349397589E-2</v>
      </c>
      <c r="DS2" s="17">
        <v>-2.8763541277549497E-2</v>
      </c>
      <c r="DT2" s="17">
        <v>1.2658227848101266E-2</v>
      </c>
      <c r="DU2" s="17">
        <v>-1.6909162406606372E-2</v>
      </c>
      <c r="DV2" s="17">
        <v>-2.0759890325107718E-2</v>
      </c>
      <c r="DW2" s="17">
        <v>-1.1857707509881422E-2</v>
      </c>
      <c r="DX2" s="17">
        <v>1.1326860841423949E-2</v>
      </c>
      <c r="DY2" s="17">
        <v>1.4198782961460446E-2</v>
      </c>
      <c r="DZ2" s="17">
        <v>-1.1466982997232108E-2</v>
      </c>
      <c r="EA2" s="17">
        <v>-9.05587668593449E-2</v>
      </c>
      <c r="EB2" s="17">
        <v>-5.1828043390920051E-2</v>
      </c>
      <c r="EC2" s="17">
        <v>-3.0004110152075627E-2</v>
      </c>
      <c r="ED2" s="17">
        <v>1.2441012441012441E-2</v>
      </c>
      <c r="EE2" s="17">
        <v>-3.1171019376579612E-2</v>
      </c>
      <c r="EF2" s="17">
        <v>-2.5021570319240724E-2</v>
      </c>
      <c r="EG2" s="17">
        <v>-2.5862068965517241E-2</v>
      </c>
      <c r="EH2" s="17">
        <v>0</v>
      </c>
      <c r="EI2" s="17">
        <v>3.1069684864624943E-3</v>
      </c>
      <c r="EJ2" s="17">
        <v>1.7101710171017102E-2</v>
      </c>
      <c r="EK2" s="17">
        <v>-2.6478375992939102E-3</v>
      </c>
      <c r="EL2" s="17">
        <v>-1.2016021361815754E-2</v>
      </c>
      <c r="EM2" s="17">
        <v>-2.4604569420035149E-2</v>
      </c>
    </row>
    <row r="3" spans="1:143" s="17" customFormat="1" x14ac:dyDescent="0.2">
      <c r="A3" s="17" t="str">
        <f>Input!M3</f>
        <v>J</v>
      </c>
      <c r="B3" s="17">
        <v>2.9354207436399216E-3</v>
      </c>
      <c r="C3" s="17">
        <v>5.2631578947368418E-2</v>
      </c>
      <c r="D3" s="17">
        <v>8.3669354838709672E-2</v>
      </c>
      <c r="E3" s="17">
        <v>8.9159067882472132E-2</v>
      </c>
      <c r="F3" s="17">
        <v>7.365792759051186E-2</v>
      </c>
      <c r="G3" s="17">
        <v>0.10115236875800256</v>
      </c>
      <c r="H3" s="17">
        <v>0.146205</v>
      </c>
      <c r="I3" s="17">
        <v>0.14795918367346939</v>
      </c>
      <c r="J3" s="17">
        <v>0.13236034222445897</v>
      </c>
      <c r="K3" s="17">
        <v>0.13751263902932254</v>
      </c>
      <c r="L3" s="17">
        <v>0.11912459587167372</v>
      </c>
      <c r="M3" s="17">
        <v>0.11166007905138339</v>
      </c>
      <c r="N3" s="17">
        <v>9.8901098901098897E-2</v>
      </c>
      <c r="O3" s="17">
        <v>0.12980769230769232</v>
      </c>
      <c r="P3" s="17">
        <v>0.14105365379946588</v>
      </c>
      <c r="Q3" s="17">
        <v>0.13526570048309178</v>
      </c>
      <c r="R3" s="17">
        <v>0.1344436398744871</v>
      </c>
      <c r="S3" s="17">
        <v>5.3811659192825115E-2</v>
      </c>
      <c r="T3" s="17">
        <v>2.4411508282476024E-2</v>
      </c>
      <c r="U3" s="17">
        <v>1.0526315789473684E-2</v>
      </c>
      <c r="V3" s="17">
        <v>1.7811704834605598E-2</v>
      </c>
      <c r="W3" s="17">
        <v>1.4461472048348802E-2</v>
      </c>
      <c r="X3" s="17">
        <v>1.8638925010836586E-2</v>
      </c>
      <c r="Y3" s="17">
        <v>-1.1602922217447357E-2</v>
      </c>
      <c r="Z3" s="17">
        <v>-8.8343029519500106E-3</v>
      </c>
      <c r="AA3" s="17">
        <v>-9.4745908699397068E-3</v>
      </c>
      <c r="AB3" s="17">
        <v>-1.2027491408934709E-2</v>
      </c>
      <c r="AC3" s="17">
        <v>-1.7094017094017096E-2</v>
      </c>
      <c r="AD3" s="17">
        <v>-1.6253207869974338E-2</v>
      </c>
      <c r="AE3" s="17">
        <v>1.2145748987854251E-2</v>
      </c>
      <c r="AF3" s="17">
        <v>3.4007352941176468E-2</v>
      </c>
      <c r="AG3" s="17">
        <v>-1.8936801277663701E-2</v>
      </c>
      <c r="AH3" s="17">
        <v>-8.9882461396635169E-3</v>
      </c>
      <c r="AI3" s="17">
        <v>-6.0101710587147483E-3</v>
      </c>
      <c r="AJ3" s="17">
        <v>-1.3474494706448507E-2</v>
      </c>
      <c r="AK3" s="17">
        <v>4.6557216368537119E-3</v>
      </c>
      <c r="AL3" s="17">
        <v>-2.9126213592233011E-2</v>
      </c>
      <c r="AM3" s="17">
        <v>-6.6728884741017264E-2</v>
      </c>
      <c r="AN3" s="17">
        <v>-4.8977650974797907E-2</v>
      </c>
      <c r="AO3" s="17">
        <v>-5.9787849566055928E-2</v>
      </c>
      <c r="AP3" s="17">
        <v>-4.2239685658153239E-2</v>
      </c>
      <c r="AQ3" s="17">
        <v>-4.9049049049049047E-2</v>
      </c>
      <c r="AR3" s="17">
        <v>-3.8461538461538464E-2</v>
      </c>
      <c r="AS3" s="17">
        <v>-0.10758552305404065</v>
      </c>
      <c r="AT3" s="17">
        <v>-9.0679464511240218E-2</v>
      </c>
      <c r="AU3" s="17">
        <v>-8.2802547770700632E-2</v>
      </c>
      <c r="AV3" s="17">
        <v>-6.4899999999999999E-2</v>
      </c>
      <c r="AW3" s="17">
        <v>-7.4563722999999998E-2</v>
      </c>
      <c r="AX3" s="17">
        <v>-5.6899999999999999E-2</v>
      </c>
      <c r="AY3" s="17">
        <v>-3.39E-2</v>
      </c>
      <c r="AZ3" s="17">
        <v>-3.4500000000000003E-2</v>
      </c>
      <c r="BA3" s="17">
        <v>-3.7668408028594995E-2</v>
      </c>
      <c r="BB3" s="17">
        <v>-2.23E-2</v>
      </c>
      <c r="BC3" s="17">
        <v>-1.4499999999999999E-2</v>
      </c>
      <c r="BD3" s="17">
        <v>-4.0800000000000003E-2</v>
      </c>
      <c r="BE3" s="17">
        <v>-1.6899999999999998E-2</v>
      </c>
      <c r="BF3" s="17">
        <v>-9.9009900990099011E-3</v>
      </c>
      <c r="BG3" s="17">
        <v>1.1000000000000001E-3</v>
      </c>
      <c r="BH3" s="17">
        <v>3.6600000000000001E-2</v>
      </c>
      <c r="BI3" s="17">
        <v>3.8100000000000002E-2</v>
      </c>
      <c r="BJ3" s="17">
        <v>5.8799999999999998E-2</v>
      </c>
      <c r="BK3" s="17">
        <v>7.3700000000000002E-2</v>
      </c>
      <c r="BL3" s="17">
        <v>0.10304789550072568</v>
      </c>
      <c r="BM3" s="17">
        <v>9.5732410611303345E-2</v>
      </c>
      <c r="BN3" s="17">
        <v>9.3210586881472962E-2</v>
      </c>
      <c r="BO3" s="17">
        <v>0.12559999999999999</v>
      </c>
      <c r="BP3" s="17">
        <v>0.21589561091340451</v>
      </c>
      <c r="BQ3" s="17">
        <v>0.21122599704579026</v>
      </c>
      <c r="BR3" s="17">
        <v>0.1993</v>
      </c>
      <c r="BS3" s="17">
        <v>0.22950819672131148</v>
      </c>
      <c r="BT3" s="17">
        <v>0.21446315208390837</v>
      </c>
      <c r="BU3" s="17">
        <v>0.20021822149481724</v>
      </c>
      <c r="BV3" s="17">
        <v>0.221455125</v>
      </c>
      <c r="BW3" s="17">
        <v>0.24898180830844421</v>
      </c>
      <c r="BX3" s="17">
        <v>0.27884348067834308</v>
      </c>
      <c r="BY3" s="17">
        <v>0.25477359519912712</v>
      </c>
      <c r="BZ3" s="17">
        <v>0.24898180830844421</v>
      </c>
      <c r="CA3" s="17">
        <v>0.23197903014416776</v>
      </c>
      <c r="CB3" s="17">
        <v>0.23197903014416776</v>
      </c>
      <c r="CC3" s="17">
        <v>0.2057272042200452</v>
      </c>
      <c r="CD3" s="17">
        <v>0.18255728011825573</v>
      </c>
      <c r="CE3" s="17">
        <v>0.20060030015007504</v>
      </c>
      <c r="CF3" s="17">
        <v>0.16788321167883211</v>
      </c>
      <c r="CG3" s="17">
        <v>0.12412177985948478</v>
      </c>
      <c r="CH3" s="17">
        <v>0.10803324099722991</v>
      </c>
      <c r="CI3" s="17">
        <v>9.3892433910665457E-2</v>
      </c>
      <c r="CJ3" s="17">
        <v>0.10497237569060773</v>
      </c>
      <c r="CK3" s="17">
        <v>3.4259857789269557E-2</v>
      </c>
      <c r="CL3" s="17">
        <v>4.3478260869565216E-2</v>
      </c>
      <c r="CM3" s="17">
        <v>3.783783783783784E-2</v>
      </c>
      <c r="CN3" s="17">
        <v>6.7378252168112079E-2</v>
      </c>
      <c r="CO3" s="17">
        <v>6.7378252168112079E-2</v>
      </c>
      <c r="CP3" s="17">
        <v>4.3932144410613314E-2</v>
      </c>
      <c r="CQ3" s="17">
        <v>9.0909090909090912E-2</v>
      </c>
      <c r="CR3" s="17">
        <v>9.5390232770424466E-2</v>
      </c>
      <c r="CS3" s="17">
        <v>5.3837342497136315E-2</v>
      </c>
      <c r="CT3" s="17">
        <v>4.831358249772106E-2</v>
      </c>
      <c r="CU3" s="17">
        <v>4.0959493097985973E-2</v>
      </c>
      <c r="CV3" s="17">
        <v>4.712041884816754E-2</v>
      </c>
      <c r="CW3" s="17">
        <v>3.8154392191659274E-2</v>
      </c>
      <c r="CX3" s="17">
        <v>1.6507384882710686E-2</v>
      </c>
      <c r="CY3" s="17">
        <v>-1.9193857965451055E-3</v>
      </c>
      <c r="CZ3" s="17">
        <v>-1.8044481745698698E-2</v>
      </c>
      <c r="DA3" s="17">
        <v>1.3060513713539399E-3</v>
      </c>
      <c r="DB3" s="17">
        <v>5.6116722783389446E-3</v>
      </c>
      <c r="DC3" s="17">
        <v>-6.6919473566807942E-4</v>
      </c>
      <c r="DD3" s="17">
        <v>8.1008100810081012E-3</v>
      </c>
      <c r="DE3" s="17">
        <v>1.2540640966093822E-2</v>
      </c>
      <c r="DF3" s="17">
        <v>5.999077065066913E-3</v>
      </c>
      <c r="DG3" s="17">
        <v>2.6365348399246705E-2</v>
      </c>
      <c r="DH3" s="17">
        <v>-2.097902097902098E-2</v>
      </c>
      <c r="DI3" s="17">
        <v>-3.18118948824343E-2</v>
      </c>
      <c r="DJ3" s="17">
        <v>-2.097902097902098E-2</v>
      </c>
      <c r="DK3" s="17">
        <v>7.1942446043165471E-3</v>
      </c>
      <c r="DL3" s="17">
        <v>1.5719467956469165E-2</v>
      </c>
      <c r="DM3" s="17">
        <v>1.9607843137254902E-2</v>
      </c>
      <c r="DN3" s="17">
        <v>-4.7846889952153108E-3</v>
      </c>
      <c r="DO3" s="17">
        <v>-3.1917505524183647E-3</v>
      </c>
      <c r="DP3" s="17">
        <v>-1.8612521150592216E-2</v>
      </c>
      <c r="DQ3" s="17">
        <v>-2.2628791526239769E-2</v>
      </c>
      <c r="DR3" s="17">
        <v>-1.3125911521633447E-2</v>
      </c>
      <c r="DS3" s="17">
        <v>-2.1450952036635332E-2</v>
      </c>
      <c r="DT3" s="17">
        <v>-5.2388289676425503E-3</v>
      </c>
      <c r="DU3" s="17">
        <v>-8.7696672685068117E-4</v>
      </c>
      <c r="DV3" s="17">
        <v>-6.2596203181118758E-3</v>
      </c>
      <c r="DW3" s="17">
        <v>1.7067494181535838E-3</v>
      </c>
      <c r="DX3" s="17">
        <v>2.1518987341772128E-2</v>
      </c>
      <c r="DY3" s="17">
        <v>1.2970711297071107E-2</v>
      </c>
      <c r="DZ3" s="17">
        <v>-2.1638330757341811E-3</v>
      </c>
      <c r="EA3" s="17">
        <v>-3.9598868603754412E-3</v>
      </c>
      <c r="EB3" s="17">
        <v>1.6692913385826749E-2</v>
      </c>
      <c r="EC3" s="17">
        <v>2.4490875429780457E-2</v>
      </c>
      <c r="ED3" s="17">
        <v>4.9483414899401848E-2</v>
      </c>
      <c r="EE3" s="17">
        <v>3.67982809562181E-2</v>
      </c>
      <c r="EF3" s="17">
        <v>3.5963499731615674E-2</v>
      </c>
      <c r="EG3" s="17">
        <v>9.8044468256094051E-3</v>
      </c>
      <c r="EH3" s="17">
        <v>3.2201533406352657E-2</v>
      </c>
      <c r="EI3" s="17">
        <v>2.7354260089686073E-2</v>
      </c>
      <c r="EJ3" s="17">
        <v>4.4330484330484303E-2</v>
      </c>
      <c r="EK3" s="17">
        <v>2.7354260089686073E-2</v>
      </c>
      <c r="EL3" s="17">
        <v>3.4603443409539913E-2</v>
      </c>
      <c r="EM3" s="17">
        <v>3.5772817179994323E-2</v>
      </c>
    </row>
    <row r="4" spans="1:143" s="17" customFormat="1" x14ac:dyDescent="0.2">
      <c r="A4" s="17" t="str">
        <f>Input!M4</f>
        <v>RB</v>
      </c>
      <c r="B4" s="17">
        <v>1.9269776876267748E-2</v>
      </c>
      <c r="C4" s="17">
        <v>1.4419428282317227E-2</v>
      </c>
      <c r="D4" s="17">
        <v>1.9059720457433291E-2</v>
      </c>
      <c r="E4" s="17">
        <v>3.7313432835820892E-2</v>
      </c>
      <c r="F4" s="17">
        <v>3.5696073431922486E-2</v>
      </c>
      <c r="G4" s="17">
        <v>2.976190476190476E-2</v>
      </c>
      <c r="H4" s="17">
        <v>1.9040000000000001E-2</v>
      </c>
      <c r="I4" s="17">
        <v>2.0104438642297651E-2</v>
      </c>
      <c r="J4" s="17">
        <v>1.8828451882845189E-2</v>
      </c>
      <c r="K4" s="17">
        <v>2.3501452336942171E-2</v>
      </c>
      <c r="L4" s="17">
        <v>4.6389035318924618E-2</v>
      </c>
      <c r="M4" s="17">
        <v>5.3850156087408951E-2</v>
      </c>
      <c r="N4" s="17">
        <v>4.9210049210049213E-2</v>
      </c>
      <c r="O4" s="17">
        <v>5.2342318764721278E-2</v>
      </c>
      <c r="P4" s="17">
        <v>8.1827842720510094E-2</v>
      </c>
      <c r="Q4" s="17">
        <v>9.601688208915854E-2</v>
      </c>
      <c r="R4" s="17">
        <v>0.11216429699842022</v>
      </c>
      <c r="S4" s="17">
        <v>-5.3776011222819737E-3</v>
      </c>
      <c r="T4" s="17">
        <v>-1.2823501981813942E-2</v>
      </c>
      <c r="U4" s="17">
        <v>3.5377358490566039E-3</v>
      </c>
      <c r="V4" s="17">
        <v>3.9941902687000728E-2</v>
      </c>
      <c r="W4" s="17">
        <v>4.0048543689320391E-2</v>
      </c>
      <c r="X4" s="17">
        <v>6.1345158906134518E-2</v>
      </c>
      <c r="Y4" s="17">
        <v>6.4876425855513314E-2</v>
      </c>
      <c r="Z4" s="17">
        <v>6.6006600660066E-2</v>
      </c>
      <c r="AA4" s="17">
        <v>7.2332298878013845E-2</v>
      </c>
      <c r="AB4" s="17">
        <v>0.10484644913627639</v>
      </c>
      <c r="AC4" s="17">
        <v>0.11410837908808785</v>
      </c>
      <c r="AD4" s="17">
        <v>9.7372781065088676E-2</v>
      </c>
      <c r="AE4" s="17">
        <v>0.12783210112091581</v>
      </c>
      <c r="AF4" s="17">
        <v>0.11885341412258214</v>
      </c>
      <c r="AG4" s="17">
        <v>0.11077981651376147</v>
      </c>
      <c r="AH4" s="17">
        <v>0.10311193683232699</v>
      </c>
      <c r="AI4" s="17">
        <v>0.10152403282532239</v>
      </c>
      <c r="AJ4" s="17">
        <v>9.4957587181903863E-2</v>
      </c>
      <c r="AK4" s="17">
        <v>0.10644783118405628</v>
      </c>
      <c r="AL4" s="17">
        <v>0.10980392156862745</v>
      </c>
      <c r="AM4" s="17">
        <v>9.4003606853020741E-2</v>
      </c>
      <c r="AN4" s="17">
        <v>8.6075949367088608E-2</v>
      </c>
      <c r="AO4" s="17">
        <v>0.10044800754539024</v>
      </c>
      <c r="AP4" s="17">
        <v>6.2677532013969695E-2</v>
      </c>
      <c r="AQ4" s="17">
        <v>8.4762134750060378E-2</v>
      </c>
      <c r="AR4" s="17">
        <v>4.2974408498309996E-2</v>
      </c>
      <c r="AS4" s="17">
        <v>0.10418695228821812</v>
      </c>
      <c r="AT4" s="17">
        <v>0.109095490047871</v>
      </c>
      <c r="AU4" s="17">
        <v>0.10939086294416243</v>
      </c>
      <c r="AV4" s="17">
        <v>9.1899999999999996E-2</v>
      </c>
      <c r="AW4" s="17">
        <v>9.3741952000000003E-2</v>
      </c>
      <c r="AX4" s="17">
        <v>9.9099999999999994E-2</v>
      </c>
      <c r="AY4" s="17">
        <v>9.4600000000000004E-2</v>
      </c>
      <c r="AZ4" s="17">
        <v>0.10539999999999999</v>
      </c>
      <c r="BA4" s="17">
        <v>8.8695206357344264E-2</v>
      </c>
      <c r="BB4" s="17">
        <v>8.5299999999999987E-2</v>
      </c>
      <c r="BC4" s="17">
        <v>9.7200000000000009E-2</v>
      </c>
      <c r="BD4" s="17">
        <v>0.10920000000000001</v>
      </c>
      <c r="BE4" s="17">
        <v>0.10920000000000001</v>
      </c>
      <c r="BF4" s="17">
        <v>0.11342155009451796</v>
      </c>
      <c r="BG4" s="17">
        <v>9.35E-2</v>
      </c>
      <c r="BH4" s="17">
        <v>0.10679999999999999</v>
      </c>
      <c r="BI4" s="17">
        <v>0.10800000000000001</v>
      </c>
      <c r="BJ4" s="17">
        <v>0.11749999999999999</v>
      </c>
      <c r="BK4" s="17">
        <v>0.11560000000000001</v>
      </c>
      <c r="BL4" s="17">
        <v>0.11900918452546616</v>
      </c>
      <c r="BM4" s="17">
        <v>0.11652318800333238</v>
      </c>
      <c r="BN4" s="17">
        <v>9.7501357957631721E-2</v>
      </c>
      <c r="BO4" s="17">
        <v>9.9099999999999994E-2</v>
      </c>
      <c r="BP4" s="17">
        <v>8.911290322580645E-2</v>
      </c>
      <c r="BQ4" s="17">
        <v>9.2752839372633858E-2</v>
      </c>
      <c r="BR4" s="17">
        <v>6.7100000000000007E-2</v>
      </c>
      <c r="BS4" s="17">
        <v>0.11645322939866375</v>
      </c>
      <c r="BT4" s="17">
        <v>0.10337982832618016</v>
      </c>
      <c r="BU4" s="17">
        <v>8.590285110876443E-2</v>
      </c>
      <c r="BV4" s="17">
        <v>9.2329994999999998E-2</v>
      </c>
      <c r="BW4" s="17">
        <v>8.4185045723507268E-2</v>
      </c>
      <c r="BX4" s="17">
        <v>0.12207610520425299</v>
      </c>
      <c r="BY4" s="17">
        <v>0.11869782971619364</v>
      </c>
      <c r="BZ4" s="17">
        <v>0.13003355704697986</v>
      </c>
      <c r="CA4" s="17">
        <v>0.10005543237250554</v>
      </c>
      <c r="CB4" s="17">
        <v>0.10191082802547771</v>
      </c>
      <c r="CC4" s="17">
        <v>8.7695258975061655E-2</v>
      </c>
      <c r="CD4" s="17">
        <v>3.2861476238624874E-3</v>
      </c>
      <c r="CE4" s="17">
        <v>2.333931777378815E-2</v>
      </c>
      <c r="CF4" s="17">
        <v>1.9887812340642529E-2</v>
      </c>
      <c r="CG4" s="17">
        <v>1.6373544711419462E-2</v>
      </c>
      <c r="CH4" s="17">
        <v>2.0212765957446765E-2</v>
      </c>
      <c r="CI4" s="17">
        <v>1.9230769230769232E-2</v>
      </c>
      <c r="CJ4" s="17">
        <v>2.9382470119521914E-2</v>
      </c>
      <c r="CK4" s="17">
        <v>3.8653366583541147E-2</v>
      </c>
      <c r="CL4" s="17">
        <v>2.4639804639804551E-2</v>
      </c>
      <c r="CM4" s="17">
        <v>2.5140483752748508E-2</v>
      </c>
      <c r="CN4" s="17">
        <v>2.6124354878348532E-2</v>
      </c>
      <c r="CO4" s="17">
        <v>3.0175178879842137E-2</v>
      </c>
      <c r="CP4" s="17">
        <v>3.3210513387374067E-2</v>
      </c>
      <c r="CQ4" s="17">
        <v>3.5459433040078293E-2</v>
      </c>
      <c r="CR4" s="17">
        <v>2.2011521843494915E-2</v>
      </c>
      <c r="CS4" s="17">
        <v>2.3540669856459244E-2</v>
      </c>
      <c r="CT4" s="17">
        <v>2.8214371545301521E-2</v>
      </c>
      <c r="CU4" s="17">
        <v>2.3357843137254947E-2</v>
      </c>
      <c r="CV4" s="17">
        <v>4.291856348002019E-2</v>
      </c>
      <c r="CW4" s="17">
        <v>5.2443991853360489E-2</v>
      </c>
      <c r="CX4" s="17">
        <v>4.861181221605259E-2</v>
      </c>
      <c r="CY4" s="17">
        <v>5.5270510541021174E-2</v>
      </c>
      <c r="CZ4" s="17">
        <v>4.7015110230369132E-2</v>
      </c>
      <c r="DA4" s="17">
        <v>4.4430443548387141E-2</v>
      </c>
      <c r="DB4" s="17">
        <v>7.0773195876288747E-2</v>
      </c>
      <c r="DC4" s="17">
        <v>5.4529616724738765E-2</v>
      </c>
      <c r="DD4" s="17">
        <v>3.5499753815854213E-2</v>
      </c>
      <c r="DE4" s="17">
        <v>4.5375796178344044E-2</v>
      </c>
      <c r="DF4" s="17">
        <v>3.9022537351228251E-2</v>
      </c>
      <c r="DG4" s="17">
        <v>5.1652892561983473E-2</v>
      </c>
      <c r="DH4" s="17">
        <v>5.1268255188316771E-2</v>
      </c>
      <c r="DI4" s="17">
        <v>5.6034482758620691E-2</v>
      </c>
      <c r="DJ4" s="17">
        <v>6.9862315145334017E-2</v>
      </c>
      <c r="DK4" s="17">
        <v>3.0685473892600842E-2</v>
      </c>
      <c r="DL4" s="17">
        <v>2.8996282527881039E-2</v>
      </c>
      <c r="DM4" s="17">
        <v>3.8203919622922348E-2</v>
      </c>
      <c r="DN4" s="17">
        <v>1.9609279609279655E-2</v>
      </c>
      <c r="DO4" s="17">
        <v>3.2791117996385233E-2</v>
      </c>
      <c r="DP4" s="17">
        <v>5.139072847682119E-2</v>
      </c>
      <c r="DQ4" s="17">
        <v>6.4645922746781118E-2</v>
      </c>
      <c r="DR4" s="17">
        <v>6.8946943172636679E-2</v>
      </c>
      <c r="DS4" s="17">
        <v>5.7733619763694954E-2</v>
      </c>
      <c r="DT4" s="17">
        <v>9.0857787810383742E-2</v>
      </c>
      <c r="DU4" s="17">
        <v>9.6737588652482276E-2</v>
      </c>
      <c r="DV4" s="17">
        <v>7.1507760532150771E-2</v>
      </c>
      <c r="DW4" s="17">
        <v>8.2913165266106439E-2</v>
      </c>
      <c r="DX4" s="17">
        <v>9.399715504978666E-2</v>
      </c>
      <c r="DY4" s="17">
        <v>9.2544987146529561E-2</v>
      </c>
      <c r="DZ4" s="17">
        <v>6.2852404643449447E-2</v>
      </c>
      <c r="EA4" s="17">
        <v>5.2380952380952403E-2</v>
      </c>
      <c r="EB4" s="17">
        <v>6.0270942770251593E-2</v>
      </c>
      <c r="EC4" s="17">
        <v>5.1837630279758642E-2</v>
      </c>
      <c r="ED4" s="17">
        <v>7.7818592822831337E-2</v>
      </c>
      <c r="EE4" s="17">
        <v>6.0943134535367496E-2</v>
      </c>
      <c r="EF4" s="17">
        <v>6.0033351862145638E-2</v>
      </c>
      <c r="EG4" s="17">
        <v>6.7081447963800847E-2</v>
      </c>
      <c r="EH4" s="17">
        <v>7.8474429355677527E-2</v>
      </c>
      <c r="EI4" s="17">
        <v>8.6778563015312074E-2</v>
      </c>
      <c r="EJ4" s="17">
        <v>0.11601550849985089</v>
      </c>
      <c r="EK4" s="17">
        <v>8.8423502036067483E-2</v>
      </c>
      <c r="EL4" s="17">
        <v>0.10546528803545052</v>
      </c>
      <c r="EM4" s="17">
        <v>8.9433293978748524E-2</v>
      </c>
    </row>
    <row r="5" spans="1:143" s="17" customFormat="1" x14ac:dyDescent="0.2">
      <c r="A5" s="17" t="str">
        <f>Input!M5</f>
        <v>I</v>
      </c>
      <c r="B5" s="17">
        <v>4.1578440808469723E-2</v>
      </c>
      <c r="C5" s="17">
        <v>1.1898016997167053E-2</v>
      </c>
      <c r="D5" s="17">
        <v>3.0459770114942487E-2</v>
      </c>
      <c r="E5" s="17">
        <v>5.6207892204042438E-2</v>
      </c>
      <c r="F5" s="17">
        <v>7.9777365491650355E-3</v>
      </c>
      <c r="G5" s="17">
        <v>9.3632958801498131E-3</v>
      </c>
      <c r="H5" s="17">
        <v>-2.6199999999999999E-3</v>
      </c>
      <c r="I5" s="17">
        <v>9.9905749293118847E-3</v>
      </c>
      <c r="J5" s="17">
        <v>4.837209302325624E-3</v>
      </c>
      <c r="K5" s="17">
        <v>1.6589002795899307E-2</v>
      </c>
      <c r="L5" s="17">
        <v>1.4678899082568808E-2</v>
      </c>
      <c r="M5" s="17">
        <v>-5.3956834532374104E-3</v>
      </c>
      <c r="N5" s="17">
        <v>-1.3380909901873328E-2</v>
      </c>
      <c r="O5" s="17">
        <v>-2.2580645161290363E-2</v>
      </c>
      <c r="P5" s="17">
        <v>-1.9372693726937271E-2</v>
      </c>
      <c r="Q5" s="17">
        <v>-2.230414746543783E-2</v>
      </c>
      <c r="R5" s="17">
        <v>-1.6387337057728036E-2</v>
      </c>
      <c r="S5" s="17">
        <v>6.4064064064064064E-2</v>
      </c>
      <c r="T5" s="17">
        <v>5.9371833839918856E-2</v>
      </c>
      <c r="U5" s="17">
        <v>4.4897959183673466E-2</v>
      </c>
      <c r="V5" s="17">
        <v>4.4897959183673466E-2</v>
      </c>
      <c r="W5" s="17">
        <v>4.7250509164969541E-2</v>
      </c>
      <c r="X5" s="17">
        <v>5.8248472505091693E-2</v>
      </c>
      <c r="Y5" s="17">
        <v>3.3725490196078518E-2</v>
      </c>
      <c r="Z5" s="17">
        <v>7.3359073359072482E-3</v>
      </c>
      <c r="AA5" s="17">
        <v>1.6829745596868929E-2</v>
      </c>
      <c r="AB5" s="17">
        <v>2.4533856722276742E-2</v>
      </c>
      <c r="AC5" s="17">
        <v>1.5503875968992248E-2</v>
      </c>
      <c r="AD5" s="17">
        <v>3.3235581622679286E-3</v>
      </c>
      <c r="AE5" s="17">
        <v>4.1641025641025661E-2</v>
      </c>
      <c r="AF5" s="17">
        <v>4.0573770491803302E-2</v>
      </c>
      <c r="AG5" s="17">
        <v>7.8234704112336555E-3</v>
      </c>
      <c r="AH5" s="17">
        <v>-3.009027081243731E-3</v>
      </c>
      <c r="AI5" s="17">
        <v>2.6052104208417063E-3</v>
      </c>
      <c r="AJ5" s="17">
        <v>-4.2253521126761019E-3</v>
      </c>
      <c r="AK5" s="17">
        <v>1.2204724409448909E-2</v>
      </c>
      <c r="AL5" s="17">
        <v>2.3495702005730573E-2</v>
      </c>
      <c r="AM5" s="17">
        <v>-1.4167433302667978E-2</v>
      </c>
      <c r="AN5" s="17">
        <v>-5.4967502321262809E-2</v>
      </c>
      <c r="AO5" s="17">
        <v>-2.4927536231884016E-2</v>
      </c>
      <c r="AP5" s="17">
        <v>-3.956478733926805E-3</v>
      </c>
      <c r="AQ5" s="17">
        <v>6.2626262626263082E-3</v>
      </c>
      <c r="AR5" s="17">
        <v>1.99389623601221E-2</v>
      </c>
      <c r="AS5" s="17">
        <v>-5.7884231536925691E-3</v>
      </c>
      <c r="AT5" s="17">
        <v>-1.3821138211382138E-2</v>
      </c>
      <c r="AU5" s="17">
        <v>2.4119530416222008E-2</v>
      </c>
      <c r="AV5" s="17">
        <v>1.0800000000000001E-2</v>
      </c>
      <c r="AW5" s="17">
        <v>1.4042552999999999E-2</v>
      </c>
      <c r="AX5" s="17">
        <v>2.98E-2</v>
      </c>
      <c r="AY5" s="17">
        <v>4.8800000000000003E-2</v>
      </c>
      <c r="AZ5" s="17">
        <v>8.3000000000000004E-2</v>
      </c>
      <c r="BA5" s="17">
        <v>3.4193548387096727E-2</v>
      </c>
      <c r="BB5" s="17">
        <v>2.75E-2</v>
      </c>
      <c r="BC5" s="17">
        <v>4.0899999999999999E-2</v>
      </c>
      <c r="BD5" s="17">
        <v>5.3499999999999999E-2</v>
      </c>
      <c r="BE5" s="17">
        <v>4.2599999999999999E-2</v>
      </c>
      <c r="BF5" s="17">
        <v>5.0429184549356222E-2</v>
      </c>
      <c r="BG5" s="17">
        <v>4.0899999999999999E-2</v>
      </c>
      <c r="BH5" s="17">
        <v>9.0500000000000011E-2</v>
      </c>
      <c r="BI5" s="17">
        <v>8.3199999999999996E-2</v>
      </c>
      <c r="BJ5" s="17">
        <v>9.9399999999999988E-2</v>
      </c>
      <c r="BK5" s="17">
        <v>0.12269999999999999</v>
      </c>
      <c r="BL5" s="17">
        <v>0.15093023255813948</v>
      </c>
      <c r="BM5" s="17">
        <v>0.1377011494252873</v>
      </c>
      <c r="BN5" s="17">
        <v>0.10198237885462558</v>
      </c>
      <c r="BO5" s="17">
        <v>9.4700000000000006E-2</v>
      </c>
      <c r="BP5" s="17">
        <v>7.1212121212121157E-2</v>
      </c>
      <c r="BQ5" s="17">
        <v>5.7173913043478283E-2</v>
      </c>
      <c r="BR5" s="17">
        <v>6.08E-2</v>
      </c>
      <c r="BS5" s="17">
        <v>0.12222222222222218</v>
      </c>
      <c r="BT5" s="17">
        <v>6.8898488120950271E-2</v>
      </c>
      <c r="BU5" s="17">
        <v>7.9389312977099183E-2</v>
      </c>
      <c r="BV5" s="17">
        <v>8.6498353E-2</v>
      </c>
      <c r="BW5" s="17">
        <v>0.10223713646532435</v>
      </c>
      <c r="BX5" s="17">
        <v>0.18443670150987218</v>
      </c>
      <c r="BY5" s="17">
        <v>0.15623582766439903</v>
      </c>
      <c r="BZ5" s="17">
        <v>0.16150341685649197</v>
      </c>
      <c r="CA5" s="17">
        <v>0.13437152391546156</v>
      </c>
      <c r="CB5" s="17">
        <v>0.13878453038674024</v>
      </c>
      <c r="CC5" s="17">
        <v>0.11583421891604676</v>
      </c>
      <c r="CD5" s="17">
        <v>0.13297872340425532</v>
      </c>
      <c r="CE5" s="17">
        <v>0.1427038626609442</v>
      </c>
      <c r="CF5" s="17">
        <v>0.1799787007454739</v>
      </c>
      <c r="CG5" s="17">
        <v>0.17325102880658447</v>
      </c>
      <c r="CH5" s="17">
        <v>0.1606393606393606</v>
      </c>
      <c r="CI5" s="17">
        <v>0.1554896142433235</v>
      </c>
      <c r="CJ5" s="17">
        <v>0.16470588235294123</v>
      </c>
      <c r="CK5" s="17">
        <v>0.15362035225048923</v>
      </c>
      <c r="CL5" s="17">
        <v>4.3999999999999921E-2</v>
      </c>
      <c r="CM5" s="17">
        <v>-6.0150375939850001E-3</v>
      </c>
      <c r="CN5" s="17">
        <v>1.1452991452991531E-2</v>
      </c>
      <c r="CO5" s="17">
        <v>5.0802139037433157E-2</v>
      </c>
      <c r="CP5" s="17">
        <v>1.6923076923076884E-2</v>
      </c>
      <c r="CQ5" s="17">
        <v>2.5900514579759903E-2</v>
      </c>
      <c r="CR5" s="17">
        <v>9.6345514950165363E-3</v>
      </c>
      <c r="CS5" s="17">
        <v>7.9601990049750493E-3</v>
      </c>
      <c r="CT5" s="17">
        <v>2.7333333333333296E-2</v>
      </c>
      <c r="CU5" s="17">
        <v>-1.2126111560226353E-2</v>
      </c>
      <c r="CV5" s="17">
        <v>3.0075187969924051E-3</v>
      </c>
      <c r="CW5" s="17">
        <v>2.3529411764705806E-2</v>
      </c>
      <c r="CX5" s="17">
        <v>3.4553191489361625E-2</v>
      </c>
      <c r="CY5" s="17">
        <v>3.3192923336141607E-2</v>
      </c>
      <c r="CZ5" s="17">
        <v>1.9607843137255643E-3</v>
      </c>
      <c r="DA5" s="17">
        <v>-1.6883116883116847E-2</v>
      </c>
      <c r="DB5" s="17">
        <v>5.3288925895087429E-2</v>
      </c>
      <c r="DC5" s="17">
        <v>1.7699115044247787E-2</v>
      </c>
      <c r="DD5" s="17">
        <v>2.0950846091860671E-3</v>
      </c>
      <c r="DE5" s="17">
        <v>4.0203562340966996E-2</v>
      </c>
      <c r="DF5" s="17">
        <v>1.100762066045724E-2</v>
      </c>
      <c r="DG5" s="17">
        <v>5.5936675461741345E-2</v>
      </c>
      <c r="DH5" s="17">
        <v>6.9964664310954106E-2</v>
      </c>
      <c r="DI5" s="17">
        <v>5.966754155730538E-2</v>
      </c>
      <c r="DJ5" s="17">
        <v>9.9825174825174862E-2</v>
      </c>
      <c r="DK5" s="17">
        <v>4.3869891576313519E-2</v>
      </c>
      <c r="DL5" s="17">
        <v>4.6386554621848777E-2</v>
      </c>
      <c r="DM5" s="17">
        <v>8.1771720613287899E-2</v>
      </c>
      <c r="DN5" s="17">
        <v>3.3113673805601353E-2</v>
      </c>
      <c r="DO5" s="17">
        <v>7.4503025064822856E-2</v>
      </c>
      <c r="DP5" s="17">
        <v>6.7937608318890896E-2</v>
      </c>
      <c r="DQ5" s="17">
        <v>8.6772486772486848E-2</v>
      </c>
      <c r="DR5" s="17">
        <v>7.5392670157068145E-2</v>
      </c>
      <c r="DS5" s="17">
        <v>9.6406660823838732E-3</v>
      </c>
      <c r="DT5" s="17">
        <v>9.4017094017094016E-2</v>
      </c>
      <c r="DU5" s="17">
        <v>9.2911877394636022E-2</v>
      </c>
      <c r="DV5" s="17">
        <v>9.8195631528964947E-2</v>
      </c>
      <c r="DW5" s="17">
        <v>7.5450236966824555E-2</v>
      </c>
      <c r="DX5" s="17">
        <v>0.11453831041257359</v>
      </c>
      <c r="DY5" s="17">
        <v>0.11100292112950341</v>
      </c>
      <c r="DZ5" s="17">
        <v>7.6503759398496324E-2</v>
      </c>
      <c r="EA5" s="17">
        <v>5.8161350844277676E-2</v>
      </c>
      <c r="EB5" s="17">
        <v>4.6911196911196822E-2</v>
      </c>
      <c r="EC5" s="17">
        <v>7.4517766497462015E-2</v>
      </c>
      <c r="ED5" s="17">
        <v>0.1162839248434239</v>
      </c>
      <c r="EE5" s="17">
        <v>9.1224489795918462E-2</v>
      </c>
      <c r="EF5" s="17">
        <v>8.5685279187817348E-2</v>
      </c>
      <c r="EG5" s="17">
        <v>7.2262026612077701E-2</v>
      </c>
      <c r="EH5" s="17">
        <v>8.2194616977225771E-2</v>
      </c>
      <c r="EI5" s="17">
        <v>8.2142857142857184E-2</v>
      </c>
      <c r="EJ5" s="17">
        <v>0.11735357917570503</v>
      </c>
      <c r="EK5" s="17">
        <v>9.0158730158730202E-2</v>
      </c>
      <c r="EL5" s="17">
        <v>0.10739957716701894</v>
      </c>
      <c r="EM5" s="17">
        <v>6.8672199170124529E-2</v>
      </c>
    </row>
    <row r="6" spans="1:143" s="17" customFormat="1" x14ac:dyDescent="0.2">
      <c r="A6" s="17" t="str">
        <f>Input!M6</f>
        <v>P</v>
      </c>
      <c r="B6" s="17">
        <v>-1.9083969465648856E-2</v>
      </c>
      <c r="C6" s="17">
        <v>-1.9908116385911178E-2</v>
      </c>
      <c r="D6" s="17">
        <v>-1.8334606569900689E-2</v>
      </c>
      <c r="E6" s="17">
        <v>-2.0061728395061727E-2</v>
      </c>
      <c r="F6" s="17">
        <v>-1.8511376783648285E-2</v>
      </c>
      <c r="G6" s="17">
        <v>-1.8583042973286876E-2</v>
      </c>
      <c r="H6" s="17">
        <v>-1.8440000000000002E-2</v>
      </c>
      <c r="I6" s="17">
        <v>-2.3782125047947834E-2</v>
      </c>
      <c r="J6" s="17">
        <v>-2.3362696284948296E-2</v>
      </c>
      <c r="K6" s="17">
        <v>-2.2028104823395366E-2</v>
      </c>
      <c r="L6" s="17">
        <v>-2.2770398481973434E-2</v>
      </c>
      <c r="M6" s="17">
        <v>-2.2514071294559099E-2</v>
      </c>
      <c r="N6" s="17">
        <v>-1.7957351290684626E-2</v>
      </c>
      <c r="O6" s="17">
        <v>-1.8691588785046728E-2</v>
      </c>
      <c r="P6" s="17">
        <v>-2.0637898686679174E-2</v>
      </c>
      <c r="Q6" s="17">
        <v>-2.4888558692421989E-2</v>
      </c>
      <c r="R6" s="17">
        <v>-2.4663677130044841E-2</v>
      </c>
      <c r="S6" s="17">
        <v>1.4040561622464899E-2</v>
      </c>
      <c r="T6" s="17">
        <v>1.9646365422396856E-2</v>
      </c>
      <c r="U6" s="17">
        <v>2.0408163265306121E-2</v>
      </c>
      <c r="V6" s="17">
        <v>1.4665081252477209E-2</v>
      </c>
      <c r="W6" s="17">
        <v>1.2282091917591125E-2</v>
      </c>
      <c r="X6" s="17">
        <v>1.002004008016032E-2</v>
      </c>
      <c r="Y6" s="17">
        <v>1.3649136892814131E-2</v>
      </c>
      <c r="Z6" s="17">
        <v>4.0096230954290296E-4</v>
      </c>
      <c r="AA6" s="17">
        <v>4.7281323877068557E-3</v>
      </c>
      <c r="AB6" s="17">
        <v>-3.1031807602792862E-3</v>
      </c>
      <c r="AC6" s="17">
        <v>3.885003885003885E-4</v>
      </c>
      <c r="AD6" s="17">
        <v>7.7279752704791343E-4</v>
      </c>
      <c r="AE6" s="17">
        <v>-3.8895371450797355E-4</v>
      </c>
      <c r="AF6" s="17">
        <v>1.6751071289442931E-2</v>
      </c>
      <c r="AG6" s="17">
        <v>0</v>
      </c>
      <c r="AH6" s="17">
        <v>7.6394194041252863E-4</v>
      </c>
      <c r="AI6" s="17">
        <v>0</v>
      </c>
      <c r="AJ6" s="17">
        <v>-3.8226299694189603E-4</v>
      </c>
      <c r="AK6" s="17">
        <v>4.2161747796090453E-3</v>
      </c>
      <c r="AL6" s="17">
        <v>3.7750094375235937E-4</v>
      </c>
      <c r="AM6" s="17">
        <v>1.1269722013523666E-3</v>
      </c>
      <c r="AN6" s="17">
        <v>-1.8621973929236499E-3</v>
      </c>
      <c r="AO6" s="17">
        <v>7.4962518740629683E-4</v>
      </c>
      <c r="AP6" s="17">
        <v>7.4962518740629683E-4</v>
      </c>
      <c r="AQ6" s="17">
        <v>5.6603773584905656E-3</v>
      </c>
      <c r="AR6" s="17">
        <v>4.1291291291291289E-3</v>
      </c>
      <c r="AS6" s="17">
        <v>1.0558069381598794E-2</v>
      </c>
      <c r="AT6" s="17">
        <v>1.4089729328883945E-2</v>
      </c>
      <c r="AU6" s="17">
        <v>1.2168141592920354E-2</v>
      </c>
      <c r="AV6" s="17">
        <v>1.29E-2</v>
      </c>
      <c r="AW6" s="17">
        <v>1.1049724E-2</v>
      </c>
      <c r="AX6" s="17">
        <v>1.0200000000000001E-2</v>
      </c>
      <c r="AY6" s="17">
        <v>1.5299999999999999E-2</v>
      </c>
      <c r="AZ6" s="17">
        <v>1.49E-2</v>
      </c>
      <c r="BA6" s="17">
        <v>8.6455331412103754E-3</v>
      </c>
      <c r="BB6" s="17">
        <v>1.3100000000000001E-2</v>
      </c>
      <c r="BC6" s="17">
        <v>1.1000000000000001E-2</v>
      </c>
      <c r="BD6" s="17">
        <v>7.4000000000000003E-3</v>
      </c>
      <c r="BE6" s="17">
        <v>1.1000000000000001E-2</v>
      </c>
      <c r="BF6" s="17">
        <v>9.5473833097595474E-3</v>
      </c>
      <c r="BG6" s="17">
        <v>1.32E-2</v>
      </c>
      <c r="BH6" s="17">
        <v>1.1699999999999999E-2</v>
      </c>
      <c r="BI6" s="17">
        <v>7.7000000000000002E-3</v>
      </c>
      <c r="BJ6" s="17">
        <v>9.1000000000000004E-3</v>
      </c>
      <c r="BK6" s="17">
        <v>8.3999999999999995E-3</v>
      </c>
      <c r="BL6" s="17">
        <v>5.1993067590987872E-3</v>
      </c>
      <c r="BM6" s="17">
        <v>9.447165850244927E-3</v>
      </c>
      <c r="BN6" s="17">
        <v>1.2302284710017574E-2</v>
      </c>
      <c r="BO6" s="17">
        <v>1.2999999999999999E-2</v>
      </c>
      <c r="BP6" s="17">
        <v>1.3014421385860007E-2</v>
      </c>
      <c r="BQ6" s="17">
        <v>1.4209591474245116E-2</v>
      </c>
      <c r="BR6" s="17">
        <v>1.2200000000000001E-2</v>
      </c>
      <c r="BS6" s="17">
        <v>2.3835319609967497E-2</v>
      </c>
      <c r="BT6" s="17">
        <v>5.3481694185211773E-2</v>
      </c>
      <c r="BU6" s="17">
        <v>1.7100106875667972E-2</v>
      </c>
      <c r="BV6" s="17">
        <v>2.1063906E-2</v>
      </c>
      <c r="BW6" s="17">
        <v>2.3180007243752264E-2</v>
      </c>
      <c r="BX6" s="17">
        <v>1.7284839755131436E-2</v>
      </c>
      <c r="BY6" s="17">
        <v>1.875225387666787E-2</v>
      </c>
      <c r="BZ6" s="17">
        <v>1.9784172661870502E-2</v>
      </c>
      <c r="CA6" s="17">
        <v>1.5228426395939087E-2</v>
      </c>
      <c r="CB6" s="17">
        <v>1.3391241404270721E-2</v>
      </c>
      <c r="CC6" s="17">
        <v>7.462686567164179E-3</v>
      </c>
      <c r="CD6" s="17">
        <v>1.2477718360071301E-2</v>
      </c>
      <c r="CE6" s="17">
        <v>1.2861736334405145E-2</v>
      </c>
      <c r="CF6" s="17">
        <v>1.3489527866524671E-2</v>
      </c>
      <c r="CG6" s="17">
        <v>7.3196235622168E-3</v>
      </c>
      <c r="CH6" s="17">
        <v>1.2569832402234637E-2</v>
      </c>
      <c r="CI6" s="17">
        <v>6.9324090121317154E-3</v>
      </c>
      <c r="CJ6" s="17">
        <v>1.0118632240055827E-2</v>
      </c>
      <c r="CK6" s="17">
        <v>1.0434782608695653E-2</v>
      </c>
      <c r="CL6" s="17">
        <v>8.6505190311418692E-3</v>
      </c>
      <c r="CM6" s="17">
        <v>-1.7271157167530224E-3</v>
      </c>
      <c r="CN6" s="17">
        <v>3.8814396612561752E-3</v>
      </c>
      <c r="CO6" s="17">
        <v>2.6881720430107527E-2</v>
      </c>
      <c r="CP6" s="17">
        <v>1.0791366906474821E-2</v>
      </c>
      <c r="CQ6" s="17">
        <v>9.0090090090090089E-3</v>
      </c>
      <c r="CR6" s="17">
        <v>5.3667262969588547E-3</v>
      </c>
      <c r="CS6" s="17">
        <v>2.1524990879241153E-2</v>
      </c>
      <c r="CT6" s="17">
        <v>1.2589928057553957E-2</v>
      </c>
      <c r="CU6" s="17">
        <v>1.8148820326678767E-2</v>
      </c>
      <c r="CV6" s="17">
        <v>2.0109689213893969E-2</v>
      </c>
      <c r="CW6" s="17">
        <v>1.8957345971563982E-2</v>
      </c>
      <c r="CX6" s="17">
        <v>2.0780167699598978E-2</v>
      </c>
      <c r="CY6" s="17">
        <v>1.9154318756776291E-2</v>
      </c>
      <c r="CZ6" s="17">
        <v>1.0733452593917709E-2</v>
      </c>
      <c r="DA6" s="17">
        <v>1.4388489208633094E-2</v>
      </c>
      <c r="DB6" s="17">
        <v>1.6918646508279338E-2</v>
      </c>
      <c r="DC6" s="17">
        <v>1.5456506110711718E-2</v>
      </c>
      <c r="DD6" s="17">
        <v>2.185792349726776E-2</v>
      </c>
      <c r="DE6" s="17">
        <v>2.8814185445142224E-2</v>
      </c>
      <c r="DF6" s="17">
        <v>3.039288361749444E-2</v>
      </c>
      <c r="DG6" s="17">
        <v>3.2305978462681025E-2</v>
      </c>
      <c r="DH6" s="17">
        <v>2.9304029304029304E-2</v>
      </c>
      <c r="DI6" s="17">
        <v>2.3306627822286964E-2</v>
      </c>
      <c r="DJ6" s="17">
        <v>3.2448377581120944E-2</v>
      </c>
      <c r="DK6" s="17">
        <v>2.8927132918344929E-2</v>
      </c>
      <c r="DL6" s="17">
        <v>2.8225806451612902E-2</v>
      </c>
      <c r="DM6" s="17">
        <v>3.0280649926144758E-2</v>
      </c>
      <c r="DN6" s="17">
        <v>3.0011115227862172E-2</v>
      </c>
      <c r="DO6" s="17">
        <v>2.8974739970282319E-2</v>
      </c>
      <c r="DP6" s="17">
        <v>2.9900332225913623E-2</v>
      </c>
      <c r="DQ6" s="17">
        <v>2.9626920263350402E-2</v>
      </c>
      <c r="DR6" s="17">
        <v>2.3013304566702624E-2</v>
      </c>
      <c r="DS6" s="17">
        <v>2.9785688339992736E-2</v>
      </c>
      <c r="DT6" s="17">
        <v>3.7527593818984545E-2</v>
      </c>
      <c r="DU6" s="17">
        <v>3.4419626510435737E-2</v>
      </c>
      <c r="DV6" s="17">
        <v>3.3910799852561742E-2</v>
      </c>
      <c r="DW6" s="17">
        <v>3.4482758620689655E-2</v>
      </c>
      <c r="DX6" s="17">
        <v>4.1666666666666664E-2</v>
      </c>
      <c r="DY6" s="17">
        <v>3.7352071005917163E-2</v>
      </c>
      <c r="DZ6" s="17">
        <v>3.3973412112259974E-2</v>
      </c>
      <c r="EA6" s="17">
        <v>3.8863976083707022E-2</v>
      </c>
      <c r="EB6" s="17">
        <v>4.3205317577548003E-2</v>
      </c>
      <c r="EC6" s="17">
        <v>2.9948867786705625E-2</v>
      </c>
      <c r="ED6" s="17">
        <v>4.3915147004093782E-2</v>
      </c>
      <c r="EE6" s="17">
        <v>4.1513592946362969E-2</v>
      </c>
      <c r="EF6" s="17">
        <v>3.6673928830791576E-2</v>
      </c>
      <c r="EG6" s="17">
        <v>4.0072859744990891E-2</v>
      </c>
      <c r="EH6" s="17">
        <v>3.825136612021858E-2</v>
      </c>
      <c r="EI6" s="17">
        <v>4.7460140897293286E-2</v>
      </c>
      <c r="EJ6" s="17">
        <v>4.1282712863988207E-2</v>
      </c>
      <c r="EK6" s="17">
        <v>4.463615903975994E-2</v>
      </c>
      <c r="EL6" s="17">
        <v>5.3530751708428248E-2</v>
      </c>
      <c r="EM6" s="17">
        <v>5.0074738415545592E-2</v>
      </c>
    </row>
    <row r="7" spans="1:143" s="17" customFormat="1" x14ac:dyDescent="0.2">
      <c r="A7" s="17" t="str">
        <f>Input!M7</f>
        <v>RM</v>
      </c>
      <c r="B7" s="17">
        <v>-2.0461471484545059E-2</v>
      </c>
      <c r="C7" s="17">
        <v>-2.5129982668977469E-2</v>
      </c>
      <c r="D7" s="17">
        <v>-3.9318479685452159E-3</v>
      </c>
      <c r="E7" s="17">
        <v>-1.3900955690703735E-2</v>
      </c>
      <c r="F7" s="17">
        <v>-2.1739130434782608E-2</v>
      </c>
      <c r="G7" s="17">
        <v>-1.9180470793374021E-2</v>
      </c>
      <c r="H7" s="17">
        <v>-1.099E-2</v>
      </c>
      <c r="I7" s="17">
        <v>-1.1857707509881422E-2</v>
      </c>
      <c r="J7" s="17">
        <v>-6.183745583038869E-3</v>
      </c>
      <c r="K7" s="17">
        <v>-1.3215859030837005E-2</v>
      </c>
      <c r="L7" s="17">
        <v>1.3351134846461949E-3</v>
      </c>
      <c r="M7" s="17">
        <v>-7.0609002647837602E-3</v>
      </c>
      <c r="N7" s="17">
        <v>-1.3100436681222707E-2</v>
      </c>
      <c r="O7" s="17">
        <v>-1.9097222222222224E-2</v>
      </c>
      <c r="P7" s="17">
        <v>-6.5645514223194746E-3</v>
      </c>
      <c r="Q7" s="17">
        <v>-1.2184508268059183E-2</v>
      </c>
      <c r="R7" s="17">
        <v>-9.1663029244871234E-3</v>
      </c>
      <c r="S7" s="17">
        <v>-3.9190897597977246E-2</v>
      </c>
      <c r="T7" s="17">
        <v>-2.4286322965487855E-2</v>
      </c>
      <c r="U7" s="17">
        <v>-3.0892932712653406E-2</v>
      </c>
      <c r="V7" s="17">
        <v>-3.3207229928541401E-2</v>
      </c>
      <c r="W7" s="17">
        <v>-4.1666666666666664E-2</v>
      </c>
      <c r="X7" s="17">
        <v>-2.9661016949152543E-2</v>
      </c>
      <c r="Y7" s="17">
        <v>-3.7815126050420166E-2</v>
      </c>
      <c r="Z7" s="17">
        <v>-2.4050632911392405E-2</v>
      </c>
      <c r="AA7" s="17">
        <v>-2.2278268179907523E-2</v>
      </c>
      <c r="AB7" s="17">
        <v>-1.93929173693086E-2</v>
      </c>
      <c r="AC7" s="17">
        <v>-2.5876460767946578E-2</v>
      </c>
      <c r="AD7" s="17">
        <v>-2.4390243902439025E-2</v>
      </c>
      <c r="AE7" s="17">
        <v>-1.7365523083439222E-2</v>
      </c>
      <c r="AF7" s="17">
        <v>-1.4799154334038054E-2</v>
      </c>
      <c r="AG7" s="17">
        <v>-3.8059389376829782E-2</v>
      </c>
      <c r="AH7" s="17">
        <v>-3.8977912516240795E-3</v>
      </c>
      <c r="AI7" s="17">
        <v>-2.6019080659150044E-3</v>
      </c>
      <c r="AJ7" s="17">
        <v>-8.1931867184131084E-3</v>
      </c>
      <c r="AK7" s="17">
        <v>-1.3185878349638452E-2</v>
      </c>
      <c r="AL7" s="17">
        <v>-1.5280135823429542E-2</v>
      </c>
      <c r="AM7" s="17">
        <v>-5.5722246035147882E-3</v>
      </c>
      <c r="AN7" s="17">
        <v>-2.0530367835757058E-2</v>
      </c>
      <c r="AO7" s="17">
        <v>2.1786492374727671E-3</v>
      </c>
      <c r="AP7" s="17">
        <v>-5.6204063986165153E-3</v>
      </c>
      <c r="AQ7" s="17">
        <v>7.3497622135754431E-3</v>
      </c>
      <c r="AR7" s="17">
        <v>5.6107034958998705E-3</v>
      </c>
      <c r="AS7" s="17">
        <v>2.5817555938037868E-3</v>
      </c>
      <c r="AT7" s="17">
        <v>-4.29000429000429E-4</v>
      </c>
      <c r="AU7" s="17">
        <v>2.5817555938037868E-3</v>
      </c>
      <c r="AV7" s="17">
        <v>1.9699999999999999E-2</v>
      </c>
      <c r="AW7" s="17">
        <v>-8.5763300000000001E-4</v>
      </c>
      <c r="AX7" s="17">
        <v>1.0500000000000001E-2</v>
      </c>
      <c r="AY7" s="17">
        <v>1.54E-2</v>
      </c>
      <c r="AZ7" s="17">
        <v>1.2E-2</v>
      </c>
      <c r="BA7" s="17">
        <v>2.564102564102564E-2</v>
      </c>
      <c r="BB7" s="17">
        <v>2.6600000000000002E-2</v>
      </c>
      <c r="BC7" s="17">
        <v>2.7200000000000002E-2</v>
      </c>
      <c r="BD7" s="17">
        <v>2.6600000000000002E-2</v>
      </c>
      <c r="BE7" s="17">
        <v>2.6600000000000002E-2</v>
      </c>
      <c r="BF7" s="17">
        <v>3.041307308216069E-2</v>
      </c>
      <c r="BG7" s="17">
        <v>3.6600000000000001E-2</v>
      </c>
      <c r="BH7" s="17">
        <v>3.6200000000000003E-2</v>
      </c>
      <c r="BI7" s="17">
        <v>3.6200000000000003E-2</v>
      </c>
      <c r="BJ7" s="17">
        <v>4.5400000000000003E-2</v>
      </c>
      <c r="BK7" s="17">
        <v>4.5499999999999999E-2</v>
      </c>
      <c r="BL7" s="17">
        <v>4.5045045045045043E-2</v>
      </c>
      <c r="BM7" s="17">
        <v>4.5269352648257127E-2</v>
      </c>
      <c r="BN7" s="17">
        <v>4.4822949350067233E-2</v>
      </c>
      <c r="BO7" s="17">
        <v>4.4499999999999998E-2</v>
      </c>
      <c r="BP7" s="17">
        <v>4.4424700133274098E-2</v>
      </c>
      <c r="BQ7" s="17">
        <v>4.4543429844097995E-2</v>
      </c>
      <c r="BR7" s="17">
        <v>4.1799999999999997E-2</v>
      </c>
      <c r="BS7" s="17">
        <v>5.2816901408450703E-2</v>
      </c>
      <c r="BT7" s="17">
        <v>5.2980132450331126E-2</v>
      </c>
      <c r="BU7" s="17">
        <v>5.2816901408450703E-2</v>
      </c>
      <c r="BV7" s="17">
        <v>5.8073030999999997E-2</v>
      </c>
      <c r="BW7" s="17">
        <v>5.7142857142857141E-2</v>
      </c>
      <c r="BX7" s="17">
        <v>6.7750677506775062E-2</v>
      </c>
      <c r="BY7" s="17">
        <v>6.7904028972385691E-2</v>
      </c>
      <c r="BZ7" s="17">
        <v>7.9494128274616077E-2</v>
      </c>
      <c r="CA7" s="17">
        <v>5.4127198917456022E-2</v>
      </c>
      <c r="CB7" s="17">
        <v>5.3739364084191672E-2</v>
      </c>
      <c r="CC7" s="17">
        <v>5.3739364084191672E-2</v>
      </c>
      <c r="CD7" s="17">
        <v>5.3667262969588549E-2</v>
      </c>
      <c r="CE7" s="17">
        <v>5.772646536412078E-2</v>
      </c>
      <c r="CF7" s="17">
        <v>5.7932263814616754E-2</v>
      </c>
      <c r="CG7" s="17">
        <v>6.015733456732994E-2</v>
      </c>
      <c r="CH7" s="17">
        <v>8.383510884668828E-2</v>
      </c>
      <c r="CI7" s="17">
        <v>8.3333333333333329E-2</v>
      </c>
      <c r="CJ7" s="17">
        <v>8.534322820037106E-2</v>
      </c>
      <c r="CK7" s="17">
        <v>7.6709796672828096E-2</v>
      </c>
      <c r="CL7" s="17">
        <v>3.803131991051454E-2</v>
      </c>
      <c r="CM7" s="17">
        <v>-9.8434004474272935E-3</v>
      </c>
      <c r="CN7" s="17">
        <v>9.8434004474272935E-3</v>
      </c>
      <c r="CO7" s="17">
        <v>7.3825503355704702E-2</v>
      </c>
      <c r="CP7" s="17">
        <v>7.3825503355704702E-2</v>
      </c>
      <c r="CQ7" s="17">
        <v>4.9868766404199474E-2</v>
      </c>
      <c r="CR7" s="17">
        <v>6.1242344706911632E-3</v>
      </c>
      <c r="CS7" s="17">
        <v>4.2611060743427021E-2</v>
      </c>
      <c r="CT7" s="17">
        <v>4.5929968167348796E-2</v>
      </c>
      <c r="CU7" s="17">
        <v>4.8791609667122662E-2</v>
      </c>
      <c r="CV7" s="17">
        <v>2.954341987466428E-2</v>
      </c>
      <c r="CW7" s="17">
        <v>1.0893246187363835E-2</v>
      </c>
      <c r="CX7" s="17">
        <v>1.2658227848101266E-2</v>
      </c>
      <c r="CY7" s="17">
        <v>9.1344062635928657E-3</v>
      </c>
      <c r="CZ7" s="17">
        <v>1.1774967291757523E-2</v>
      </c>
      <c r="DA7" s="17">
        <v>8.6956521739130436E-3</v>
      </c>
      <c r="DB7" s="17">
        <v>7.3816760746851931E-3</v>
      </c>
      <c r="DC7" s="17">
        <v>2.5929127052722557E-3</v>
      </c>
      <c r="DD7" s="17">
        <v>5.7042562527424307E-3</v>
      </c>
      <c r="DE7" s="17">
        <v>1.3262599469496022E-2</v>
      </c>
      <c r="DF7" s="17">
        <v>1.3345195729537367E-2</v>
      </c>
      <c r="DG7" s="17">
        <v>1.3495276653171391E-2</v>
      </c>
      <c r="DH7" s="17">
        <v>2.4498886414253896E-2</v>
      </c>
      <c r="DI7" s="17">
        <v>2.0134228187919462E-2</v>
      </c>
      <c r="DJ7" s="17">
        <v>2.9372496662216287E-2</v>
      </c>
      <c r="DK7" s="17">
        <v>0</v>
      </c>
      <c r="DL7" s="17">
        <v>0</v>
      </c>
      <c r="DM7" s="17">
        <v>0</v>
      </c>
      <c r="DN7" s="17">
        <v>2.1579628830384119E-2</v>
      </c>
      <c r="DO7" s="17">
        <v>2.1843599825251202E-2</v>
      </c>
      <c r="DP7" s="17">
        <v>2.1701388888888888E-2</v>
      </c>
      <c r="DQ7" s="17">
        <v>1.3043478260869565E-2</v>
      </c>
      <c r="DR7" s="17">
        <v>1.2886597938144329E-2</v>
      </c>
      <c r="DS7" s="17">
        <v>1.3032145960034752E-2</v>
      </c>
      <c r="DT7" s="17">
        <v>0</v>
      </c>
      <c r="DU7" s="17">
        <v>0</v>
      </c>
      <c r="DV7" s="17">
        <v>0</v>
      </c>
      <c r="DW7" s="17">
        <v>0</v>
      </c>
      <c r="DX7" s="17">
        <v>0</v>
      </c>
      <c r="DY7" s="17">
        <v>5.1107325383304937E-3</v>
      </c>
      <c r="DZ7" s="17">
        <v>6.3965884861407248E-3</v>
      </c>
      <c r="EA7" s="17">
        <v>3.4305317324185248E-3</v>
      </c>
      <c r="EB7" s="17">
        <v>5.5389859394972306E-3</v>
      </c>
      <c r="EC7" s="17">
        <v>5.9676044330775786E-3</v>
      </c>
      <c r="ED7" s="17">
        <v>-1</v>
      </c>
      <c r="EE7" s="17">
        <v>8.3577099874634353E-3</v>
      </c>
      <c r="EF7" s="17">
        <v>8.2747207281754238E-3</v>
      </c>
      <c r="EG7" s="17">
        <v>8.2781456953642391E-3</v>
      </c>
      <c r="EH7" s="17">
        <v>8.3368070029178828E-3</v>
      </c>
      <c r="EI7" s="17">
        <v>8.4961767204757861E-3</v>
      </c>
      <c r="EJ7" s="17">
        <v>4.790419161676647E-2</v>
      </c>
      <c r="EK7" s="17">
        <v>4.8352588789045782E-2</v>
      </c>
      <c r="EL7" s="17">
        <v>3.6402569593147749E-2</v>
      </c>
      <c r="EM7" s="17">
        <v>-4.3084877208099956E-4</v>
      </c>
    </row>
    <row r="8" spans="1:143" s="17" customFormat="1" x14ac:dyDescent="0.2">
      <c r="A8" s="17" t="str">
        <f>Input!M8</f>
        <v>ZN</v>
      </c>
      <c r="B8" s="17">
        <v>-1.5290519877675841E-3</v>
      </c>
      <c r="C8" s="17">
        <v>-1.9018638265500189E-3</v>
      </c>
      <c r="D8" s="17">
        <v>-9.5730423128470229E-4</v>
      </c>
      <c r="E8" s="17">
        <v>-5.7460256655813061E-4</v>
      </c>
      <c r="F8" s="17">
        <v>-1.7198547678196063E-3</v>
      </c>
      <c r="G8" s="17">
        <v>1.9249278152069297E-4</v>
      </c>
      <c r="H8" s="17">
        <v>-9.6000000000000002E-4</v>
      </c>
      <c r="I8" s="17">
        <v>5.7482276298141406E-4</v>
      </c>
      <c r="J8" s="17">
        <v>4.4069745161908411E-3</v>
      </c>
      <c r="K8" s="17">
        <v>-3.4220532319391636E-3</v>
      </c>
      <c r="L8" s="17">
        <v>-3.231324843185706E-3</v>
      </c>
      <c r="M8" s="17">
        <v>-2.2918258212375861E-3</v>
      </c>
      <c r="N8" s="17">
        <v>1.908761213972132E-4</v>
      </c>
      <c r="O8" s="17">
        <v>-9.4966761633428305E-4</v>
      </c>
      <c r="P8" s="17">
        <v>1.7324350336862368E-3</v>
      </c>
      <c r="Q8" s="17">
        <v>2.8873917228103944E-3</v>
      </c>
      <c r="R8" s="17">
        <v>1.744524132583834E-3</v>
      </c>
      <c r="S8" s="17">
        <v>2.8985507246376812E-3</v>
      </c>
      <c r="T8" s="17">
        <v>-3.8729666924864447E-3</v>
      </c>
      <c r="U8" s="17">
        <v>-5.8445353594389242E-4</v>
      </c>
      <c r="V8" s="17">
        <v>-5.8811997647520095E-4</v>
      </c>
      <c r="W8" s="17">
        <v>-5.8927519151443723E-4</v>
      </c>
      <c r="X8" s="17">
        <v>1.7706079087153256E-3</v>
      </c>
      <c r="Y8" s="17">
        <v>7.0339976553341153E-3</v>
      </c>
      <c r="Z8" s="17">
        <v>1.9600156801254411E-3</v>
      </c>
      <c r="AA8" s="17">
        <v>4.517776468277352E-3</v>
      </c>
      <c r="AB8" s="17">
        <v>2.7375831052014079E-3</v>
      </c>
      <c r="AC8" s="17">
        <v>7.8647267007471485E-3</v>
      </c>
      <c r="AD8" s="17">
        <v>4.692999608916699E-3</v>
      </c>
      <c r="AE8" s="17">
        <v>4.1265474552957355E-3</v>
      </c>
      <c r="AF8" s="17">
        <v>9.2903735916188973E-3</v>
      </c>
      <c r="AG8" s="17">
        <v>9.7202935925411616E-3</v>
      </c>
      <c r="AH8" s="17">
        <v>8.5879768324345924E-3</v>
      </c>
      <c r="AI8" s="17">
        <v>1.3039117352056168E-2</v>
      </c>
      <c r="AJ8" s="17">
        <v>6.0520476094411938E-4</v>
      </c>
      <c r="AK8" s="17">
        <v>5.0271465915946107E-3</v>
      </c>
      <c r="AL8" s="17">
        <v>9.2929292929292938E-3</v>
      </c>
      <c r="AM8" s="17">
        <v>7.6696165191740412E-3</v>
      </c>
      <c r="AN8" s="17">
        <v>2.3300970873786409E-3</v>
      </c>
      <c r="AO8" s="17">
        <v>8.3932853717026377E-3</v>
      </c>
      <c r="AP8" s="17">
        <v>3.6086607858861267E-3</v>
      </c>
      <c r="AQ8" s="17">
        <v>1.994415636218588E-3</v>
      </c>
      <c r="AR8" s="17">
        <v>5.5754679410593387E-3</v>
      </c>
      <c r="AS8" s="17">
        <v>8.658008658008658E-3</v>
      </c>
      <c r="AT8" s="17">
        <v>5.2518965181871232E-3</v>
      </c>
      <c r="AU8" s="17">
        <v>6.0159130603531924E-3</v>
      </c>
      <c r="AV8" s="17">
        <v>6.4999999999999997E-3</v>
      </c>
      <c r="AW8" s="17">
        <v>8.8950390000000004E-3</v>
      </c>
      <c r="AX8" s="17">
        <v>6.3E-3</v>
      </c>
      <c r="AY8" s="17">
        <v>1.5100000000000001E-2</v>
      </c>
      <c r="AZ8" s="17">
        <v>9.8999999999999991E-3</v>
      </c>
      <c r="BA8" s="17">
        <v>8.4974893781382781E-3</v>
      </c>
      <c r="BB8" s="17">
        <v>9.4999999999999998E-3</v>
      </c>
      <c r="BC8" s="17">
        <v>1.09E-2</v>
      </c>
      <c r="BD8" s="17">
        <v>1.41E-2</v>
      </c>
      <c r="BE8" s="17">
        <v>1.1200000000000002E-2</v>
      </c>
      <c r="BF8" s="17">
        <v>4.2242703533026116E-3</v>
      </c>
      <c r="BG8" s="17">
        <v>-3.0000000000000001E-3</v>
      </c>
      <c r="BH8" s="17">
        <v>-3.8E-3</v>
      </c>
      <c r="BI8" s="17">
        <v>-1.7000000000000001E-3</v>
      </c>
      <c r="BJ8" s="17">
        <v>2.5999999999999999E-3</v>
      </c>
      <c r="BK8" s="17">
        <v>3.5999999999999999E-3</v>
      </c>
      <c r="BL8" s="17">
        <v>-1.3386880856760374E-3</v>
      </c>
      <c r="BM8" s="17">
        <v>2.4918535556833431E-3</v>
      </c>
      <c r="BN8" s="17">
        <v>6.2606715993170177E-3</v>
      </c>
      <c r="BO8" s="17">
        <v>1.4200000000000001E-2</v>
      </c>
      <c r="BP8" s="17">
        <v>1.0518263530311723E-2</v>
      </c>
      <c r="BQ8" s="17">
        <v>1.1833171677982542E-2</v>
      </c>
      <c r="BR8" s="17">
        <v>2.7000000000000001E-3</v>
      </c>
      <c r="BS8" s="17">
        <v>1.1655011655011656E-2</v>
      </c>
      <c r="BT8" s="17">
        <v>1.1121951219512195E-2</v>
      </c>
      <c r="BU8" s="17">
        <v>8.6124401913875593E-3</v>
      </c>
      <c r="BV8" s="17">
        <v>9.5129380000000003E-3</v>
      </c>
      <c r="BW8" s="17">
        <v>9.2785457299753831E-3</v>
      </c>
      <c r="BX8" s="17">
        <v>1.3771996939556235E-2</v>
      </c>
      <c r="BY8" s="17">
        <v>1.9496498201779292E-2</v>
      </c>
      <c r="BZ8" s="17">
        <v>2.339622641509434E-2</v>
      </c>
      <c r="CA8" s="17">
        <v>3.7893141341417203E-4</v>
      </c>
      <c r="CB8" s="17">
        <v>4.9961568024596463E-3</v>
      </c>
      <c r="CC8" s="17">
        <v>8.0645161290322578E-3</v>
      </c>
      <c r="CD8" s="17">
        <v>1.560994411254577E-2</v>
      </c>
      <c r="CE8" s="17">
        <v>1.6496465043205028E-2</v>
      </c>
      <c r="CF8" s="17">
        <v>1.8463371054198929E-2</v>
      </c>
      <c r="CG8" s="17">
        <v>1.2062256809338522E-2</v>
      </c>
      <c r="CH8" s="17">
        <v>1.0522213561964146E-2</v>
      </c>
      <c r="CI8" s="17">
        <v>1.1467444120505346E-2</v>
      </c>
      <c r="CJ8" s="17">
        <v>1.2658227848101266E-2</v>
      </c>
      <c r="CK8" s="17">
        <v>2.2882376555600159E-2</v>
      </c>
      <c r="CL8" s="17">
        <v>9.9840255591054309E-3</v>
      </c>
      <c r="CM8" s="17">
        <v>2.0628880432605648E-2</v>
      </c>
      <c r="CN8" s="17">
        <v>8.7059754649782342E-3</v>
      </c>
      <c r="CO8" s="17">
        <v>1.2668409410818419E-2</v>
      </c>
      <c r="CP8" s="17">
        <v>1.8253968253968255E-2</v>
      </c>
      <c r="CQ8" s="17">
        <v>2.3464998044583495E-3</v>
      </c>
      <c r="CR8" s="17">
        <v>1.557632398753894E-3</v>
      </c>
      <c r="CS8" s="17">
        <v>4.1809198023565189E-3</v>
      </c>
      <c r="CT8" s="17">
        <v>5.6882821387940841E-3</v>
      </c>
      <c r="CU8" s="17">
        <v>3.8314176245210729E-4</v>
      </c>
      <c r="CV8" s="17">
        <v>4.830917874396135E-3</v>
      </c>
      <c r="CW8" s="17">
        <v>1.0452961672473868E-2</v>
      </c>
      <c r="CX8" s="17">
        <v>1.5052103434967195E-2</v>
      </c>
      <c r="CY8" s="17">
        <v>1.2150433944069431E-2</v>
      </c>
      <c r="CZ8" s="17">
        <v>9.9047619047619041E-3</v>
      </c>
      <c r="DA8" s="17">
        <v>2.0968356843309187E-2</v>
      </c>
      <c r="DB8" s="17">
        <v>4.4035994639096306E-3</v>
      </c>
      <c r="DC8" s="17">
        <v>9.6792560258113503E-3</v>
      </c>
      <c r="DD8" s="17">
        <v>8.7702929651054303E-3</v>
      </c>
      <c r="DE8" s="17">
        <v>1.0678871090770405E-2</v>
      </c>
      <c r="DF8" s="17">
        <v>1.2246460007654038E-2</v>
      </c>
      <c r="DG8" s="17">
        <v>1.4463230800570381E-2</v>
      </c>
      <c r="DH8" s="17">
        <v>-3.6378334680679061E-3</v>
      </c>
      <c r="DI8" s="17">
        <v>0</v>
      </c>
      <c r="DJ8" s="17">
        <v>4.3433298862461224E-3</v>
      </c>
      <c r="DK8" s="17">
        <v>3.2894736842105261E-3</v>
      </c>
      <c r="DL8" s="17">
        <v>6.1639613725087328E-4</v>
      </c>
      <c r="DM8" s="17">
        <v>7.5598488030239391E-3</v>
      </c>
      <c r="DN8" s="17">
        <v>2.1394950791613181E-3</v>
      </c>
      <c r="DO8" s="17">
        <v>2.3399276749627739E-3</v>
      </c>
      <c r="DP8" s="17">
        <v>4.2408821034775231E-3</v>
      </c>
      <c r="DQ8" s="17">
        <v>4.3327556325823221E-4</v>
      </c>
      <c r="DR8" s="17">
        <v>-2.1547080370609782E-4</v>
      </c>
      <c r="DS8" s="17">
        <v>1.0731916720326251E-3</v>
      </c>
      <c r="DT8" s="17">
        <v>1.0778184953653806E-3</v>
      </c>
      <c r="DU8" s="17">
        <v>-4.2863266180882982E-4</v>
      </c>
      <c r="DV8" s="17">
        <v>6.3870555673834362E-4</v>
      </c>
      <c r="DW8" s="17">
        <v>-3.22234156820623E-3</v>
      </c>
      <c r="DX8" s="17">
        <v>-6.920415224913495E-3</v>
      </c>
      <c r="DY8" s="17">
        <v>3.9318479685452159E-3</v>
      </c>
      <c r="DZ8" s="17">
        <v>-1.7490161783996502E-3</v>
      </c>
      <c r="EA8" s="17">
        <v>-2.1800741225201656E-4</v>
      </c>
      <c r="EB8" s="17">
        <v>4.7495682210708118E-3</v>
      </c>
      <c r="EC8" s="17">
        <v>-9.0595340811044003E-3</v>
      </c>
      <c r="ED8" s="17">
        <v>1.0914647456887142E-3</v>
      </c>
      <c r="EE8" s="17">
        <v>3.0004286326618087E-3</v>
      </c>
      <c r="EF8" s="17">
        <v>1.0672358591248667E-3</v>
      </c>
      <c r="EG8" s="17">
        <v>9.7804825038035215E-3</v>
      </c>
      <c r="EH8" s="17">
        <v>8.2215491129381223E-3</v>
      </c>
      <c r="EI8" s="17">
        <v>6.5359477124183009E-3</v>
      </c>
      <c r="EJ8" s="17">
        <v>1.2924424972617744E-2</v>
      </c>
      <c r="EK8" s="17">
        <v>7.7753779697624188E-3</v>
      </c>
      <c r="EL8" s="17">
        <v>6.9174232598357109E-3</v>
      </c>
      <c r="EM8" s="17">
        <v>-4.3346337234503683E-3</v>
      </c>
    </row>
    <row r="9" spans="1:143" s="17" customFormat="1" x14ac:dyDescent="0.2">
      <c r="A9" s="17" t="str">
        <f>Input!M9</f>
        <v>HC</v>
      </c>
      <c r="B9" s="17">
        <v>3.9616452182689881E-2</v>
      </c>
      <c r="C9" s="17">
        <v>4.1192822845590095E-2</v>
      </c>
      <c r="D9" s="17">
        <v>3.922567498726439E-2</v>
      </c>
      <c r="E9" s="17">
        <v>5.2360072220789269E-2</v>
      </c>
      <c r="F9" s="17">
        <v>5.019305019305019E-2</v>
      </c>
      <c r="G9" s="17">
        <v>5.9222541090529608E-2</v>
      </c>
      <c r="H9" s="17">
        <v>5.5641999999999997E-2</v>
      </c>
      <c r="I9" s="17">
        <v>6.3829787234042548E-2</v>
      </c>
      <c r="J9" s="17">
        <v>6.3278008298755184E-2</v>
      </c>
      <c r="K9" s="17">
        <v>7.0775659441107336E-2</v>
      </c>
      <c r="L9" s="17">
        <v>8.7581699346405223E-2</v>
      </c>
      <c r="M9" s="17">
        <v>7.9896907216494839E-2</v>
      </c>
      <c r="N9" s="17">
        <v>7.4083568315816459E-2</v>
      </c>
      <c r="O9" s="17">
        <v>8.555182217627294E-2</v>
      </c>
      <c r="P9" s="17">
        <v>0.10614818707304256</v>
      </c>
      <c r="Q9" s="17">
        <v>0.10013003901170352</v>
      </c>
      <c r="R9" s="17">
        <v>9.8130841121495324E-2</v>
      </c>
      <c r="S9" s="17">
        <v>1.9184652278177457E-2</v>
      </c>
      <c r="T9" s="17">
        <v>1.5082595163993297E-2</v>
      </c>
      <c r="U9" s="17">
        <v>1.8050541516245487E-2</v>
      </c>
      <c r="V9" s="17">
        <v>3.2555879494655007E-2</v>
      </c>
      <c r="W9" s="17">
        <v>2.8557599225556632E-2</v>
      </c>
      <c r="X9" s="17">
        <v>3.1553398058252427E-2</v>
      </c>
      <c r="Y9" s="17">
        <v>3.864734299516908E-2</v>
      </c>
      <c r="Z9" s="17">
        <v>4.0615236721941839E-2</v>
      </c>
      <c r="AA9" s="17">
        <v>3.8834951456310676E-2</v>
      </c>
      <c r="AB9" s="17">
        <v>4.0350024307243555E-2</v>
      </c>
      <c r="AC9" s="17">
        <v>5.1732552464616888E-2</v>
      </c>
      <c r="AD9" s="17">
        <v>4.995150339476237E-2</v>
      </c>
      <c r="AE9" s="17">
        <v>3.3729677262800288E-2</v>
      </c>
      <c r="AF9" s="17">
        <v>3.4985422740524783E-2</v>
      </c>
      <c r="AG9" s="17">
        <v>3.5488575595527469E-2</v>
      </c>
      <c r="AH9" s="17">
        <v>3.7144235407621802E-2</v>
      </c>
      <c r="AI9" s="17">
        <v>2.9626032054395339E-2</v>
      </c>
      <c r="AJ9" s="17">
        <v>2.05078125E-2</v>
      </c>
      <c r="AK9" s="17">
        <v>2.9159519725557463E-2</v>
      </c>
      <c r="AL9" s="17">
        <v>2.9876123390818556E-2</v>
      </c>
      <c r="AM9" s="17">
        <v>1.3672795851013672E-2</v>
      </c>
      <c r="AN9" s="17">
        <v>1.4768937589328252E-2</v>
      </c>
      <c r="AO9" s="17">
        <v>2.6015074155117918E-2</v>
      </c>
      <c r="AP9" s="17">
        <v>1.1990407673860911E-2</v>
      </c>
      <c r="AQ9" s="17">
        <v>1.6617790811339198E-2</v>
      </c>
      <c r="AR9" s="17">
        <v>6.5966283899340341E-3</v>
      </c>
      <c r="AS9" s="17">
        <v>1.9801980198019802E-2</v>
      </c>
      <c r="AT9" s="17">
        <v>2.7944111776447105E-2</v>
      </c>
      <c r="AU9" s="17">
        <v>2.5896414342629483E-2</v>
      </c>
      <c r="AV9" s="17">
        <v>2.2000000000000001E-3</v>
      </c>
      <c r="AW9" s="17">
        <v>1.6863830999999999E-2</v>
      </c>
      <c r="AX9" s="17">
        <v>2.4E-2</v>
      </c>
      <c r="AY9" s="17">
        <v>1.66E-2</v>
      </c>
      <c r="AZ9" s="17">
        <v>1.9599999999999999E-2</v>
      </c>
      <c r="BA9" s="17">
        <v>8.362026561731432E-3</v>
      </c>
      <c r="BB9" s="17">
        <v>7.0999999999999995E-3</v>
      </c>
      <c r="BC9" s="17">
        <v>9.300000000000001E-3</v>
      </c>
      <c r="BD9" s="17">
        <v>3.8900000000000004E-2</v>
      </c>
      <c r="BE9" s="17">
        <v>1.9599999999999999E-2</v>
      </c>
      <c r="BF9" s="17">
        <v>3.2290872107805749E-2</v>
      </c>
      <c r="BG9" s="17">
        <v>1.3300000000000001E-2</v>
      </c>
      <c r="BH9" s="17">
        <v>2.58E-2</v>
      </c>
      <c r="BI9" s="17">
        <v>3.6400000000000002E-2</v>
      </c>
      <c r="BJ9" s="17">
        <v>4.3299999999999998E-2</v>
      </c>
      <c r="BK9" s="17">
        <v>1.8799999999999997E-2</v>
      </c>
      <c r="BL9" s="17">
        <v>3.6458333333333336E-2</v>
      </c>
      <c r="BM9" s="17">
        <v>4.2531120331950209E-2</v>
      </c>
      <c r="BN9" s="17">
        <v>1.8054162487462388E-2</v>
      </c>
      <c r="BO9" s="17">
        <v>3.5700000000000003E-2</v>
      </c>
      <c r="BP9" s="17">
        <v>3.2528339083292265E-2</v>
      </c>
      <c r="BQ9" s="17">
        <v>4.0476781723367272E-2</v>
      </c>
      <c r="BR9" s="17">
        <v>3.2000000000000002E-3</v>
      </c>
      <c r="BS9" s="17">
        <v>3.826530612244898E-2</v>
      </c>
      <c r="BT9" s="17">
        <v>2.8978388998035363E-2</v>
      </c>
      <c r="BU9" s="17">
        <v>1.4773552918382175E-2</v>
      </c>
      <c r="BV9" s="17">
        <v>6.9694780000000003E-3</v>
      </c>
      <c r="BW9" s="17">
        <v>2.1717670286278381E-2</v>
      </c>
      <c r="BX9" s="17">
        <v>3.1827515400410678E-2</v>
      </c>
      <c r="BY9" s="17">
        <v>3.3858878263117086E-2</v>
      </c>
      <c r="BZ9" s="17">
        <v>4.3814432989690719E-2</v>
      </c>
      <c r="CA9" s="17">
        <v>1.7994858611825194E-2</v>
      </c>
      <c r="CB9" s="17">
        <v>2.0881670533642691E-2</v>
      </c>
      <c r="CC9" s="17">
        <v>3.3358994098024123E-3</v>
      </c>
      <c r="CD9" s="17">
        <v>-7.8660238518142595E-3</v>
      </c>
      <c r="CE9" s="17">
        <v>1.0488616014325915E-2</v>
      </c>
      <c r="CF9" s="17">
        <v>1.3013523858127074E-2</v>
      </c>
      <c r="CG9" s="17">
        <v>7.3583517292126564E-4</v>
      </c>
      <c r="CH9" s="17">
        <v>2.9498525073746312E-3</v>
      </c>
      <c r="CI9" s="17">
        <v>1.9408054342552159E-3</v>
      </c>
      <c r="CJ9" s="17">
        <v>1.0248901903367497E-2</v>
      </c>
      <c r="CK9" s="17">
        <v>-6.9561045814343966E-3</v>
      </c>
      <c r="CL9" s="17">
        <v>-7.1258907363420431E-3</v>
      </c>
      <c r="CM9" s="17">
        <v>1.1918951132300357E-3</v>
      </c>
      <c r="CN9" s="17">
        <v>4.7846889952153108E-3</v>
      </c>
      <c r="CO9" s="17">
        <v>-7.1258907363420431E-3</v>
      </c>
      <c r="CP9" s="17">
        <v>-3.2833020637898689E-3</v>
      </c>
      <c r="CQ9" s="17">
        <v>-4.4402897873334892E-3</v>
      </c>
      <c r="CR9" s="17">
        <v>-1.9967867798944227E-2</v>
      </c>
      <c r="CS9" s="17">
        <v>-1.2345679012345678E-2</v>
      </c>
      <c r="CT9" s="17">
        <v>-2.7700831024930748E-3</v>
      </c>
      <c r="CU9" s="17">
        <v>-3.4922133081642284E-2</v>
      </c>
      <c r="CV9" s="17">
        <v>-3.9254170755642784E-3</v>
      </c>
      <c r="CW9" s="17">
        <v>3.9273441335297005E-3</v>
      </c>
      <c r="CX9" s="17">
        <v>1.1673151750972763E-2</v>
      </c>
      <c r="CY9" s="17">
        <v>6.3976377952755905E-3</v>
      </c>
      <c r="CZ9" s="17">
        <v>-7.9460630869251144E-3</v>
      </c>
      <c r="DA9" s="17">
        <v>-3.4705007436787306E-3</v>
      </c>
      <c r="DB9" s="17">
        <v>3.1321619556913677E-2</v>
      </c>
      <c r="DC9" s="17">
        <v>1.2224938875305624E-2</v>
      </c>
      <c r="DD9" s="17">
        <v>9.6711798839458415E-4</v>
      </c>
      <c r="DE9" s="17">
        <v>2.2499999999999999E-2</v>
      </c>
      <c r="DF9" s="17">
        <v>1.6654238130748199E-2</v>
      </c>
      <c r="DG9" s="17">
        <v>2.3541453428863868E-2</v>
      </c>
      <c r="DH9" s="17">
        <v>4.8580925594477117E-3</v>
      </c>
      <c r="DI9" s="17">
        <v>1.7587939698492462E-2</v>
      </c>
      <c r="DJ9" s="17">
        <v>2.67299525355983E-2</v>
      </c>
      <c r="DK9" s="17">
        <v>2.4396194193705782E-4</v>
      </c>
      <c r="DL9" s="17">
        <v>1.568334578043316E-2</v>
      </c>
      <c r="DM9" s="17">
        <v>3.040965066599648E-2</v>
      </c>
      <c r="DN9" s="17">
        <v>1.1042944785276074E-2</v>
      </c>
      <c r="DO9" s="17">
        <v>4.1088854648176684E-3</v>
      </c>
      <c r="DP9" s="17">
        <v>1.4870858335507435E-2</v>
      </c>
      <c r="DQ9" s="17">
        <v>1.6324381253291206E-2</v>
      </c>
      <c r="DR9" s="17">
        <v>2.0354216230504891E-2</v>
      </c>
      <c r="DS9" s="17">
        <v>-3.1562335612835349E-3</v>
      </c>
      <c r="DT9" s="17">
        <v>3.7503421845058858E-2</v>
      </c>
      <c r="DU9" s="17">
        <v>4.7804335742078929E-2</v>
      </c>
      <c r="DV9" s="17">
        <v>2.8695181375203032E-2</v>
      </c>
      <c r="DW9" s="17">
        <v>3.2488986784140972E-2</v>
      </c>
      <c r="DX9" s="17">
        <v>4.4859292281972697E-2</v>
      </c>
      <c r="DY9" s="17">
        <v>3.2383061168004428E-2</v>
      </c>
      <c r="DZ9" s="17">
        <v>2.6400862068965518E-2</v>
      </c>
      <c r="EA9" s="17">
        <v>2.1721641190667738E-2</v>
      </c>
      <c r="EB9" s="17">
        <v>3.5044824775876122E-2</v>
      </c>
      <c r="EC9" s="17">
        <v>1.8318965517241378E-2</v>
      </c>
      <c r="ED9" s="17">
        <v>4.0268456375838924E-2</v>
      </c>
      <c r="EE9" s="17">
        <v>1.6809038302562689E-2</v>
      </c>
      <c r="EF9" s="17">
        <v>2.0746887966804978E-2</v>
      </c>
      <c r="EG9" s="17">
        <v>2.4266365688487584E-2</v>
      </c>
      <c r="EH9" s="17">
        <v>3.2202415181138588E-2</v>
      </c>
      <c r="EI9" s="17">
        <v>3.9416058394160583E-2</v>
      </c>
      <c r="EJ9" s="17">
        <v>6.7146282973621102E-2</v>
      </c>
      <c r="EK9" s="17">
        <v>4.2695323845483593E-2</v>
      </c>
      <c r="EL9" s="17">
        <v>4.8150322959483266E-2</v>
      </c>
      <c r="EM9" s="17">
        <v>2.4078909196402667E-2</v>
      </c>
    </row>
    <row r="10" spans="1:143" s="17" customFormat="1" x14ac:dyDescent="0.2">
      <c r="A10" s="17" t="str">
        <f>Input!M10</f>
        <v>A</v>
      </c>
      <c r="B10" s="17">
        <v>3.6048822026681804E-2</v>
      </c>
      <c r="C10" s="17">
        <v>3.194797851286401E-2</v>
      </c>
      <c r="D10" s="17">
        <v>3.3701500991220615E-2</v>
      </c>
      <c r="E10" s="17">
        <v>3.6637318943481968E-2</v>
      </c>
      <c r="F10" s="17">
        <v>3.223981900452489E-2</v>
      </c>
      <c r="G10" s="17">
        <v>3.0491247882552232E-2</v>
      </c>
      <c r="H10" s="17">
        <v>1.3325999999999999E-2</v>
      </c>
      <c r="I10" s="17">
        <v>1.2201885745978924E-2</v>
      </c>
      <c r="J10" s="17">
        <v>2.0689655172413793E-2</v>
      </c>
      <c r="K10" s="17">
        <v>7.8997548351947694E-3</v>
      </c>
      <c r="L10" s="17">
        <v>1.5367727771679473E-2</v>
      </c>
      <c r="M10" s="17">
        <v>1.092896174863388E-2</v>
      </c>
      <c r="N10" s="17">
        <v>4.3431053203040176E-3</v>
      </c>
      <c r="O10" s="17">
        <v>0</v>
      </c>
      <c r="P10" s="17">
        <v>5.9815116911364876E-3</v>
      </c>
      <c r="Q10" s="17">
        <v>8.1743869209809257E-3</v>
      </c>
      <c r="R10" s="17">
        <v>1.3143483023001095E-2</v>
      </c>
      <c r="S10" s="17">
        <v>0.20994113799869196</v>
      </c>
      <c r="T10" s="17">
        <v>0.21351262709084945</v>
      </c>
      <c r="U10" s="17">
        <v>0.21470781352593565</v>
      </c>
      <c r="V10" s="17">
        <v>0.17274167987321712</v>
      </c>
      <c r="W10" s="17">
        <v>0.12736136502132847</v>
      </c>
      <c r="X10" s="17">
        <v>0.12189205579138872</v>
      </c>
      <c r="Y10" s="17">
        <v>0.11044417767106843</v>
      </c>
      <c r="Z10" s="17">
        <v>0.12530413625304138</v>
      </c>
      <c r="AA10" s="17">
        <v>7.2774717309365036E-2</v>
      </c>
      <c r="AB10" s="17">
        <v>6.9673315987279563E-2</v>
      </c>
      <c r="AC10" s="17">
        <v>6.9673315987279563E-2</v>
      </c>
      <c r="AD10" s="17">
        <v>6.4135749209088294E-2</v>
      </c>
      <c r="AE10" s="17">
        <v>6.8437770719029747E-2</v>
      </c>
      <c r="AF10" s="17">
        <v>6.5361359055571555E-2</v>
      </c>
      <c r="AG10" s="17">
        <v>6.0171919770773637E-2</v>
      </c>
      <c r="AH10" s="17">
        <v>5.9261379902662469E-2</v>
      </c>
      <c r="AI10" s="17">
        <v>6.874638937030618E-2</v>
      </c>
      <c r="AJ10" s="17">
        <v>7.4956420685647882E-2</v>
      </c>
      <c r="AK10" s="17">
        <v>6.4748201438848921E-2</v>
      </c>
      <c r="AL10" s="17">
        <v>3.3808326348141939E-2</v>
      </c>
      <c r="AM10" s="17">
        <v>3.5834266517357223E-2</v>
      </c>
      <c r="AN10" s="17">
        <v>3.0353661932609299E-2</v>
      </c>
      <c r="AO10" s="17">
        <v>3.2366071428571432E-2</v>
      </c>
      <c r="AP10" s="17">
        <v>3.0353661932609299E-2</v>
      </c>
      <c r="AQ10" s="17">
        <v>1.5089163237311385E-2</v>
      </c>
      <c r="AR10" s="17">
        <v>9.8253275109170309E-3</v>
      </c>
      <c r="AS10" s="17">
        <v>1.1481683980317113E-2</v>
      </c>
      <c r="AT10" s="17">
        <v>5.9815116911364876E-3</v>
      </c>
      <c r="AU10" s="17">
        <v>3.2537960954446853E-3</v>
      </c>
      <c r="AV10" s="17">
        <v>8.6999999999999994E-3</v>
      </c>
      <c r="AW10" s="17">
        <v>1.7042331000000001E-2</v>
      </c>
      <c r="AX10" s="17">
        <v>2.3800000000000002E-2</v>
      </c>
      <c r="AY10" s="17">
        <v>2.29E-2</v>
      </c>
      <c r="AZ10" s="17">
        <v>2.3799999999999998E-2</v>
      </c>
      <c r="BA10" s="17">
        <v>1.8161805173362685E-2</v>
      </c>
      <c r="BB10" s="17">
        <v>7.6E-3</v>
      </c>
      <c r="BC10" s="17">
        <v>9.4999999999999998E-3</v>
      </c>
      <c r="BD10" s="17">
        <v>9.7999999999999997E-3</v>
      </c>
      <c r="BE10" s="17">
        <v>1.0700000000000001E-2</v>
      </c>
      <c r="BF10" s="17">
        <v>7.8997548351947694E-3</v>
      </c>
      <c r="BG10" s="17">
        <v>2.2099999999999998E-2</v>
      </c>
      <c r="BH10" s="17">
        <v>1.6500000000000001E-2</v>
      </c>
      <c r="BI10" s="17">
        <v>1.7899999999999999E-2</v>
      </c>
      <c r="BJ10" s="17">
        <v>1.7600000000000001E-2</v>
      </c>
      <c r="BK10" s="17">
        <v>1.9299999999999998E-2</v>
      </c>
      <c r="BL10" s="17">
        <v>2.5075778451364012E-2</v>
      </c>
      <c r="BM10" s="17">
        <v>2.9900332225913623E-2</v>
      </c>
      <c r="BN10" s="17">
        <v>1.7783857729138167E-2</v>
      </c>
      <c r="BO10" s="17">
        <v>1.78E-2</v>
      </c>
      <c r="BP10" s="17">
        <v>1.3623978201634877E-2</v>
      </c>
      <c r="BQ10" s="17">
        <v>1.0869565217391304E-2</v>
      </c>
      <c r="BR10" s="17">
        <v>5.4000000000000003E-3</v>
      </c>
      <c r="BS10" s="17">
        <v>7.2522159548751011E-3</v>
      </c>
      <c r="BT10" s="17">
        <v>8.0645161290322578E-3</v>
      </c>
      <c r="BU10" s="17">
        <v>-1.5974440894568689E-3</v>
      </c>
      <c r="BV10" s="17">
        <v>-3.8967877999999997E-2</v>
      </c>
      <c r="BW10" s="17">
        <v>-4.3501048218029352E-2</v>
      </c>
      <c r="BX10" s="17">
        <v>-4.2999475616151021E-2</v>
      </c>
      <c r="BY10" s="17">
        <v>-5.7821373257614869E-2</v>
      </c>
      <c r="BZ10" s="17">
        <v>-5.1701740711873216E-2</v>
      </c>
      <c r="CA10" s="17">
        <v>1.6154247003647731E-2</v>
      </c>
      <c r="CB10" s="17">
        <v>1.7745302713987474E-2</v>
      </c>
      <c r="CC10" s="17">
        <v>-6.2744077063264778E-2</v>
      </c>
      <c r="CD10" s="17">
        <v>1.854270044398015E-2</v>
      </c>
      <c r="CE10" s="17">
        <v>2.1209740769835034E-2</v>
      </c>
      <c r="CF10" s="17">
        <v>2.2280471821756225E-2</v>
      </c>
      <c r="CG10" s="17">
        <v>2.8752308098127143E-2</v>
      </c>
      <c r="CH10" s="17">
        <v>2.9295328582739508E-2</v>
      </c>
      <c r="CI10" s="17">
        <v>2.3353450537916556E-2</v>
      </c>
      <c r="CJ10" s="17">
        <v>2.1209740769835034E-2</v>
      </c>
      <c r="CK10" s="17">
        <v>2.2548505506030415E-2</v>
      </c>
      <c r="CL10" s="17">
        <v>4.3338683788121987E-2</v>
      </c>
      <c r="CM10" s="17">
        <v>4.3338683788121987E-2</v>
      </c>
      <c r="CN10" s="17">
        <v>4.3338683788121987E-2</v>
      </c>
      <c r="CO10" s="17">
        <v>4.3338683788121987E-2</v>
      </c>
      <c r="CP10" s="17">
        <v>4.3338683788121987E-2</v>
      </c>
      <c r="CQ10" s="17">
        <v>4.3338683788121987E-2</v>
      </c>
      <c r="CR10" s="17">
        <v>4.0554962646744928E-2</v>
      </c>
      <c r="CS10" s="17">
        <v>4.0554962646744928E-2</v>
      </c>
      <c r="CT10" s="17">
        <v>4.0554962646744928E-2</v>
      </c>
      <c r="CU10" s="17">
        <v>4.0554962646744928E-2</v>
      </c>
      <c r="CV10" s="17">
        <v>3.3112582781456956E-2</v>
      </c>
      <c r="CW10" s="17">
        <v>2.9838922630050172E-2</v>
      </c>
      <c r="CX10" s="17">
        <v>2.9295328582739508E-2</v>
      </c>
      <c r="CY10" s="17">
        <v>1.6419077404222049E-2</v>
      </c>
      <c r="CZ10" s="17">
        <v>2.4697845507094061E-2</v>
      </c>
      <c r="DA10" s="17">
        <v>2.3890784982935155E-2</v>
      </c>
      <c r="DB10" s="17">
        <v>1.907499346746799E-2</v>
      </c>
      <c r="DC10" s="17">
        <v>2.1744825779407912E-2</v>
      </c>
      <c r="DD10" s="17">
        <v>2.3084994753410283E-2</v>
      </c>
      <c r="DE10" s="17">
        <v>3.0110935023771792E-2</v>
      </c>
      <c r="DF10" s="17">
        <v>2.6045777426992895E-2</v>
      </c>
      <c r="DG10" s="17">
        <v>3.0110935023771792E-2</v>
      </c>
      <c r="DH10" s="17">
        <v>3.1200423056583819E-2</v>
      </c>
      <c r="DI10" s="17">
        <v>2.7126678957071371E-2</v>
      </c>
      <c r="DJ10" s="17">
        <v>1.6154247003647731E-2</v>
      </c>
      <c r="DK10" s="17">
        <v>7.2314049586776862E-3</v>
      </c>
      <c r="DL10" s="17">
        <v>7.7519379844961239E-3</v>
      </c>
      <c r="DM10" s="17">
        <v>9.8394614189539105E-3</v>
      </c>
      <c r="DN10" s="17">
        <v>5.661361857552831E-2</v>
      </c>
      <c r="DO10" s="17">
        <v>6.2533121356650762E-2</v>
      </c>
      <c r="DP10" s="17">
        <v>6.1689171299973526E-2</v>
      </c>
      <c r="DQ10" s="17">
        <v>6.0285563194077206E-2</v>
      </c>
      <c r="DR10" s="17">
        <v>5.3046218487394957E-2</v>
      </c>
      <c r="DS10" s="17">
        <v>5.8606124604012669E-2</v>
      </c>
      <c r="DT10" s="17">
        <v>5.4153522607781286E-2</v>
      </c>
      <c r="DU10" s="17">
        <v>5.526315789473684E-2</v>
      </c>
      <c r="DV10" s="17">
        <v>5.8885661473461845E-2</v>
      </c>
      <c r="DW10" s="17">
        <v>5.9165346011621767E-2</v>
      </c>
      <c r="DX10" s="17">
        <v>6.1970338983050849E-2</v>
      </c>
      <c r="DY10" s="17">
        <v>5.4153522607781286E-2</v>
      </c>
      <c r="DZ10" s="17">
        <v>5.0563269583442497E-2</v>
      </c>
      <c r="EA10" s="17">
        <v>5.0838574423480082E-2</v>
      </c>
      <c r="EB10" s="17">
        <v>4.8914465079780277E-2</v>
      </c>
      <c r="EC10" s="17">
        <v>4.4270833333333336E-2</v>
      </c>
      <c r="ED10" s="17">
        <v>5.1941238195173135E-2</v>
      </c>
      <c r="EE10" s="17">
        <v>3.111339676009257E-2</v>
      </c>
      <c r="EF10" s="17">
        <v>2.5051124744376277E-2</v>
      </c>
      <c r="EG10" s="17">
        <v>3.0848329048843187E-2</v>
      </c>
      <c r="EH10" s="17">
        <v>3.4304874903275731E-2</v>
      </c>
      <c r="EI10" s="17">
        <v>4.7818134308858111E-2</v>
      </c>
      <c r="EJ10" s="17">
        <v>3.6458333333333336E-2</v>
      </c>
      <c r="EK10" s="17">
        <v>2.557544757033248E-2</v>
      </c>
      <c r="EL10" s="17">
        <v>2.4265644955300127E-2</v>
      </c>
      <c r="EM10" s="17">
        <v>2.5313219125543341E-2</v>
      </c>
    </row>
    <row r="11" spans="1:143" s="17" customFormat="1" x14ac:dyDescent="0.2">
      <c r="A11" s="17" t="str">
        <f>Input!M11</f>
        <v>ZC</v>
      </c>
      <c r="B11" s="17">
        <v>0.11906893464637414</v>
      </c>
      <c r="C11" s="17">
        <v>0.1149356480095779</v>
      </c>
      <c r="D11" s="17">
        <v>0.13084395871281104</v>
      </c>
      <c r="E11" s="17">
        <v>0.13296736810003038</v>
      </c>
      <c r="F11" s="17">
        <v>0.13386308068459662</v>
      </c>
      <c r="G11" s="17">
        <v>0.14967462039045556</v>
      </c>
      <c r="H11" s="17">
        <v>0.14693100000000001</v>
      </c>
      <c r="I11" s="17">
        <v>0.16268093140339832</v>
      </c>
      <c r="J11" s="17">
        <v>0.15989927604658488</v>
      </c>
      <c r="K11" s="17">
        <v>0.17319325055714732</v>
      </c>
      <c r="L11" s="17">
        <v>0.16345241858994622</v>
      </c>
      <c r="M11" s="17">
        <v>0.1517828968128746</v>
      </c>
      <c r="N11" s="17">
        <v>0.13850502512562801</v>
      </c>
      <c r="O11" s="17">
        <v>0.14821882951653931</v>
      </c>
      <c r="P11" s="17">
        <v>0.14244741873804967</v>
      </c>
      <c r="Q11" s="17">
        <v>0.13708651399491081</v>
      </c>
      <c r="R11" s="17">
        <v>0.14382239382239378</v>
      </c>
      <c r="S11" s="17">
        <v>2.6049204052098408E-2</v>
      </c>
      <c r="T11" s="17">
        <v>2.6086956521739129E-2</v>
      </c>
      <c r="U11" s="17">
        <v>1.4326647564469915E-2</v>
      </c>
      <c r="V11" s="17">
        <v>1.1477761836441894E-2</v>
      </c>
      <c r="W11" s="17">
        <v>1.1187607573149676E-2</v>
      </c>
      <c r="X11" s="17">
        <v>8.0298250645254136E-3</v>
      </c>
      <c r="Y11" s="17">
        <v>1.4137334102711993E-2</v>
      </c>
      <c r="Z11" s="17">
        <v>1.7146178436500951E-2</v>
      </c>
      <c r="AA11" s="17">
        <v>1.5103107754864909E-2</v>
      </c>
      <c r="AB11" s="17">
        <v>1.3631090487238946E-2</v>
      </c>
      <c r="AC11" s="17">
        <v>9.5320623916811415E-3</v>
      </c>
      <c r="AD11" s="17">
        <v>1.149095087618435E-3</v>
      </c>
      <c r="AE11" s="17">
        <v>6.6628041714948188E-3</v>
      </c>
      <c r="AF11" s="17">
        <v>1.1939429237041251E-2</v>
      </c>
      <c r="AG11" s="17">
        <v>1.197429906542046E-2</v>
      </c>
      <c r="AH11" s="17">
        <v>7.5713453698310011E-3</v>
      </c>
      <c r="AI11" s="17">
        <v>1.2287887653598561E-2</v>
      </c>
      <c r="AJ11" s="17">
        <v>1.1695906432748537E-2</v>
      </c>
      <c r="AK11" s="17">
        <v>2.7662105889351613E-2</v>
      </c>
      <c r="AL11" s="17">
        <v>2.4614472123368956E-2</v>
      </c>
      <c r="AM11" s="17">
        <v>2.2491861497484361E-2</v>
      </c>
      <c r="AN11" s="17">
        <v>1.4727540500736377E-2</v>
      </c>
      <c r="AO11" s="17">
        <v>2.8708133971291763E-2</v>
      </c>
      <c r="AP11" s="17">
        <v>2.2455089820359281E-2</v>
      </c>
      <c r="AQ11" s="17">
        <v>3.5007610350076102E-2</v>
      </c>
      <c r="AR11" s="17">
        <v>3.2228640924292992E-2</v>
      </c>
      <c r="AS11" s="17">
        <v>2.338293349529301E-2</v>
      </c>
      <c r="AT11" s="17">
        <v>3.7794299876084229E-2</v>
      </c>
      <c r="AU11" s="17">
        <v>5.2466226830034518E-2</v>
      </c>
      <c r="AV11" s="17">
        <v>4.2999999999999997E-2</v>
      </c>
      <c r="AW11" s="17">
        <v>4.0632754E-2</v>
      </c>
      <c r="AX11" s="17">
        <v>5.6399999999999999E-2</v>
      </c>
      <c r="AY11" s="17">
        <v>6.4100000000000004E-2</v>
      </c>
      <c r="AZ11" s="17">
        <v>5.3200000000000004E-2</v>
      </c>
      <c r="BA11" s="17">
        <v>4.4245049504950534E-2</v>
      </c>
      <c r="BB11" s="17">
        <v>6.1699999999999998E-2</v>
      </c>
      <c r="BC11" s="17">
        <v>6.6199999999999995E-2</v>
      </c>
      <c r="BD11" s="17">
        <v>7.22E-2</v>
      </c>
      <c r="BE11" s="17">
        <v>8.5500000000000007E-2</v>
      </c>
      <c r="BF11" s="17">
        <v>9.8726114649681534E-2</v>
      </c>
      <c r="BG11" s="17">
        <v>0.1182</v>
      </c>
      <c r="BH11" s="17">
        <v>0.1386</v>
      </c>
      <c r="BI11" s="17">
        <v>0.14560000000000001</v>
      </c>
      <c r="BJ11" s="17">
        <v>0.16070000000000001</v>
      </c>
      <c r="BK11" s="17">
        <v>0.16449999999999998</v>
      </c>
      <c r="BL11" s="17">
        <v>0.13795295613477424</v>
      </c>
      <c r="BM11" s="17">
        <v>0.14990390775144141</v>
      </c>
      <c r="BN11" s="17">
        <v>0.15285806037251112</v>
      </c>
      <c r="BO11" s="17">
        <v>0.154</v>
      </c>
      <c r="BP11" s="17">
        <v>0.15028717294192712</v>
      </c>
      <c r="BQ11" s="17">
        <v>0.14190687361419071</v>
      </c>
      <c r="BR11" s="17">
        <v>0.1507</v>
      </c>
      <c r="BS11" s="17">
        <v>0.18008406078241185</v>
      </c>
      <c r="BT11" s="17">
        <v>0.15421303656597773</v>
      </c>
      <c r="BU11" s="17">
        <v>0.15274690377897732</v>
      </c>
      <c r="BV11" s="17">
        <v>0.15752551000000001</v>
      </c>
      <c r="BW11" s="17">
        <v>0.17446393762183232</v>
      </c>
      <c r="BX11" s="17">
        <v>0.17906066536203513</v>
      </c>
      <c r="BY11" s="17">
        <v>0.18098660568441677</v>
      </c>
      <c r="BZ11" s="17">
        <v>0.17146596858638735</v>
      </c>
      <c r="CA11" s="17">
        <v>0.1492776886035313</v>
      </c>
      <c r="CB11" s="17">
        <v>0.11526479750778816</v>
      </c>
      <c r="CC11" s="17">
        <v>0.12085159674389469</v>
      </c>
      <c r="CD11" s="17">
        <v>0.12017571383746474</v>
      </c>
      <c r="CE11" s="17">
        <v>0.12428842504743837</v>
      </c>
      <c r="CF11" s="17">
        <v>0.1156634100220611</v>
      </c>
      <c r="CG11" s="17">
        <v>0.10349127182044884</v>
      </c>
      <c r="CH11" s="17">
        <v>6.4055859137826243E-2</v>
      </c>
      <c r="CI11" s="17">
        <v>4.2482675504669977E-2</v>
      </c>
      <c r="CJ11" s="17">
        <v>5.353252412075938E-2</v>
      </c>
      <c r="CK11" s="17">
        <v>2.5405570860116352E-2</v>
      </c>
      <c r="CL11" s="17">
        <v>4.2540261318747405E-3</v>
      </c>
      <c r="CM11" s="17">
        <v>2.4487297214570293E-3</v>
      </c>
      <c r="CN11" s="17">
        <v>-1.4875531268973993E-2</v>
      </c>
      <c r="CO11" s="17">
        <v>-6.1728395061728392E-3</v>
      </c>
      <c r="CP11" s="17">
        <v>-4.3763676148797564E-3</v>
      </c>
      <c r="CQ11" s="17">
        <v>-6.2597809076682318E-3</v>
      </c>
      <c r="CR11" s="17">
        <v>1.5797788309636651E-3</v>
      </c>
      <c r="CS11" s="17">
        <v>-7.0888468809075511E-3</v>
      </c>
      <c r="CT11" s="17">
        <v>-1.0971786833855799E-2</v>
      </c>
      <c r="CU11" s="17">
        <v>-1.726844583987441E-2</v>
      </c>
      <c r="CV11" s="17">
        <v>-1.7322834645669291E-2</v>
      </c>
      <c r="CW11" s="17">
        <v>-1.1719987329743392E-2</v>
      </c>
      <c r="CX11" s="17">
        <v>-1.0516252390057398E-2</v>
      </c>
      <c r="CY11" s="17">
        <v>-4.815409309791332E-3</v>
      </c>
      <c r="CZ11" s="17">
        <v>-7.0467648942984908E-3</v>
      </c>
      <c r="DA11" s="17">
        <v>5.179669796050391E-3</v>
      </c>
      <c r="DB11" s="17">
        <v>8.4443000974341199E-3</v>
      </c>
      <c r="DC11" s="17">
        <v>7.4748131296717953E-3</v>
      </c>
      <c r="DD11" s="17">
        <v>1.2309685779073572E-2</v>
      </c>
      <c r="DE11" s="17">
        <v>1.4939915556998914E-2</v>
      </c>
      <c r="DF11" s="17">
        <v>2.0840117225659319E-2</v>
      </c>
      <c r="DG11" s="17">
        <v>2.7195281782437783E-2</v>
      </c>
      <c r="DH11" s="17">
        <v>3.4822601839684511E-2</v>
      </c>
      <c r="DI11" s="17">
        <v>3.9344262295081971E-2</v>
      </c>
      <c r="DJ11" s="17">
        <v>4.7352844459059441E-2</v>
      </c>
      <c r="DK11" s="17">
        <v>5.1155115511551157E-2</v>
      </c>
      <c r="DL11" s="17">
        <v>6.8561872909698993E-2</v>
      </c>
      <c r="DM11" s="17">
        <v>8.5772634445200779E-2</v>
      </c>
      <c r="DN11" s="17">
        <v>7.8796077105174209E-2</v>
      </c>
      <c r="DO11" s="17">
        <v>7.407407407407407E-2</v>
      </c>
      <c r="DP11" s="17">
        <v>7.9986500168747851E-2</v>
      </c>
      <c r="DQ11" s="17">
        <v>7.816711590296492E-2</v>
      </c>
      <c r="DR11" s="17">
        <v>7.2623828647924993E-2</v>
      </c>
      <c r="DS11" s="17">
        <v>5.5921052631578948E-2</v>
      </c>
      <c r="DT11" s="17">
        <v>9.3324250681198831E-2</v>
      </c>
      <c r="DU11" s="17">
        <v>7.7181208053691275E-2</v>
      </c>
      <c r="DV11" s="17">
        <v>6.0855263157894739E-2</v>
      </c>
      <c r="DW11" s="17">
        <v>6.4005278785879166E-2</v>
      </c>
      <c r="DX11" s="17">
        <v>6.6910785619174309E-2</v>
      </c>
      <c r="DY11" s="17">
        <v>5.5317747777411962E-2</v>
      </c>
      <c r="DZ11" s="17">
        <v>4.4386422976501187E-2</v>
      </c>
      <c r="EA11" s="17">
        <v>3.6227154046997272E-2</v>
      </c>
      <c r="EB11" s="17">
        <v>3.3920417482061239E-2</v>
      </c>
      <c r="EC11" s="17">
        <v>2.1802798568174384E-2</v>
      </c>
      <c r="ED11" s="17">
        <v>4.3478260869565216E-2</v>
      </c>
      <c r="EE11" s="17">
        <v>4.7331319234642379E-2</v>
      </c>
      <c r="EF11" s="17">
        <v>3.1375166889185506E-2</v>
      </c>
      <c r="EG11" s="17">
        <v>3.379056540649035E-2</v>
      </c>
      <c r="EH11" s="17">
        <v>3.6585365853658576E-2</v>
      </c>
      <c r="EI11" s="17">
        <v>3.4599728629579336E-2</v>
      </c>
      <c r="EJ11" s="17">
        <v>3.5422343324250601E-2</v>
      </c>
      <c r="EK11" s="17">
        <v>2.0960108181203477E-2</v>
      </c>
      <c r="EL11" s="17">
        <v>4.0280210157618214E-2</v>
      </c>
      <c r="EM11" s="17">
        <v>3.2325338894682004E-2</v>
      </c>
    </row>
    <row r="12" spans="1:143" s="17" customFormat="1" x14ac:dyDescent="0.2">
      <c r="A12" s="17" t="str">
        <f>Input!M12</f>
        <v>CF</v>
      </c>
      <c r="B12" s="17">
        <v>-4.1894940380277149E-3</v>
      </c>
      <c r="C12" s="17">
        <v>-8.0256821829855531E-3</v>
      </c>
      <c r="D12" s="17">
        <v>-5.7915057915057912E-3</v>
      </c>
      <c r="E12" s="17">
        <v>-4.830917874396135E-3</v>
      </c>
      <c r="F12" s="17">
        <v>-6.4683053040103498E-4</v>
      </c>
      <c r="G12" s="17">
        <v>6.8426197458455523E-3</v>
      </c>
      <c r="H12" s="17">
        <v>-1.6199999999999999E-3</v>
      </c>
      <c r="I12" s="17">
        <v>1.845748187211602E-2</v>
      </c>
      <c r="J12" s="17">
        <v>1.3447031813709412E-2</v>
      </c>
      <c r="K12" s="17">
        <v>1.0794896957801767E-2</v>
      </c>
      <c r="L12" s="17">
        <v>2.2705157314304248E-3</v>
      </c>
      <c r="M12" s="17">
        <v>1.0794896957801767E-2</v>
      </c>
      <c r="N12" s="17">
        <v>1.4445173998686802E-2</v>
      </c>
      <c r="O12" s="17">
        <v>1.4112241549064654E-2</v>
      </c>
      <c r="P12" s="17">
        <v>1.9801980198019802E-2</v>
      </c>
      <c r="Q12" s="17">
        <v>2.6237130521421455E-2</v>
      </c>
      <c r="R12" s="17">
        <v>3.2754010695187165E-2</v>
      </c>
      <c r="S12" s="17">
        <v>5.5327868852459015E-2</v>
      </c>
      <c r="T12" s="17">
        <v>4.8168249660786977E-2</v>
      </c>
      <c r="U12" s="17">
        <v>5.5327868852459015E-2</v>
      </c>
      <c r="V12" s="17">
        <v>4.9779884862851335E-2</v>
      </c>
      <c r="W12" s="17">
        <v>5.406324379462768E-2</v>
      </c>
      <c r="X12" s="17">
        <v>5.8020477815699661E-2</v>
      </c>
      <c r="Y12" s="17">
        <v>5.5858310626702996E-2</v>
      </c>
      <c r="Z12" s="17">
        <v>5.7639836289222375E-2</v>
      </c>
      <c r="AA12" s="17">
        <v>6.313993174061433E-2</v>
      </c>
      <c r="AB12" s="17">
        <v>6.6050650239561942E-2</v>
      </c>
      <c r="AC12" s="17">
        <v>4.9528301886792456E-2</v>
      </c>
      <c r="AD12" s="17">
        <v>4.2503346720214191E-2</v>
      </c>
      <c r="AE12" s="17">
        <v>4.6004029550033583E-2</v>
      </c>
      <c r="AF12" s="17">
        <v>4.4951358604495138E-2</v>
      </c>
      <c r="AG12" s="17">
        <v>4.3551088777219429E-2</v>
      </c>
      <c r="AH12" s="17">
        <v>4.0761777480788505E-2</v>
      </c>
      <c r="AI12" s="17">
        <v>3.8666666666666669E-2</v>
      </c>
      <c r="AJ12" s="17">
        <v>2.8684470820969338E-2</v>
      </c>
      <c r="AK12" s="17">
        <v>3.1746031746031744E-2</v>
      </c>
      <c r="AL12" s="17">
        <v>2.9363246453315738E-2</v>
      </c>
      <c r="AM12" s="17">
        <v>2.9702970297029702E-2</v>
      </c>
      <c r="AN12" s="17">
        <v>2.5978296612956264E-2</v>
      </c>
      <c r="AO12" s="17">
        <v>2.800658978583196E-2</v>
      </c>
      <c r="AP12" s="17">
        <v>3.3112582781456956E-2</v>
      </c>
      <c r="AQ12" s="17">
        <v>3.6200597808037194E-2</v>
      </c>
      <c r="AR12" s="17">
        <v>4.5605858854860189E-2</v>
      </c>
      <c r="AS12" s="17">
        <v>4.8397863818424564E-2</v>
      </c>
      <c r="AT12" s="17">
        <v>5.3954423592493299E-2</v>
      </c>
      <c r="AU12" s="17">
        <v>5.501509560550151E-2</v>
      </c>
      <c r="AV12" s="17">
        <v>5.28E-2</v>
      </c>
      <c r="AW12" s="17">
        <v>5.4551539000000003E-2</v>
      </c>
      <c r="AX12" s="17">
        <v>5.1900000000000002E-2</v>
      </c>
      <c r="AY12" s="17">
        <v>5.6800000000000003E-2</v>
      </c>
      <c r="AZ12" s="17">
        <v>6.2100000000000002E-2</v>
      </c>
      <c r="BA12" s="17">
        <v>5.733113673805601E-2</v>
      </c>
      <c r="BB12" s="17">
        <v>5.6399999999999999E-2</v>
      </c>
      <c r="BC12" s="17">
        <v>5.6299999999999996E-2</v>
      </c>
      <c r="BD12" s="17">
        <v>6.0100000000000001E-2</v>
      </c>
      <c r="BE12" s="17">
        <v>5.7999999999999996E-2</v>
      </c>
      <c r="BF12" s="17">
        <v>5.6268509378084898E-2</v>
      </c>
      <c r="BG12" s="17">
        <v>5.9000000000000004E-2</v>
      </c>
      <c r="BH12" s="17">
        <v>6.2100000000000002E-2</v>
      </c>
      <c r="BI12" s="17">
        <v>6.6900000000000001E-2</v>
      </c>
      <c r="BJ12" s="17">
        <v>6.6199999999999995E-2</v>
      </c>
      <c r="BK12" s="17">
        <v>7.3700000000000002E-2</v>
      </c>
      <c r="BL12" s="17">
        <v>6.6112956810631229E-2</v>
      </c>
      <c r="BM12" s="17">
        <v>7.4322062269835953E-2</v>
      </c>
      <c r="BN12" s="17">
        <v>6.5405046480743689E-2</v>
      </c>
      <c r="BO12" s="17">
        <v>6.5799999999999997E-2</v>
      </c>
      <c r="BP12" s="17">
        <v>6.717658796142334E-2</v>
      </c>
      <c r="BQ12" s="17">
        <v>7.3937771830043492E-2</v>
      </c>
      <c r="BR12" s="17">
        <v>7.1800000000000003E-2</v>
      </c>
      <c r="BS12" s="17">
        <v>6.824234354194407E-2</v>
      </c>
      <c r="BT12" s="17">
        <v>5.4898093359631819E-2</v>
      </c>
      <c r="BU12" s="17">
        <v>5.7565789473684209E-2</v>
      </c>
      <c r="BV12" s="17">
        <v>5.7913787000000001E-2</v>
      </c>
      <c r="BW12" s="17">
        <v>6.6025215660252157E-2</v>
      </c>
      <c r="BX12" s="17">
        <v>6.921797004991681E-2</v>
      </c>
      <c r="BY12" s="17">
        <v>6.4174660932848168E-2</v>
      </c>
      <c r="BZ12" s="17">
        <v>6.2768417575156915E-2</v>
      </c>
      <c r="CA12" s="17">
        <v>6.3077939233817701E-2</v>
      </c>
      <c r="CB12" s="17">
        <v>6.3077939233817701E-2</v>
      </c>
      <c r="CC12" s="17">
        <v>4.2166720726565035E-2</v>
      </c>
      <c r="CD12" s="17">
        <v>3.0798845043310877E-2</v>
      </c>
      <c r="CE12" s="17">
        <v>3.7790697674418602E-2</v>
      </c>
      <c r="CF12" s="17">
        <v>4.0816326530612242E-2</v>
      </c>
      <c r="CG12" s="17">
        <v>3.7479806138933765E-2</v>
      </c>
      <c r="CH12" s="17">
        <v>3.1480886604561518E-2</v>
      </c>
      <c r="CI12" s="17">
        <v>4.2532467532467533E-2</v>
      </c>
      <c r="CJ12" s="17">
        <v>3.4584013050570961E-2</v>
      </c>
      <c r="CK12" s="17">
        <v>3.3572359843546284E-2</v>
      </c>
      <c r="CL12" s="17">
        <v>2.9545454545454545E-2</v>
      </c>
      <c r="CM12" s="17">
        <v>3.22265625E-2</v>
      </c>
      <c r="CN12" s="17">
        <v>2.621359223300971E-2</v>
      </c>
      <c r="CO12" s="17">
        <v>1.3099041533546326E-2</v>
      </c>
      <c r="CP12" s="17">
        <v>1.4395393474088292E-2</v>
      </c>
      <c r="CQ12" s="17">
        <v>6.0317460317460322E-3</v>
      </c>
      <c r="CR12" s="17">
        <v>2.8481012658227848E-3</v>
      </c>
      <c r="CS12" s="17">
        <v>2.8481012658227848E-3</v>
      </c>
      <c r="CT12" s="17">
        <v>8.5932527052832598E-3</v>
      </c>
      <c r="CU12" s="17">
        <v>3.359425962165688E-2</v>
      </c>
      <c r="CV12" s="17">
        <v>3.5959463877084014E-2</v>
      </c>
      <c r="CW12" s="17">
        <v>3.494448073154801E-2</v>
      </c>
      <c r="CX12" s="17">
        <v>3.2247557003257328E-2</v>
      </c>
      <c r="CY12" s="17">
        <v>3.1239830784249918E-2</v>
      </c>
      <c r="CZ12" s="17">
        <v>3.494448073154801E-2</v>
      </c>
      <c r="DA12" s="17">
        <v>2.9344636452559504E-2</v>
      </c>
      <c r="DB12" s="17">
        <v>2.5666016894087068E-2</v>
      </c>
      <c r="DC12" s="17">
        <v>2.9680365296803651E-2</v>
      </c>
      <c r="DD12" s="17">
        <v>3.237410071942446E-2</v>
      </c>
      <c r="DE12" s="17">
        <v>3.7804076265614731E-2</v>
      </c>
      <c r="DF12" s="17">
        <v>3.2711808963035653E-2</v>
      </c>
      <c r="DG12" s="17">
        <v>3.4064854241729448E-2</v>
      </c>
      <c r="DH12" s="17">
        <v>3.136229990199281E-2</v>
      </c>
      <c r="DI12" s="17">
        <v>3.1699346405228757E-2</v>
      </c>
      <c r="DJ12" s="17">
        <v>4.9534574468085103E-2</v>
      </c>
      <c r="DK12" s="17">
        <v>4.3981481481481483E-2</v>
      </c>
      <c r="DL12" s="17">
        <v>5.128205128205128E-2</v>
      </c>
      <c r="DM12" s="17">
        <v>5.1632245169886744E-2</v>
      </c>
      <c r="DN12" s="17">
        <v>5.3666666666666668E-2</v>
      </c>
      <c r="DO12" s="17">
        <v>4.9468791500664008E-2</v>
      </c>
      <c r="DP12" s="17">
        <v>5.1213834386431657E-2</v>
      </c>
      <c r="DQ12" s="17">
        <v>6.682416469794128E-2</v>
      </c>
      <c r="DR12" s="17">
        <v>6.3593539703903093E-2</v>
      </c>
      <c r="DS12" s="17">
        <v>7.9836233367451381E-2</v>
      </c>
      <c r="DT12" s="17">
        <v>7.4702886247877756E-2</v>
      </c>
      <c r="DU12" s="17">
        <v>6.2793821356615181E-2</v>
      </c>
      <c r="DV12" s="17">
        <v>6.3508064516129031E-2</v>
      </c>
      <c r="DW12" s="17">
        <v>5.0796812749003988E-2</v>
      </c>
      <c r="DX12" s="17">
        <v>4.975124378109453E-2</v>
      </c>
      <c r="DY12" s="17">
        <v>1.8351577591757887E-2</v>
      </c>
      <c r="DZ12" s="17">
        <v>1.8679549114331721E-2</v>
      </c>
      <c r="EA12" s="17">
        <v>1.8679549114331721E-2</v>
      </c>
      <c r="EB12" s="17">
        <v>2.2984784719974102E-2</v>
      </c>
      <c r="EC12" s="17">
        <v>3.0995106035889071E-2</v>
      </c>
      <c r="ED12" s="17">
        <v>4.3248596896665568E-2</v>
      </c>
      <c r="EE12" s="17">
        <v>4.221635883905013E-2</v>
      </c>
      <c r="EF12" s="17">
        <v>4.0843214756258232E-2</v>
      </c>
      <c r="EG12" s="17">
        <v>5.5796859338456399E-2</v>
      </c>
      <c r="EH12" s="17">
        <v>4.0157998683344305E-2</v>
      </c>
      <c r="EI12" s="17">
        <v>5.0182784978398141E-2</v>
      </c>
      <c r="EJ12" s="17">
        <v>6.0402684563758392E-2</v>
      </c>
      <c r="EK12" s="17">
        <v>6.5407956844234658E-2</v>
      </c>
      <c r="EL12" s="17">
        <v>5.0881277020285998E-2</v>
      </c>
      <c r="EM12" s="17">
        <v>5.0881277020285998E-2</v>
      </c>
    </row>
    <row r="13" spans="1:143" s="17" customFormat="1" x14ac:dyDescent="0.2">
      <c r="A13" s="17" t="str">
        <f>Input!M13</f>
        <v>MA</v>
      </c>
      <c r="B13" s="17">
        <v>9.8511693834160169E-2</v>
      </c>
      <c r="C13" s="17">
        <v>9.6956829440905876E-2</v>
      </c>
      <c r="D13" s="17">
        <v>9.5406360424028266E-2</v>
      </c>
      <c r="E13" s="17">
        <v>8.467459762071379E-2</v>
      </c>
      <c r="F13" s="17">
        <v>0.1182108626198083</v>
      </c>
      <c r="G13" s="17">
        <v>0.1390585698886094</v>
      </c>
      <c r="H13" s="17">
        <v>0.11974600000000001</v>
      </c>
      <c r="I13" s="17">
        <v>0.1263639563533967</v>
      </c>
      <c r="J13" s="17">
        <v>0.1375568778438922</v>
      </c>
      <c r="K13" s="17">
        <v>0.10922659430122117</v>
      </c>
      <c r="L13" s="17">
        <v>0.10809894950864114</v>
      </c>
      <c r="M13" s="17">
        <v>0.11485348602222971</v>
      </c>
      <c r="N13" s="17">
        <v>0.10739377718300434</v>
      </c>
      <c r="O13" s="17">
        <v>9.2859537378478046E-2</v>
      </c>
      <c r="P13" s="17">
        <v>8.9872568745808179E-2</v>
      </c>
      <c r="Q13" s="17">
        <v>0.10770279481935924</v>
      </c>
      <c r="R13" s="17">
        <v>9.7017483716146727E-2</v>
      </c>
      <c r="S13" s="17">
        <v>-3.3232628398791542E-2</v>
      </c>
      <c r="T13" s="17">
        <v>-2.7059896625114016E-2</v>
      </c>
      <c r="U13" s="17">
        <v>3.1746031746031744E-2</v>
      </c>
      <c r="V13" s="17">
        <v>4.9402647723603491E-2</v>
      </c>
      <c r="W13" s="17">
        <v>6.0797973400886635E-2</v>
      </c>
      <c r="X13" s="17">
        <v>5.5245189323401611E-2</v>
      </c>
      <c r="Y13" s="17">
        <v>5.9582309582309582E-2</v>
      </c>
      <c r="Z13" s="17">
        <v>6.1571125265392782E-2</v>
      </c>
      <c r="AA13" s="17">
        <v>7.3619631901840496E-2</v>
      </c>
      <c r="AB13" s="17">
        <v>3.5196687370600416E-2</v>
      </c>
      <c r="AC13" s="17">
        <v>6.9567882316886306E-2</v>
      </c>
      <c r="AD13" s="17">
        <v>6.5472513897467569E-2</v>
      </c>
      <c r="AE13" s="17">
        <v>5.8461538461538461E-2</v>
      </c>
      <c r="AF13" s="17">
        <v>4.6619326952763197E-2</v>
      </c>
      <c r="AG13" s="17">
        <v>3.0991101564897209E-2</v>
      </c>
      <c r="AH13" s="17">
        <v>6.8239795918367346E-2</v>
      </c>
      <c r="AI13" s="17">
        <v>7.2231139646869988E-2</v>
      </c>
      <c r="AJ13" s="17">
        <v>5.7661675692895827E-2</v>
      </c>
      <c r="AK13" s="17">
        <v>5.7268722466960353E-2</v>
      </c>
      <c r="AL13" s="17">
        <v>4.2314872433105166E-2</v>
      </c>
      <c r="AM13" s="17">
        <v>1.7522287119581925E-2</v>
      </c>
      <c r="AN13" s="17">
        <v>6.5973350666233346E-2</v>
      </c>
      <c r="AO13" s="17">
        <v>0.11790689772341148</v>
      </c>
      <c r="AP13" s="17">
        <v>0.10291652698625545</v>
      </c>
      <c r="AQ13" s="17">
        <v>9.8146877144818123E-2</v>
      </c>
      <c r="AR13" s="17">
        <v>8.2581540596807779E-2</v>
      </c>
      <c r="AS13" s="17">
        <v>5.9448688143473927E-2</v>
      </c>
      <c r="AT13" s="17">
        <v>6.4115474991607926E-2</v>
      </c>
      <c r="AU13" s="17">
        <v>5.4557551563539586E-2</v>
      </c>
      <c r="AV13" s="17">
        <v>4.48E-2</v>
      </c>
      <c r="AW13" s="17">
        <v>3.2590051000000002E-2</v>
      </c>
      <c r="AX13" s="17">
        <v>2.8199999999999999E-2</v>
      </c>
      <c r="AY13" s="17">
        <v>3.6499999999999998E-2</v>
      </c>
      <c r="AZ13" s="17">
        <v>3.27E-2</v>
      </c>
      <c r="BA13" s="17">
        <v>2.865032792544011E-2</v>
      </c>
      <c r="BB13" s="17">
        <v>2.4700000000000003E-2</v>
      </c>
      <c r="BC13" s="17">
        <v>3.3599999999999998E-2</v>
      </c>
      <c r="BD13" s="17">
        <v>3.6200000000000003E-2</v>
      </c>
      <c r="BE13" s="17">
        <v>2.6600000000000002E-2</v>
      </c>
      <c r="BF13" s="17">
        <v>3.1073446327683617E-2</v>
      </c>
      <c r="BG13" s="17">
        <v>2.2499999999999999E-2</v>
      </c>
      <c r="BH13" s="17">
        <v>2.8500000000000001E-2</v>
      </c>
      <c r="BI13" s="17">
        <v>3.4000000000000002E-2</v>
      </c>
      <c r="BJ13" s="17">
        <v>4.2099999999999999E-2</v>
      </c>
      <c r="BK13" s="17">
        <v>3.9399999999999998E-2</v>
      </c>
      <c r="BL13" s="17">
        <v>4.7335072679836006E-2</v>
      </c>
      <c r="BM13" s="17">
        <v>4.5437753971185817E-2</v>
      </c>
      <c r="BN13" s="17">
        <v>1.7010495837857402E-2</v>
      </c>
      <c r="BO13" s="17">
        <v>3.39E-2</v>
      </c>
      <c r="BP13" s="17">
        <v>5.4054054054054057E-3</v>
      </c>
      <c r="BQ13" s="17">
        <v>8.0645161290322578E-3</v>
      </c>
      <c r="BR13" s="17">
        <v>2.06E-2</v>
      </c>
      <c r="BS13" s="17">
        <v>3.7628278221208664E-2</v>
      </c>
      <c r="BT13" s="17">
        <v>3.039288361749444E-2</v>
      </c>
      <c r="BU13" s="17">
        <v>1.0381905821282907E-2</v>
      </c>
      <c r="BV13" s="17">
        <v>3.7771842999999999E-2</v>
      </c>
      <c r="BW13" s="17">
        <v>4.2382588774341354E-2</v>
      </c>
      <c r="BX13" s="17">
        <v>3.0847325263568919E-2</v>
      </c>
      <c r="BY13" s="17">
        <v>2.7139087825103655E-2</v>
      </c>
      <c r="BZ13" s="17">
        <v>2.0446096654275093E-2</v>
      </c>
      <c r="CA13" s="17">
        <v>1.0401188707280832E-2</v>
      </c>
      <c r="CB13" s="17">
        <v>1.1342155009451797E-2</v>
      </c>
      <c r="CC13" s="17">
        <v>5.9391239792130658E-3</v>
      </c>
      <c r="CD13" s="17">
        <v>1.148573545757688E-2</v>
      </c>
      <c r="CE13" s="17">
        <v>1.5506807866868382E-2</v>
      </c>
      <c r="CF13" s="17">
        <v>1.7964071856287425E-2</v>
      </c>
      <c r="CG13" s="17">
        <v>2.3520764424843809E-2</v>
      </c>
      <c r="CH13" s="17">
        <v>6.7832916815423064E-3</v>
      </c>
      <c r="CI13" s="17">
        <v>3.5855145213338117E-4</v>
      </c>
      <c r="CJ13" s="17">
        <v>2.9069767441860465E-3</v>
      </c>
      <c r="CK13" s="17">
        <v>-4.9928673323823107E-3</v>
      </c>
      <c r="CL13" s="17">
        <v>-3.3783783783783786E-2</v>
      </c>
      <c r="CM13" s="17">
        <v>3.5087719298245615E-3</v>
      </c>
      <c r="CN13" s="17">
        <v>-3.5087719298245615E-3</v>
      </c>
      <c r="CO13" s="17">
        <v>2.1582733812949641E-2</v>
      </c>
      <c r="CP13" s="17">
        <v>4.5985143261407851E-3</v>
      </c>
      <c r="CQ13" s="17">
        <v>3.5587188612099642E-3</v>
      </c>
      <c r="CR13" s="17">
        <v>3.5587188612099642E-3</v>
      </c>
      <c r="CS13" s="17">
        <v>-3.5714285714285713E-3</v>
      </c>
      <c r="CT13" s="17">
        <v>-2.7196652719665274E-2</v>
      </c>
      <c r="CU13" s="17">
        <v>-2.0581973030518098E-2</v>
      </c>
      <c r="CV13" s="17">
        <v>-4.3131569409206233E-2</v>
      </c>
      <c r="CW13" s="17">
        <v>-5.3016453382084092E-2</v>
      </c>
      <c r="CX13" s="17">
        <v>-5.6463595839524518E-2</v>
      </c>
      <c r="CY13" s="17">
        <v>-5.8553386911595867E-2</v>
      </c>
      <c r="CZ13" s="17">
        <v>-5.4936611601997698E-2</v>
      </c>
      <c r="DA13" s="17">
        <v>-5.3117782909930716E-2</v>
      </c>
      <c r="DB13" s="17">
        <v>-5.7110003832886162E-2</v>
      </c>
      <c r="DC13" s="17">
        <v>-5.019305019305019E-2</v>
      </c>
      <c r="DD13" s="17">
        <v>-4.0618955512572531E-2</v>
      </c>
      <c r="DE13" s="17">
        <v>-2.7069438995684581E-2</v>
      </c>
      <c r="DF13" s="17">
        <v>-3.1752254018032146E-2</v>
      </c>
      <c r="DG13" s="17">
        <v>-4.4516390125455283E-3</v>
      </c>
      <c r="DH13" s="17">
        <v>-1.6129032258064516E-2</v>
      </c>
      <c r="DI13" s="17">
        <v>-2.4E-2</v>
      </c>
      <c r="DJ13" s="17">
        <v>-2.5372533225936366E-2</v>
      </c>
      <c r="DK13" s="17">
        <v>-3.8919777601270848E-2</v>
      </c>
      <c r="DL13" s="17">
        <v>-3.662420382165605E-2</v>
      </c>
      <c r="DM13" s="17">
        <v>-3.8229376257545272E-2</v>
      </c>
      <c r="DN13" s="17">
        <v>-3.0425963488843813E-2</v>
      </c>
      <c r="DO13" s="17">
        <v>-4.7044632086851626E-2</v>
      </c>
      <c r="DP13" s="17">
        <v>-3.4511092851273621E-2</v>
      </c>
      <c r="DQ13" s="17">
        <v>-3.2523672293124743E-2</v>
      </c>
      <c r="DR13" s="17">
        <v>-3.2523672293124743E-2</v>
      </c>
      <c r="DS13" s="17">
        <v>-1.7969076473046384E-2</v>
      </c>
      <c r="DT13" s="17">
        <v>-5.0804403048264179E-3</v>
      </c>
      <c r="DU13" s="17">
        <v>-1.5088013411567477E-2</v>
      </c>
      <c r="DV13" s="17">
        <v>-4.0816326530612242E-2</v>
      </c>
      <c r="DW13" s="17">
        <v>-5.0121261115602264E-2</v>
      </c>
      <c r="DX13" s="17">
        <v>-3.8772213247172858E-2</v>
      </c>
      <c r="DY13" s="17">
        <v>-3.954802259887006E-2</v>
      </c>
      <c r="DZ13" s="17">
        <v>-8.9169536930730958E-2</v>
      </c>
      <c r="EA13" s="17">
        <v>-5.3677932405566599E-2</v>
      </c>
      <c r="EB13" s="17">
        <v>-5.5930186433954782E-2</v>
      </c>
      <c r="EC13" s="17">
        <v>-5.0658157159952137E-2</v>
      </c>
      <c r="ED13" s="17">
        <v>-4.2253521126760563E-2</v>
      </c>
      <c r="EE13" s="17">
        <v>-3.29134498171475E-2</v>
      </c>
      <c r="EF13" s="17">
        <v>-5.3677932405566599E-2</v>
      </c>
      <c r="EG13" s="17">
        <v>-6.0375849660135948E-2</v>
      </c>
      <c r="EH13" s="17">
        <v>-5.3999187982135606E-2</v>
      </c>
      <c r="EI13" s="17">
        <v>-5.5150040551500405E-2</v>
      </c>
      <c r="EJ13" s="17">
        <v>-3.2392026578073087E-2</v>
      </c>
      <c r="EK13" s="17">
        <v>-4.6242774566473986E-2</v>
      </c>
      <c r="EL13" s="17">
        <v>-2.4081115335868188E-2</v>
      </c>
      <c r="EM13" s="17">
        <v>-4.5037531276063386E-2</v>
      </c>
    </row>
    <row r="14" spans="1:143" s="17" customFormat="1" x14ac:dyDescent="0.2">
      <c r="A14" s="17" t="str">
        <f>Input!M14</f>
        <v>BU</v>
      </c>
      <c r="B14" s="17">
        <v>-0.17582417582417584</v>
      </c>
      <c r="C14" s="17">
        <v>-0.17695473251028807</v>
      </c>
      <c r="D14" s="17">
        <v>-0.15074309978768577</v>
      </c>
      <c r="E14" s="17">
        <v>-0.13232104121475055</v>
      </c>
      <c r="F14" s="17">
        <v>-0.13606911447084233</v>
      </c>
      <c r="G14" s="17">
        <v>-0.12280701754385964</v>
      </c>
      <c r="H14" s="17">
        <v>-0.13544999999999999</v>
      </c>
      <c r="I14" s="17">
        <v>-0.13043478260869565</v>
      </c>
      <c r="J14" s="17">
        <v>-0.13916786226685796</v>
      </c>
      <c r="K14" s="17">
        <v>-0.16201117318435754</v>
      </c>
      <c r="L14" s="17">
        <v>-0.1678470254957507</v>
      </c>
      <c r="M14" s="17">
        <v>-0.16666666666666666</v>
      </c>
      <c r="N14" s="17">
        <v>-0.16666666666666666</v>
      </c>
      <c r="O14" s="17">
        <v>-0.16071428571428573</v>
      </c>
      <c r="P14" s="17">
        <v>-0.15467625899280577</v>
      </c>
      <c r="Q14" s="17">
        <v>-0.14793328498912256</v>
      </c>
      <c r="R14" s="17">
        <v>-0.14855072463768115</v>
      </c>
      <c r="S14" s="17">
        <v>-0.11786786786786786</v>
      </c>
      <c r="T14" s="17">
        <v>-0.11786786786786786</v>
      </c>
      <c r="U14" s="17">
        <v>-6.4171122994652413E-2</v>
      </c>
      <c r="V14" s="17">
        <v>-6.5598779557589623E-2</v>
      </c>
      <c r="W14" s="17">
        <v>-6.3455657492354739E-2</v>
      </c>
      <c r="X14" s="17">
        <v>-5.8416602613374329E-2</v>
      </c>
      <c r="Y14" s="17">
        <v>-5.2590873936581593E-2</v>
      </c>
      <c r="Z14" s="17">
        <v>-5.6240369799691832E-2</v>
      </c>
      <c r="AA14" s="17">
        <v>-5.7692307692307696E-2</v>
      </c>
      <c r="AB14" s="17">
        <v>-6.0856498873027798E-2</v>
      </c>
      <c r="AC14" s="17">
        <v>-4.8706240487062402E-2</v>
      </c>
      <c r="AD14" s="17">
        <v>-5.7315233785822019E-2</v>
      </c>
      <c r="AE14" s="17">
        <v>3.2883642495784147E-2</v>
      </c>
      <c r="AF14" s="17">
        <v>6.42737896494157E-2</v>
      </c>
      <c r="AG14" s="17">
        <v>7.5949367088607597E-2</v>
      </c>
      <c r="AH14" s="17">
        <v>6.6945606694560664E-2</v>
      </c>
      <c r="AI14" s="17">
        <v>6.9630872483221473E-2</v>
      </c>
      <c r="AJ14" s="17">
        <v>5.4590570719602979E-2</v>
      </c>
      <c r="AK14" s="17">
        <v>7.2013093289689037E-2</v>
      </c>
      <c r="AL14" s="17">
        <v>4.8000000000000001E-2</v>
      </c>
      <c r="AM14" s="17">
        <v>4.0508339952343132E-2</v>
      </c>
      <c r="AN14" s="17">
        <v>2.3181454836131096E-2</v>
      </c>
      <c r="AO14" s="17">
        <v>2.8112449799196786E-2</v>
      </c>
      <c r="AP14" s="17">
        <v>1.1326860841423949E-2</v>
      </c>
      <c r="AQ14" s="17">
        <v>2.9886914378029081E-2</v>
      </c>
      <c r="AR14" s="17">
        <v>3.2388663967611336E-2</v>
      </c>
      <c r="AS14" s="17">
        <v>2.3181454836131096E-2</v>
      </c>
      <c r="AT14" s="17">
        <v>7.874015748031496E-3</v>
      </c>
      <c r="AU14" s="17">
        <v>-4.6656298600311046E-3</v>
      </c>
      <c r="AV14" s="17">
        <v>6.3E-3</v>
      </c>
      <c r="AW14" s="17">
        <v>3.8961039000000003E-2</v>
      </c>
      <c r="AX14" s="17">
        <v>1.78E-2</v>
      </c>
      <c r="AY14" s="17">
        <v>-2.5999999999999999E-2</v>
      </c>
      <c r="AZ14" s="17">
        <v>-2.4399999999999998E-2</v>
      </c>
      <c r="BA14" s="17">
        <v>-6.4692127825409201E-2</v>
      </c>
      <c r="BB14" s="17">
        <v>-5.96E-2</v>
      </c>
      <c r="BC14" s="17">
        <v>-5.8099999999999999E-2</v>
      </c>
      <c r="BD14" s="17">
        <v>-7.3300000000000004E-2</v>
      </c>
      <c r="BE14" s="17">
        <v>-7.4800000000000005E-2</v>
      </c>
      <c r="BF14" s="17">
        <v>-7.407407407407407E-2</v>
      </c>
      <c r="BG14" s="17">
        <v>-7.4800000000000005E-2</v>
      </c>
      <c r="BH14" s="17">
        <v>-6.1500000000000006E-2</v>
      </c>
      <c r="BI14" s="17">
        <v>-5.8499999999999996E-2</v>
      </c>
      <c r="BJ14" s="17">
        <v>-0.06</v>
      </c>
      <c r="BK14" s="17">
        <v>-6.6000000000000003E-2</v>
      </c>
      <c r="BL14" s="17">
        <v>-7.4803149606299218E-2</v>
      </c>
      <c r="BM14" s="17">
        <v>-5.4706355591311345E-2</v>
      </c>
      <c r="BN14" s="17">
        <v>-5.1654560129136398E-2</v>
      </c>
      <c r="BO14" s="17">
        <v>-5.1700000000000003E-2</v>
      </c>
      <c r="BP14" s="17">
        <v>-2.972749793559042E-2</v>
      </c>
      <c r="BQ14" s="17">
        <v>-3.1327287716405604E-2</v>
      </c>
      <c r="BR14" s="17">
        <v>-2.2499999999999999E-2</v>
      </c>
      <c r="BS14" s="17">
        <v>-1.4261744966442953E-2</v>
      </c>
      <c r="BT14" s="17">
        <v>-2.6512013256006627E-2</v>
      </c>
      <c r="BU14" s="17">
        <v>-2.8925619834710745E-2</v>
      </c>
      <c r="BV14" s="17">
        <v>-3.5234899E-2</v>
      </c>
      <c r="BW14" s="17">
        <v>-6.8708609271523183E-2</v>
      </c>
      <c r="BX14" s="17">
        <v>-6.4837905236907731E-2</v>
      </c>
      <c r="BY14" s="17">
        <v>-5.936454849498328E-2</v>
      </c>
      <c r="BZ14" s="17">
        <v>-5.3030303030303032E-2</v>
      </c>
      <c r="CA14" s="17">
        <v>-4.1598694942903754E-2</v>
      </c>
      <c r="CB14" s="17">
        <v>-3.8461538461538464E-2</v>
      </c>
      <c r="CC14" s="17">
        <v>-6.4490445859872611E-2</v>
      </c>
      <c r="CD14" s="17">
        <v>-5.7738572574178026E-2</v>
      </c>
      <c r="CE14" s="17">
        <v>-5.7738572574178026E-2</v>
      </c>
      <c r="CF14" s="17">
        <v>-4.2379788101059496E-2</v>
      </c>
      <c r="CG14" s="17">
        <v>-4.0816326530612242E-2</v>
      </c>
      <c r="CH14" s="17">
        <v>-4.9352750809061485E-2</v>
      </c>
      <c r="CI14" s="17">
        <v>-5.1654560129136398E-2</v>
      </c>
      <c r="CJ14" s="17">
        <v>-5.6224899598393573E-2</v>
      </c>
      <c r="CK14" s="17">
        <v>2.1276595744680851E-2</v>
      </c>
      <c r="CL14" s="17">
        <v>4.1666666666666664E-2</v>
      </c>
      <c r="CM14" s="17">
        <v>5.3310404127257092E-2</v>
      </c>
      <c r="CN14" s="17">
        <v>4.8801369863013699E-2</v>
      </c>
      <c r="CO14" s="17">
        <v>4.6114432109308282E-2</v>
      </c>
      <c r="CP14" s="17">
        <v>6.1120543293718167E-2</v>
      </c>
      <c r="CQ14" s="17">
        <v>5.3074978938500418E-2</v>
      </c>
      <c r="CR14" s="17">
        <v>1.8744906275468622E-2</v>
      </c>
      <c r="CS14" s="17">
        <v>2.6272577996715927E-2</v>
      </c>
      <c r="CT14" s="17">
        <v>8.7025316455696198E-3</v>
      </c>
      <c r="CU14" s="17">
        <v>-7.836990595611285E-4</v>
      </c>
      <c r="CV14" s="17">
        <v>1.5127388535031847E-2</v>
      </c>
      <c r="CW14" s="17">
        <v>2.4428684003152089E-2</v>
      </c>
      <c r="CX14" s="17">
        <v>2.2816679779701022E-2</v>
      </c>
      <c r="CY14" s="17">
        <v>1.7871017871017872E-2</v>
      </c>
      <c r="CZ14" s="17">
        <v>1.5503875968992248E-2</v>
      </c>
      <c r="DA14" s="17">
        <v>2.4237685691946835E-2</v>
      </c>
      <c r="DB14" s="17">
        <v>2.9065200314218383E-2</v>
      </c>
      <c r="DC14" s="17">
        <v>3.1496062992125984E-2</v>
      </c>
      <c r="DD14" s="17">
        <v>2.664576802507837E-2</v>
      </c>
      <c r="DE14" s="17">
        <v>2.9874213836477988E-2</v>
      </c>
      <c r="DF14" s="17">
        <v>3.2308904649330179E-2</v>
      </c>
      <c r="DG14" s="17">
        <v>5.2208835341365459E-2</v>
      </c>
      <c r="DH14" s="17">
        <v>6.8855084067253797E-2</v>
      </c>
      <c r="DI14" s="17">
        <v>3.0719482619240096E-2</v>
      </c>
      <c r="DJ14" s="17">
        <v>1.8370607028753993E-2</v>
      </c>
      <c r="DK14" s="17">
        <v>0</v>
      </c>
      <c r="DL14" s="17">
        <v>0</v>
      </c>
      <c r="DM14" s="17">
        <v>1.8153117600631413E-2</v>
      </c>
      <c r="DN14" s="17">
        <v>4.0348101265822785E-2</v>
      </c>
      <c r="DO14" s="17">
        <v>1.3097072419106317E-2</v>
      </c>
      <c r="DP14" s="17">
        <v>3.8314176245210725E-2</v>
      </c>
      <c r="DQ14" s="17">
        <v>3.5141329258976318E-2</v>
      </c>
      <c r="DR14" s="17">
        <v>1.3462976813762155E-2</v>
      </c>
      <c r="DS14" s="17">
        <v>7.5187969924812026E-3</v>
      </c>
      <c r="DT14" s="17">
        <v>7.6103500761035003E-4</v>
      </c>
      <c r="DU14" s="17">
        <v>-8.2956259426847662E-3</v>
      </c>
      <c r="DV14" s="17">
        <v>-1.7384731670445956E-2</v>
      </c>
      <c r="DW14" s="17">
        <v>-1.5151515151515152E-2</v>
      </c>
      <c r="DX14" s="17">
        <v>-2.3474178403755869E-3</v>
      </c>
      <c r="DY14" s="17">
        <v>6.314127861089187E-3</v>
      </c>
      <c r="DZ14" s="17">
        <v>-1.6962220508866616E-2</v>
      </c>
      <c r="EA14" s="17">
        <v>-1.7719568567026195E-2</v>
      </c>
      <c r="EB14" s="17">
        <v>-9.324009324009324E-3</v>
      </c>
      <c r="EC14" s="17">
        <v>-6.5420560747663545E-2</v>
      </c>
      <c r="ED14" s="17">
        <v>-6.6719618745035736E-2</v>
      </c>
      <c r="EE14" s="17">
        <v>-7.798537774167344E-2</v>
      </c>
      <c r="EF14" s="17">
        <v>-7.8733766233766239E-2</v>
      </c>
      <c r="EG14" s="17">
        <v>-7.6484947111472745E-2</v>
      </c>
      <c r="EH14" s="17">
        <v>-7.7954735959765292E-2</v>
      </c>
      <c r="EI14" s="17">
        <v>-7.1729957805907171E-2</v>
      </c>
      <c r="EJ14" s="17">
        <v>-6.0631938514090523E-2</v>
      </c>
      <c r="EK14" s="17">
        <v>-7.0160608622147083E-2</v>
      </c>
      <c r="EL14" s="17">
        <v>-7.7253218884120178E-2</v>
      </c>
      <c r="EM14" s="17">
        <v>-9.5117845117845115E-2</v>
      </c>
    </row>
    <row r="15" spans="1:143" s="17" customFormat="1" x14ac:dyDescent="0.2">
      <c r="A15" s="17" t="str">
        <f>Input!M15</f>
        <v>L</v>
      </c>
      <c r="B15" s="17">
        <v>-1.4536340852130326E-2</v>
      </c>
      <c r="C15" s="17">
        <v>-1.7982017982017984E-2</v>
      </c>
      <c r="D15" s="17">
        <v>0</v>
      </c>
      <c r="E15" s="17">
        <v>-1.1557788944723618E-2</v>
      </c>
      <c r="F15" s="17">
        <v>-9.0955027791814053E-3</v>
      </c>
      <c r="G15" s="17">
        <v>-5.0890585241730284E-3</v>
      </c>
      <c r="H15" s="17">
        <v>-4.5700000000000003E-3</v>
      </c>
      <c r="I15" s="17">
        <v>-7.6103500761035003E-3</v>
      </c>
      <c r="J15" s="17">
        <v>-1.9095477386934675E-2</v>
      </c>
      <c r="K15" s="17">
        <v>-3.165182987141444E-2</v>
      </c>
      <c r="L15" s="17">
        <v>-2.5197628458498024E-2</v>
      </c>
      <c r="M15" s="17">
        <v>-2.1956087824351298E-2</v>
      </c>
      <c r="N15" s="17">
        <v>-2.2772277227722772E-2</v>
      </c>
      <c r="O15" s="17">
        <v>-2.0161290322580645E-2</v>
      </c>
      <c r="P15" s="17">
        <v>-2.5087807325639738E-2</v>
      </c>
      <c r="Q15" s="17">
        <v>-1.7535070140280561E-2</v>
      </c>
      <c r="R15" s="17">
        <v>-1.7641129032258066E-2</v>
      </c>
      <c r="S15" s="17">
        <v>8.7493566649511061E-3</v>
      </c>
      <c r="T15" s="17">
        <v>3.0487804878048782E-3</v>
      </c>
      <c r="U15" s="17">
        <v>7.8534031413612562E-3</v>
      </c>
      <c r="V15" s="17">
        <v>8.3594566353187051E-3</v>
      </c>
      <c r="W15" s="17">
        <v>-5.7531380753138078E-3</v>
      </c>
      <c r="X15" s="17">
        <v>5.2882072977260709E-3</v>
      </c>
      <c r="Y15" s="17">
        <v>-1.0526315789473684E-3</v>
      </c>
      <c r="Z15" s="17">
        <v>-5.7712486883525708E-3</v>
      </c>
      <c r="AA15" s="17">
        <v>-3.126628452318916E-3</v>
      </c>
      <c r="AB15" s="17">
        <v>-7.2802912116484656E-3</v>
      </c>
      <c r="AC15" s="17">
        <v>-6.2630480167014616E-3</v>
      </c>
      <c r="AD15" s="17">
        <v>-1.5723270440251573E-3</v>
      </c>
      <c r="AE15" s="17">
        <v>0</v>
      </c>
      <c r="AF15" s="17">
        <v>0</v>
      </c>
      <c r="AG15" s="17">
        <v>0</v>
      </c>
      <c r="AH15" s="17">
        <v>0</v>
      </c>
      <c r="AI15" s="17">
        <v>0</v>
      </c>
      <c r="AJ15" s="17">
        <v>0</v>
      </c>
      <c r="AK15" s="17">
        <v>-3.1479538300104933E-3</v>
      </c>
      <c r="AL15" s="17">
        <v>-9.7988653945332641E-3</v>
      </c>
      <c r="AM15" s="17">
        <v>-4.6177526936890716E-3</v>
      </c>
      <c r="AN15" s="17">
        <v>-5.1413881748071976E-3</v>
      </c>
      <c r="AO15" s="17">
        <v>-5.1813471502590676E-3</v>
      </c>
      <c r="AP15" s="17">
        <v>-5.2328623757195189E-4</v>
      </c>
      <c r="AQ15" s="17">
        <v>0</v>
      </c>
      <c r="AR15" s="17">
        <v>-5.7864281956864806E-3</v>
      </c>
      <c r="AS15" s="17">
        <v>-8.2219938335046251E-3</v>
      </c>
      <c r="AT15" s="17">
        <v>-1.1156186612576065E-2</v>
      </c>
      <c r="AU15" s="17">
        <v>-1.0730710270822688E-2</v>
      </c>
      <c r="AV15" s="17">
        <v>-1.5299999999999999E-2</v>
      </c>
      <c r="AW15" s="17">
        <v>-1.2448133E-2</v>
      </c>
      <c r="AX15" s="17">
        <v>-1.14E-2</v>
      </c>
      <c r="AY15" s="17">
        <v>-1.3599999999999999E-2</v>
      </c>
      <c r="AZ15" s="17">
        <v>-1.1899999999999999E-2</v>
      </c>
      <c r="BA15" s="17">
        <v>-1.3796627491057742E-2</v>
      </c>
      <c r="BB15" s="17">
        <v>-1.1200000000000002E-2</v>
      </c>
      <c r="BC15" s="17">
        <v>-1.2699999999999999E-2</v>
      </c>
      <c r="BD15" s="17">
        <v>-1.5700000000000002E-2</v>
      </c>
      <c r="BE15" s="17">
        <v>-1.21E-2</v>
      </c>
      <c r="BF15" s="17">
        <v>-1.7276422764227643E-2</v>
      </c>
      <c r="BG15" s="17">
        <v>-1.52E-2</v>
      </c>
      <c r="BH15" s="17">
        <v>-7.7000000000000002E-3</v>
      </c>
      <c r="BI15" s="17">
        <v>-4.6999999999999993E-3</v>
      </c>
      <c r="BJ15" s="17">
        <v>-5.1999999999999998E-3</v>
      </c>
      <c r="BK15" s="17">
        <v>-1.1000000000000001E-2</v>
      </c>
      <c r="BL15" s="17">
        <v>-1.0931806350858927E-2</v>
      </c>
      <c r="BM15" s="17">
        <v>-1.0277492291880781E-2</v>
      </c>
      <c r="BN15" s="17">
        <v>-1.5306122448979591E-2</v>
      </c>
      <c r="BO15" s="17">
        <v>-1.0183299389002037E-2</v>
      </c>
      <c r="BP15" s="17">
        <v>-1.6227180527383367E-2</v>
      </c>
      <c r="BQ15" s="17">
        <v>-1.5189873417721518E-2</v>
      </c>
      <c r="BR15" s="17">
        <v>-1.37E-2</v>
      </c>
      <c r="BS15" s="17">
        <v>-8.8037286380113922E-3</v>
      </c>
      <c r="BT15" s="17">
        <v>-1.9807008633824275E-2</v>
      </c>
      <c r="BU15" s="17">
        <v>-1.4728288471305232E-2</v>
      </c>
      <c r="BV15" s="17">
        <v>-1.0847107E-2</v>
      </c>
      <c r="BW15" s="17">
        <v>-1.0330578512396695E-2</v>
      </c>
      <c r="BX15" s="17">
        <v>-5.2910052910052907E-3</v>
      </c>
      <c r="BY15" s="17">
        <v>-8.9615181866104371E-3</v>
      </c>
      <c r="BZ15" s="17">
        <v>-1.0971786833855799E-2</v>
      </c>
      <c r="CA15" s="17">
        <v>-1.2684989429175475E-2</v>
      </c>
      <c r="CB15" s="17">
        <v>-1.0498687664041995E-2</v>
      </c>
      <c r="CC15" s="17">
        <v>-1.3457556935817806E-2</v>
      </c>
      <c r="CD15" s="17">
        <v>-1.3499480789200415E-2</v>
      </c>
      <c r="CE15" s="17">
        <v>-1.5756302521008403E-2</v>
      </c>
      <c r="CF15" s="17">
        <v>-1.5789473684210527E-2</v>
      </c>
      <c r="CG15" s="17">
        <v>-1.5772870662460567E-2</v>
      </c>
      <c r="CH15" s="17">
        <v>-1.9003595274781716E-2</v>
      </c>
      <c r="CI15" s="17">
        <v>-2.0481310803891449E-2</v>
      </c>
      <c r="CJ15" s="17">
        <v>-2.072538860103627E-2</v>
      </c>
      <c r="CK15" s="17">
        <v>-1.646090534979424E-2</v>
      </c>
      <c r="CL15" s="17">
        <v>8.2987551867219917E-3</v>
      </c>
      <c r="CM15" s="17">
        <v>-1.7206477732793522E-2</v>
      </c>
      <c r="CN15" s="17">
        <v>5.0968399592252805E-3</v>
      </c>
      <c r="CO15" s="17">
        <v>1.0256410256410256E-3</v>
      </c>
      <c r="CP15" s="17">
        <v>1.3238289205702648E-2</v>
      </c>
      <c r="CQ15" s="17">
        <v>-4.0221216691804923E-3</v>
      </c>
      <c r="CR15" s="17">
        <v>1.998001998001998E-3</v>
      </c>
      <c r="CS15" s="17">
        <v>-6.923837784371909E-3</v>
      </c>
      <c r="CT15" s="17">
        <v>-2.6745913818722138E-2</v>
      </c>
      <c r="CU15" s="17">
        <v>-1.4529058116232466E-2</v>
      </c>
      <c r="CV15" s="17">
        <v>-1.314459049544995E-2</v>
      </c>
      <c r="CW15" s="17">
        <v>-1.0791366906474821E-2</v>
      </c>
      <c r="CX15" s="17">
        <v>-3.0785017957927143E-3</v>
      </c>
      <c r="CY15" s="17">
        <v>-8.7764584408879711E-3</v>
      </c>
      <c r="CZ15" s="17">
        <v>-1.7338092809790925E-2</v>
      </c>
      <c r="DA15" s="17">
        <v>-1.4925373134328358E-2</v>
      </c>
      <c r="DB15" s="17">
        <v>-1.4410705095213588E-2</v>
      </c>
      <c r="DC15" s="17">
        <v>-2.8423772609819122E-2</v>
      </c>
      <c r="DD15" s="17">
        <v>-1.8181818181818181E-2</v>
      </c>
      <c r="DE15" s="17">
        <v>-1.8937401367701209E-2</v>
      </c>
      <c r="DF15" s="17">
        <v>-1.51911996E-2</v>
      </c>
      <c r="DG15" s="17">
        <v>-8.0428954423592495E-3</v>
      </c>
      <c r="DH15" s="17">
        <v>-1.4989293361884369E-2</v>
      </c>
      <c r="DI15" s="17">
        <v>-1.3283740701381509E-2</v>
      </c>
      <c r="DJ15" s="17">
        <v>-1.5839493136219639E-2</v>
      </c>
      <c r="DK15" s="17">
        <v>-1.9270833333333334E-2</v>
      </c>
      <c r="DL15" s="17">
        <v>-1.040582726326743E-2</v>
      </c>
      <c r="DM15" s="17">
        <v>-2.2082018927444796E-2</v>
      </c>
      <c r="DN15" s="17">
        <v>-1.1158342189160468E-2</v>
      </c>
      <c r="DO15" s="17">
        <v>-1.7838405036726127E-2</v>
      </c>
      <c r="DP15" s="17">
        <v>-1.7432646592709985E-2</v>
      </c>
      <c r="DQ15" s="17">
        <v>-1.5772870662460567E-2</v>
      </c>
      <c r="DR15" s="17">
        <v>-1.6649323621227889E-2</v>
      </c>
      <c r="DS15" s="17">
        <v>-3.0110935023771792E-2</v>
      </c>
      <c r="DT15" s="17">
        <v>-9.0090090090090089E-3</v>
      </c>
      <c r="DU15" s="17">
        <v>-1.3713080168776372E-2</v>
      </c>
      <c r="DV15" s="17">
        <v>-1.9781363872982821E-2</v>
      </c>
      <c r="DW15" s="17">
        <v>-2.4377593360995851E-2</v>
      </c>
      <c r="DX15" s="17">
        <v>-1.6078838174273857E-2</v>
      </c>
      <c r="DY15" s="17">
        <v>-3.0462184873949579E-2</v>
      </c>
      <c r="DZ15" s="17">
        <v>-4.6161825726141081E-2</v>
      </c>
      <c r="EA15" s="17">
        <v>-1.7297297297297298E-2</v>
      </c>
      <c r="EB15" s="17">
        <v>-2.113821138211382E-2</v>
      </c>
      <c r="EC15" s="17">
        <v>-1.8867924528301886E-2</v>
      </c>
      <c r="ED15" s="17">
        <v>-1.038819026790596E-2</v>
      </c>
      <c r="EE15" s="17">
        <v>-2.681992337164751E-2</v>
      </c>
      <c r="EF15" s="17">
        <v>-1.4230979748221127E-2</v>
      </c>
      <c r="EG15" s="17">
        <v>-5.5586436909394106E-4</v>
      </c>
      <c r="EH15" s="17">
        <v>-9.47603121516165E-3</v>
      </c>
      <c r="EI15" s="17">
        <v>-1.3927576601671309E-2</v>
      </c>
      <c r="EJ15" s="17">
        <v>-9.6099491237987555E-3</v>
      </c>
      <c r="EK15" s="17">
        <v>5.6211354693648118E-4</v>
      </c>
      <c r="EL15" s="17">
        <v>7.3363431151241536E-3</v>
      </c>
      <c r="EM15" s="17">
        <v>-1.435670900055218E-2</v>
      </c>
    </row>
    <row r="16" spans="1:143" s="17" customFormat="1" x14ac:dyDescent="0.2">
      <c r="A16" s="17" t="str">
        <f>Input!M16</f>
        <v>SR</v>
      </c>
      <c r="B16" s="17">
        <v>2.8069571207163767E-2</v>
      </c>
      <c r="C16" s="17">
        <v>2.7008429382418715E-2</v>
      </c>
      <c r="D16" s="17">
        <v>3.2880013771733517E-2</v>
      </c>
      <c r="E16" s="17">
        <v>4.2390548992355802E-2</v>
      </c>
      <c r="F16" s="17">
        <v>4.3841336116910233E-2</v>
      </c>
      <c r="G16" s="17">
        <v>4.8218029350104823E-2</v>
      </c>
      <c r="H16" s="17">
        <v>4.3358000000000001E-2</v>
      </c>
      <c r="I16" s="17">
        <v>4.1918233569087457E-2</v>
      </c>
      <c r="J16" s="17">
        <v>3.9408019273791083E-2</v>
      </c>
      <c r="K16" s="17">
        <v>3.9586919104991396E-2</v>
      </c>
      <c r="L16" s="17">
        <v>4.1133299197815325E-2</v>
      </c>
      <c r="M16" s="17">
        <v>4.0955631399317405E-2</v>
      </c>
      <c r="N16" s="17">
        <v>4.58184295690683E-2</v>
      </c>
      <c r="O16" s="17">
        <v>4.885548343013324E-2</v>
      </c>
      <c r="P16" s="17">
        <v>5.1644792909493781E-2</v>
      </c>
      <c r="Q16" s="17">
        <v>5.0830053054937534E-2</v>
      </c>
      <c r="R16" s="17">
        <v>5.5061559507523943E-2</v>
      </c>
      <c r="S16" s="17">
        <v>-7.1942446043165471E-3</v>
      </c>
      <c r="T16" s="17">
        <v>-5.1265619993591796E-3</v>
      </c>
      <c r="U16" s="17">
        <v>5.1712992889463476E-3</v>
      </c>
      <c r="V16" s="17">
        <v>3.376748673420164E-3</v>
      </c>
      <c r="W16" s="17">
        <v>6.4143681847338033E-4</v>
      </c>
      <c r="X16" s="17">
        <v>4.9528678702668158E-3</v>
      </c>
      <c r="Y16" s="17">
        <v>7.8262258425171698E-3</v>
      </c>
      <c r="Z16" s="17">
        <v>1.0408326661329063E-2</v>
      </c>
      <c r="AA16" s="17">
        <v>9.2622165442350687E-3</v>
      </c>
      <c r="AB16" s="17">
        <v>8.1352687828999837E-3</v>
      </c>
      <c r="AC16" s="17">
        <v>6.529702181876095E-3</v>
      </c>
      <c r="AD16" s="17">
        <v>8.5768742058449816E-3</v>
      </c>
      <c r="AE16" s="17">
        <v>1.5025575447570333E-2</v>
      </c>
      <c r="AF16" s="17">
        <v>2.3760165842768299E-2</v>
      </c>
      <c r="AG16" s="17">
        <v>3.2817627754336614E-3</v>
      </c>
      <c r="AH16" s="17">
        <v>-1.3046815042210284E-2</v>
      </c>
      <c r="AI16" s="17">
        <v>-8.8848039215686271E-3</v>
      </c>
      <c r="AJ16" s="17">
        <v>-4.3023970497848806E-3</v>
      </c>
      <c r="AK16" s="17">
        <v>-3.6900369003690036E-3</v>
      </c>
      <c r="AL16" s="17">
        <v>-3.3835742848354351E-3</v>
      </c>
      <c r="AM16" s="17">
        <v>3.0778701138811941E-4</v>
      </c>
      <c r="AN16" s="17">
        <v>1.1515717398070339E-2</v>
      </c>
      <c r="AO16" s="17">
        <v>1.2303379535897834E-2</v>
      </c>
      <c r="AP16" s="17">
        <v>1.5149148836482898E-2</v>
      </c>
      <c r="AQ16" s="17">
        <v>7.4280408542246983E-3</v>
      </c>
      <c r="AR16" s="17">
        <v>-1.945645460160593E-2</v>
      </c>
      <c r="AS16" s="17">
        <v>-2.081727062451812E-2</v>
      </c>
      <c r="AT16" s="17">
        <v>-4.7021943573667714E-3</v>
      </c>
      <c r="AU16" s="17">
        <v>6.1407652338214451E-3</v>
      </c>
      <c r="AV16" s="17">
        <v>2.7000000000000001E-3</v>
      </c>
      <c r="AW16" s="17">
        <v>3.2920520000000002E-3</v>
      </c>
      <c r="AX16" s="17">
        <v>-5.7999999999999996E-3</v>
      </c>
      <c r="AY16" s="17">
        <v>-1.0699999999999999E-2</v>
      </c>
      <c r="AZ16" s="17">
        <v>-9.8999999999999991E-3</v>
      </c>
      <c r="BA16" s="17">
        <v>-1.2611504152568441E-2</v>
      </c>
      <c r="BB16" s="17">
        <v>-1.2500000000000001E-2</v>
      </c>
      <c r="BC16" s="17">
        <v>-6.0000000000000001E-3</v>
      </c>
      <c r="BD16" s="17">
        <v>-1.3000000000000001E-2</v>
      </c>
      <c r="BE16" s="17">
        <v>-2.8000000000000004E-3</v>
      </c>
      <c r="BF16" s="17">
        <v>-4.496821212591099E-3</v>
      </c>
      <c r="BG16" s="17">
        <v>-8.9999999999999998E-4</v>
      </c>
      <c r="BH16" s="17">
        <v>1.26E-2</v>
      </c>
      <c r="BI16" s="17">
        <v>1.01E-2</v>
      </c>
      <c r="BJ16" s="17">
        <v>1.7100000000000001E-2</v>
      </c>
      <c r="BK16" s="17">
        <v>8.8000000000000005E-3</v>
      </c>
      <c r="BL16" s="17">
        <v>6.5543071161048693E-3</v>
      </c>
      <c r="BM16" s="17">
        <v>6.397253861756904E-3</v>
      </c>
      <c r="BN16" s="17">
        <v>1.1447389054414302E-2</v>
      </c>
      <c r="BO16" s="17">
        <v>1.43E-2</v>
      </c>
      <c r="BP16" s="17">
        <v>2.8442873212277037E-2</v>
      </c>
      <c r="BQ16" s="17">
        <v>2.7947317699967878E-2</v>
      </c>
      <c r="BR16" s="17">
        <v>3.2300000000000002E-2</v>
      </c>
      <c r="BS16" s="17">
        <v>3.2486330009649407E-2</v>
      </c>
      <c r="BT16" s="17">
        <v>2.9529130087789304E-2</v>
      </c>
      <c r="BU16" s="17">
        <v>3.5090530363723761E-2</v>
      </c>
      <c r="BV16" s="17">
        <v>4.5134443000000003E-2</v>
      </c>
      <c r="BW16" s="17">
        <v>3.5422343324250684E-2</v>
      </c>
      <c r="BX16" s="17">
        <v>4.1599484037407285E-2</v>
      </c>
      <c r="BY16" s="17">
        <v>4.4800258774057904E-2</v>
      </c>
      <c r="BZ16" s="17">
        <v>7.5657894736842105E-2</v>
      </c>
      <c r="CA16" s="17">
        <v>6.9100391134289438E-2</v>
      </c>
      <c r="CB16" s="17">
        <v>7.3122852936365126E-2</v>
      </c>
      <c r="CC16" s="17">
        <v>7.9657669519420674E-2</v>
      </c>
      <c r="CD16" s="17">
        <v>7.1195297191378182E-2</v>
      </c>
      <c r="CE16" s="17">
        <v>6.0139406710974223E-2</v>
      </c>
      <c r="CF16" s="17">
        <v>6.4799739498534681E-2</v>
      </c>
      <c r="CG16" s="17">
        <v>6.7929457870672769E-2</v>
      </c>
      <c r="CH16" s="17">
        <v>6.4348391290217744E-2</v>
      </c>
      <c r="CI16" s="17">
        <v>6.9972272060022836E-2</v>
      </c>
      <c r="CJ16" s="17">
        <v>6.5875941657316875E-2</v>
      </c>
      <c r="CK16" s="17">
        <v>7.3336571151044194E-2</v>
      </c>
      <c r="CL16" s="17">
        <v>2.0186335403726708E-2</v>
      </c>
      <c r="CM16" s="17">
        <v>3.6392405063291139E-2</v>
      </c>
      <c r="CN16" s="17">
        <v>3.7825059101654845E-2</v>
      </c>
      <c r="CO16" s="17">
        <v>2.2356776897997206E-2</v>
      </c>
      <c r="CP16" s="17">
        <v>2.1388716676999379E-2</v>
      </c>
      <c r="CQ16" s="17">
        <v>1.3046815042210284E-2</v>
      </c>
      <c r="CR16" s="17">
        <v>1.6018306636155607E-2</v>
      </c>
      <c r="CS16" s="17">
        <v>1.8320610687022901E-2</v>
      </c>
      <c r="CT16" s="17">
        <v>1.9877675840978593E-2</v>
      </c>
      <c r="CU16" s="17">
        <v>2.5168815224063844E-2</v>
      </c>
      <c r="CV16" s="17">
        <v>2.9072450392247345E-2</v>
      </c>
      <c r="CW16" s="17">
        <v>2.2154316271963331E-2</v>
      </c>
      <c r="CX16" s="17">
        <v>1.7927681555758128E-2</v>
      </c>
      <c r="CY16" s="17">
        <v>2.243247367617885E-2</v>
      </c>
      <c r="CZ16" s="17">
        <v>4.0310077519379844E-2</v>
      </c>
      <c r="DA16" s="17">
        <v>4.0553285130462122E-2</v>
      </c>
      <c r="DB16" s="17">
        <v>3.3343818810946842E-2</v>
      </c>
      <c r="DC16" s="17">
        <v>3.2401524777636595E-2</v>
      </c>
      <c r="DD16" s="17">
        <v>3.1682853048877566E-2</v>
      </c>
      <c r="DE16" s="17">
        <v>3.5691523263224986E-2</v>
      </c>
      <c r="DF16" s="17">
        <v>3.4978437949209393E-2</v>
      </c>
      <c r="DG16" s="17">
        <v>3.04E-2</v>
      </c>
      <c r="DH16" s="17">
        <v>3.3541967581447597E-2</v>
      </c>
      <c r="DI16" s="17">
        <v>3.3762057877813507E-2</v>
      </c>
      <c r="DJ16" s="17">
        <v>3.4538411878631374E-2</v>
      </c>
      <c r="DK16" s="17">
        <v>3.6094102481469548E-2</v>
      </c>
      <c r="DL16" s="17">
        <v>3.7277147487844407E-2</v>
      </c>
      <c r="DM16" s="17">
        <v>3.6428110896196006E-2</v>
      </c>
      <c r="DN16" s="17">
        <v>2.9222864482980091E-2</v>
      </c>
      <c r="DO16" s="17">
        <v>2.8746770025839793E-2</v>
      </c>
      <c r="DP16" s="17">
        <v>3.2741488841830917E-2</v>
      </c>
      <c r="DQ16" s="17">
        <v>3.1706916379168719E-2</v>
      </c>
      <c r="DR16" s="17">
        <v>3.3862260755766399E-2</v>
      </c>
      <c r="DS16" s="17">
        <v>4.1838928394245078E-2</v>
      </c>
      <c r="DT16" s="17">
        <v>3.3078051165064362E-2</v>
      </c>
      <c r="DU16" s="17">
        <v>3.7735849056603772E-2</v>
      </c>
      <c r="DV16" s="17">
        <v>3.7735849056603772E-2</v>
      </c>
      <c r="DW16" s="17">
        <v>2.7540666774037686E-2</v>
      </c>
      <c r="DX16" s="17">
        <v>2.7044430135222151E-2</v>
      </c>
      <c r="DY16" s="17">
        <v>3.6565977742448331E-2</v>
      </c>
      <c r="DZ16" s="17">
        <v>3.2298923369221029E-2</v>
      </c>
      <c r="EA16" s="17">
        <v>3.7630104083266613E-2</v>
      </c>
      <c r="EB16" s="17">
        <v>2.8498646712306959E-2</v>
      </c>
      <c r="EC16" s="17">
        <v>2.9693486590038315E-2</v>
      </c>
      <c r="ED16" s="17">
        <v>3.0845453092536359E-2</v>
      </c>
      <c r="EE16" s="17">
        <v>3.781174577634755E-2</v>
      </c>
      <c r="EF16" s="17">
        <v>3.5479210146090866E-2</v>
      </c>
      <c r="EG16" s="17">
        <v>4.5042125729099158E-2</v>
      </c>
      <c r="EH16" s="17">
        <v>3.781174577634755E-2</v>
      </c>
      <c r="EI16" s="17">
        <v>5.4859189321178579E-2</v>
      </c>
      <c r="EJ16" s="17">
        <v>5.4859189321178579E-2</v>
      </c>
      <c r="EK16" s="17">
        <v>5.3484602917341979E-2</v>
      </c>
      <c r="EL16" s="17">
        <v>6.0460652591170824E-2</v>
      </c>
      <c r="EM16" s="17">
        <v>3.4699324854765269E-2</v>
      </c>
    </row>
    <row r="17" spans="1:143" s="17" customFormat="1" x14ac:dyDescent="0.2">
      <c r="A17" s="17" t="str">
        <f>Input!M17</f>
        <v>IC</v>
      </c>
      <c r="B17" s="17">
        <v>-1.0631977235065058E-4</v>
      </c>
      <c r="C17" s="17">
        <v>-1.4622523981562736E-3</v>
      </c>
      <c r="D17" s="17">
        <v>-2.5477607265893404E-3</v>
      </c>
      <c r="E17" s="17">
        <v>1.3554834032085121E-4</v>
      </c>
      <c r="F17" s="17">
        <v>-1.8817966903072656E-3</v>
      </c>
      <c r="G17" s="17">
        <v>-3.6224976167774793E-4</v>
      </c>
      <c r="H17" s="17">
        <v>-1.5E-3</v>
      </c>
      <c r="I17" s="17">
        <v>-9.4953879544218476E-4</v>
      </c>
      <c r="J17" s="17">
        <v>-2.3052514675550922E-3</v>
      </c>
      <c r="K17" s="17">
        <v>8.7262345285185703E-3</v>
      </c>
      <c r="L17" s="17">
        <v>1.1962590291139554E-2</v>
      </c>
      <c r="M17" s="17">
        <v>8.6881889763779641E-3</v>
      </c>
      <c r="N17" s="17">
        <v>1.0557207948360898E-2</v>
      </c>
      <c r="O17" s="17">
        <v>1.0655351249410683E-2</v>
      </c>
      <c r="P17" s="17">
        <v>8.7242114504294914E-3</v>
      </c>
      <c r="Q17" s="17">
        <v>9.8881769066465688E-3</v>
      </c>
      <c r="R17" s="17">
        <v>7.2670025188916647E-3</v>
      </c>
      <c r="S17" s="17">
        <v>-3.4439173584671083E-3</v>
      </c>
      <c r="T17" s="17">
        <v>-3.1327014218009365E-3</v>
      </c>
      <c r="U17" s="17">
        <v>-1.8094321462944732E-3</v>
      </c>
      <c r="V17" s="17">
        <v>-2.532947605271652E-3</v>
      </c>
      <c r="W17" s="17">
        <v>1.7799561460079909E-3</v>
      </c>
      <c r="X17" s="17">
        <v>1.1334563943085747E-5</v>
      </c>
      <c r="Y17" s="17">
        <v>3.5482825664291226E-3</v>
      </c>
      <c r="Z17" s="17">
        <v>1.0023980815348421E-3</v>
      </c>
      <c r="AA17" s="17">
        <v>-4.8439354569666641E-4</v>
      </c>
      <c r="AB17" s="17">
        <v>7.2025525574163866E-3</v>
      </c>
      <c r="AC17" s="17">
        <v>8.207516864761616E-4</v>
      </c>
      <c r="AD17" s="17">
        <v>6.0560723346127455E-3</v>
      </c>
      <c r="AE17" s="17">
        <v>7.1348224329109906E-4</v>
      </c>
      <c r="AF17" s="17">
        <v>4.8060035126939457E-4</v>
      </c>
      <c r="AG17" s="17">
        <v>6.6859530697522575E-4</v>
      </c>
      <c r="AH17" s="17">
        <v>5.6636885768988226E-4</v>
      </c>
      <c r="AI17" s="17">
        <v>1.1653593724987588E-3</v>
      </c>
      <c r="AJ17" s="17">
        <v>1.2243311524259069E-3</v>
      </c>
      <c r="AK17" s="17">
        <v>4.311187899335104E-3</v>
      </c>
      <c r="AL17" s="17">
        <v>5.502518352700954E-3</v>
      </c>
      <c r="AM17" s="17">
        <v>4.1464125996500331E-3</v>
      </c>
      <c r="AN17" s="17">
        <v>6.7693090724011331E-3</v>
      </c>
      <c r="AO17" s="17">
        <v>2.814232018857118E-3</v>
      </c>
      <c r="AP17" s="17">
        <v>6.7102744097001276E-3</v>
      </c>
      <c r="AQ17" s="17">
        <v>8.9506668809255698E-3</v>
      </c>
      <c r="AR17" s="17">
        <v>1.2763971156322898E-3</v>
      </c>
      <c r="AS17" s="17">
        <v>3.126399999999994E-3</v>
      </c>
      <c r="AT17" s="17">
        <v>7.8476547603914155E-3</v>
      </c>
      <c r="AU17" s="17">
        <v>4.2561469032057833E-3</v>
      </c>
      <c r="AV17" s="17">
        <v>7.1000000000000004E-3</v>
      </c>
      <c r="AW17" s="17">
        <v>5.8400889999999997E-3</v>
      </c>
      <c r="AX17" s="17">
        <v>2.0000000000000001E-4</v>
      </c>
      <c r="AY17" s="17">
        <v>8.9999999999999998E-4</v>
      </c>
      <c r="AZ17" s="17">
        <v>1E-3</v>
      </c>
      <c r="BA17" s="17">
        <v>3.2292609351432661E-3</v>
      </c>
      <c r="BB17" s="17">
        <v>8.9999999999999998E-4</v>
      </c>
      <c r="BC17" s="17">
        <v>3.2000000000000002E-3</v>
      </c>
      <c r="BD17" s="17">
        <v>2.3999999999999998E-3</v>
      </c>
      <c r="BE17" s="17">
        <v>2.8000000000000004E-3</v>
      </c>
      <c r="BF17" s="17">
        <v>5.236950020041215E-3</v>
      </c>
      <c r="BG17" s="17">
        <v>4.3E-3</v>
      </c>
      <c r="BH17" s="17">
        <v>7.0999999999999995E-3</v>
      </c>
      <c r="BI17" s="17">
        <v>6.8999999999999999E-3</v>
      </c>
      <c r="BJ17" s="17">
        <v>8.1000000000000013E-3</v>
      </c>
      <c r="BK17" s="17">
        <v>6.8000000000000005E-3</v>
      </c>
      <c r="BL17" s="17">
        <v>9.0836161678494454E-3</v>
      </c>
      <c r="BM17" s="17">
        <v>7.0583775587566618E-3</v>
      </c>
      <c r="BN17" s="17">
        <v>3.4218191645896466E-3</v>
      </c>
      <c r="BO17" s="17">
        <v>9.4999999999999998E-3</v>
      </c>
      <c r="BP17" s="17">
        <v>8.8390501319261048E-3</v>
      </c>
      <c r="BQ17" s="17">
        <v>6.3775899423270856E-3</v>
      </c>
      <c r="BR17" s="17">
        <v>-1E-4</v>
      </c>
      <c r="BS17" s="17">
        <v>-1.8973966309340608E-3</v>
      </c>
      <c r="BT17" s="17">
        <v>2.4700326916092473E-3</v>
      </c>
      <c r="BU17" s="17">
        <v>-1.1008897602165035E-4</v>
      </c>
      <c r="BV17" s="17">
        <v>2.2443850000000002E-3</v>
      </c>
      <c r="BW17" s="17">
        <v>5.3388765926896411E-4</v>
      </c>
      <c r="BX17" s="17">
        <v>1.4209671598700555E-3</v>
      </c>
      <c r="BY17" s="17">
        <v>5.1026515831685136E-4</v>
      </c>
      <c r="BZ17" s="17">
        <v>2.5212354053476927E-4</v>
      </c>
      <c r="CA17" s="17">
        <v>1.8246733515649071E-3</v>
      </c>
      <c r="CB17" s="17">
        <v>3.0283662040419628E-3</v>
      </c>
      <c r="CC17" s="17">
        <v>2.8283752860411844E-3</v>
      </c>
      <c r="CD17" s="17">
        <v>3.4512018266530733E-3</v>
      </c>
      <c r="CE17" s="17">
        <v>7.2560787934749993E-3</v>
      </c>
      <c r="CF17" s="17">
        <v>4.2542802209538863E-3</v>
      </c>
      <c r="CG17" s="17">
        <v>3.0416704329747205E-3</v>
      </c>
      <c r="CH17" s="17">
        <v>6.8493150684940777E-4</v>
      </c>
      <c r="CI17" s="17">
        <v>1.5737951807228642E-3</v>
      </c>
      <c r="CJ17" s="17">
        <v>-7.0136969842605915E-4</v>
      </c>
      <c r="CK17" s="17">
        <v>-8.8614069928391517E-4</v>
      </c>
      <c r="CL17" s="17">
        <v>-1.1508721452975156E-3</v>
      </c>
      <c r="CM17" s="17">
        <v>2.9310085675632319E-4</v>
      </c>
      <c r="CN17" s="17">
        <v>-1.5650569787855092E-3</v>
      </c>
      <c r="CO17" s="17">
        <v>5.9577951609959693E-4</v>
      </c>
      <c r="CP17" s="17">
        <v>-3.3735525635964116E-4</v>
      </c>
      <c r="CQ17" s="17">
        <v>4.439663009878449E-4</v>
      </c>
      <c r="CR17" s="17">
        <v>1.436973261383689E-3</v>
      </c>
      <c r="CS17" s="17">
        <v>1.9710144927536344E-3</v>
      </c>
      <c r="CT17" s="17">
        <v>1.1087387524783342E-3</v>
      </c>
      <c r="CU17" s="17">
        <v>-9.8352103599606638E-4</v>
      </c>
      <c r="CV17" s="17">
        <v>5.3038057132224071E-4</v>
      </c>
      <c r="CW17" s="17">
        <v>1.7209215558249709E-3</v>
      </c>
      <c r="CX17" s="17">
        <v>1.4463132274471131E-3</v>
      </c>
      <c r="CY17" s="17">
        <v>-1.1421477343264545E-3</v>
      </c>
      <c r="CZ17" s="17">
        <v>4.8272598201615398E-4</v>
      </c>
      <c r="DA17" s="17">
        <v>5.8552673507105977E-3</v>
      </c>
      <c r="DB17" s="17">
        <v>5.5964467005075735E-3</v>
      </c>
      <c r="DC17" s="17">
        <v>9.5695594463054614E-3</v>
      </c>
      <c r="DD17" s="17">
        <v>4.7458000377524814E-3</v>
      </c>
      <c r="DE17" s="17">
        <v>-2.0624724478877766E-4</v>
      </c>
      <c r="DF17" s="17">
        <v>1.2837496845824387E-3</v>
      </c>
      <c r="DG17" s="17">
        <v>-5.5140068449733225E-4</v>
      </c>
      <c r="DH17" s="17">
        <v>1.5189511777029567E-3</v>
      </c>
      <c r="DI17" s="17">
        <v>1.9854210627278076E-3</v>
      </c>
      <c r="DJ17" s="17">
        <v>3.4652986158164038E-3</v>
      </c>
      <c r="DK17" s="17">
        <v>3.4451901565996164E-3</v>
      </c>
      <c r="DL17" s="17">
        <v>3.4909264565425487E-3</v>
      </c>
      <c r="DM17" s="17">
        <v>5.074631615798404E-3</v>
      </c>
      <c r="DN17" s="17">
        <v>4.2386461972373848E-3</v>
      </c>
      <c r="DO17" s="17">
        <v>3.4810227599194766E-3</v>
      </c>
      <c r="DP17" s="17">
        <v>3.0259873263778986E-3</v>
      </c>
      <c r="DQ17" s="17">
        <v>3.6418575063614099E-3</v>
      </c>
      <c r="DR17" s="17">
        <v>6.850915375752208E-3</v>
      </c>
      <c r="DS17" s="17">
        <v>5.2436915588574351E-3</v>
      </c>
      <c r="DT17" s="17">
        <v>8.1541858803663471E-3</v>
      </c>
      <c r="DU17" s="17">
        <v>7.7807870521439193E-3</v>
      </c>
      <c r="DV17" s="17">
        <v>1.2352183391689232E-2</v>
      </c>
      <c r="DW17" s="17">
        <v>1.1982326562912057E-2</v>
      </c>
      <c r="DX17" s="17">
        <v>1.1279012345679084E-2</v>
      </c>
      <c r="DY17" s="17">
        <v>1.0156684439501548E-3</v>
      </c>
      <c r="DZ17" s="17">
        <v>4.1470713980332396E-3</v>
      </c>
      <c r="EA17" s="17">
        <v>3.4684398703510723E-3</v>
      </c>
      <c r="EB17" s="17">
        <v>4.9646354733407113E-4</v>
      </c>
      <c r="EC17" s="17">
        <v>5.2469135802468703E-3</v>
      </c>
      <c r="ED17" s="17">
        <v>6.4190188282456061E-3</v>
      </c>
      <c r="EE17" s="17">
        <v>4.4812088842572199E-3</v>
      </c>
      <c r="EF17" s="17">
        <v>3.7660919350033599E-3</v>
      </c>
      <c r="EG17" s="17">
        <v>6.9681752967261932E-3</v>
      </c>
      <c r="EH17" s="17">
        <v>6.8225299134213055E-3</v>
      </c>
      <c r="EI17" s="17">
        <v>4.9214574898785958E-3</v>
      </c>
      <c r="EJ17" s="17">
        <v>7.5116066174067755E-3</v>
      </c>
      <c r="EK17" s="17">
        <v>5.9124493265332928E-3</v>
      </c>
      <c r="EL17" s="17">
        <v>7.372478268000626E-3</v>
      </c>
      <c r="EM17" s="17">
        <v>5.1329743840757116E-3</v>
      </c>
    </row>
    <row r="18" spans="1:143" s="17" customFormat="1" x14ac:dyDescent="0.2">
      <c r="A18" s="17" t="str">
        <f>Input!M18</f>
        <v>IH</v>
      </c>
      <c r="B18" s="17">
        <v>-3.3138951592675287E-3</v>
      </c>
      <c r="C18" s="17">
        <v>-2.7617842454919386E-3</v>
      </c>
      <c r="D18" s="17">
        <v>-2.6079588250062596E-3</v>
      </c>
      <c r="E18" s="17">
        <v>-3.5396835403139438E-3</v>
      </c>
      <c r="F18" s="17">
        <v>-3.981848395756115E-3</v>
      </c>
      <c r="G18" s="17">
        <v>-6.4000000000000005E-4</v>
      </c>
      <c r="H18" s="17">
        <v>-1.91E-3</v>
      </c>
      <c r="I18" s="17">
        <v>-1.0552371026577112E-3</v>
      </c>
      <c r="J18" s="17">
        <v>-1.7155741454806875E-3</v>
      </c>
      <c r="K18" s="17">
        <v>-6.8310087577035175E-3</v>
      </c>
      <c r="L18" s="17">
        <v>-8.294839646298114E-3</v>
      </c>
      <c r="M18" s="17">
        <v>-7.7476462007690927E-3</v>
      </c>
      <c r="N18" s="17">
        <v>-7.3236349143085498E-3</v>
      </c>
      <c r="O18" s="17">
        <v>-8.6642115835286609E-3</v>
      </c>
      <c r="P18" s="17">
        <v>-8.0902124226943269E-3</v>
      </c>
      <c r="Q18" s="17">
        <v>-7.9226661258703628E-3</v>
      </c>
      <c r="R18" s="17">
        <v>-8.2994992556502042E-3</v>
      </c>
      <c r="S18" s="17">
        <v>-1.6422985379122501E-3</v>
      </c>
      <c r="T18" s="17">
        <v>-2.1607694950188812E-3</v>
      </c>
      <c r="U18" s="17">
        <v>-2.3741358843656804E-3</v>
      </c>
      <c r="V18" s="17">
        <v>-3.751743375174255E-3</v>
      </c>
      <c r="W18" s="17">
        <v>-6.3595427779702552E-3</v>
      </c>
      <c r="X18" s="17">
        <v>-5.7730888965755985E-3</v>
      </c>
      <c r="Y18" s="17">
        <v>-5.3573892645233196E-3</v>
      </c>
      <c r="Z18" s="17">
        <v>-5.2560832701454467E-3</v>
      </c>
      <c r="AA18" s="17">
        <v>-5.0734083424809331E-3</v>
      </c>
      <c r="AB18" s="17">
        <v>-2.3867341982930878E-3</v>
      </c>
      <c r="AC18" s="17">
        <v>-4.2127985516330207E-3</v>
      </c>
      <c r="AD18" s="17">
        <v>-4.3505897309132572E-3</v>
      </c>
      <c r="AE18" s="17">
        <v>-1.1325947357279076E-3</v>
      </c>
      <c r="AF18" s="17">
        <v>-2.2786230105855578E-4</v>
      </c>
      <c r="AG18" s="17">
        <v>-1.8582147114508734E-3</v>
      </c>
      <c r="AH18" s="17">
        <v>-1.8082743301402319E-3</v>
      </c>
      <c r="AI18" s="17">
        <v>-8.9285714285719975E-4</v>
      </c>
      <c r="AJ18" s="17">
        <v>-6.8445068445062061E-4</v>
      </c>
      <c r="AK18" s="17">
        <v>-1.2728551336145888E-3</v>
      </c>
      <c r="AL18" s="17">
        <v>-7.2952129507396278E-4</v>
      </c>
      <c r="AM18" s="17">
        <v>3.7450586032315941E-4</v>
      </c>
      <c r="AN18" s="17">
        <v>-1.8907416451545639E-3</v>
      </c>
      <c r="AO18" s="17">
        <v>-6.9400408652145419E-4</v>
      </c>
      <c r="AP18" s="17">
        <v>-2.0846362309776944E-3</v>
      </c>
      <c r="AQ18" s="17">
        <v>-2.3433147632312039E-3</v>
      </c>
      <c r="AR18" s="17">
        <v>-3.3598615916955142E-3</v>
      </c>
      <c r="AS18" s="17">
        <v>-2.7455849889624845E-3</v>
      </c>
      <c r="AT18" s="17">
        <v>-4.9552856380138512E-3</v>
      </c>
      <c r="AU18" s="17">
        <v>-3.5579781962338888E-3</v>
      </c>
      <c r="AV18" s="17">
        <v>-1.9E-3</v>
      </c>
      <c r="AW18" s="17">
        <v>-2.4414530000000001E-3</v>
      </c>
      <c r="AX18" s="17">
        <v>-5.0000000000000001E-4</v>
      </c>
      <c r="AY18" s="17">
        <v>2.0000000000000001E-4</v>
      </c>
      <c r="AZ18" s="17">
        <v>-1.7000000000000001E-3</v>
      </c>
      <c r="BA18" s="17">
        <v>-6.8907913969514097E-4</v>
      </c>
      <c r="BB18" s="17">
        <v>-8.9999999999999998E-4</v>
      </c>
      <c r="BC18" s="17">
        <v>0</v>
      </c>
      <c r="BD18" s="17">
        <v>-2.3999999999999998E-3</v>
      </c>
      <c r="BE18" s="17">
        <v>-2.3E-3</v>
      </c>
      <c r="BF18" s="17">
        <v>-1.7369727047146725E-3</v>
      </c>
      <c r="BG18" s="17">
        <v>-5.9999999999999995E-4</v>
      </c>
      <c r="BH18" s="17">
        <v>-2.5999999999999999E-3</v>
      </c>
      <c r="BI18" s="17">
        <v>-2.3E-3</v>
      </c>
      <c r="BJ18" s="17">
        <v>-1.6000000000000001E-3</v>
      </c>
      <c r="BK18" s="17">
        <v>-5.9999999999999995E-4</v>
      </c>
      <c r="BL18" s="17">
        <v>-6.3633131887663123E-4</v>
      </c>
      <c r="BM18" s="17">
        <v>-1.5672973937878873E-3</v>
      </c>
      <c r="BN18" s="17">
        <v>-8.9805302105036274E-4</v>
      </c>
      <c r="BO18" s="17">
        <v>-1E-3</v>
      </c>
      <c r="BP18" s="17">
        <v>-3.3364763908031938E-4</v>
      </c>
      <c r="BQ18" s="17">
        <v>3.652300949598247E-4</v>
      </c>
      <c r="BR18" s="17">
        <v>-1.1999999999999999E-3</v>
      </c>
      <c r="BS18" s="17">
        <v>-9.3948000873948789E-4</v>
      </c>
      <c r="BT18" s="17">
        <v>3.762969457839198E-4</v>
      </c>
      <c r="BU18" s="17">
        <v>-6.0739114526156405E-4</v>
      </c>
      <c r="BV18" s="17">
        <v>-1.73789E-3</v>
      </c>
      <c r="BW18" s="17">
        <v>-9.1544117647050804E-4</v>
      </c>
      <c r="BX18" s="17">
        <v>-1.0904000589405571E-3</v>
      </c>
      <c r="BY18" s="17">
        <v>-7.3073516386183137E-4</v>
      </c>
      <c r="BZ18" s="17">
        <v>-4.7425978277042102E-3</v>
      </c>
      <c r="CA18" s="17">
        <v>-3.9913619778093132E-3</v>
      </c>
      <c r="CB18" s="17">
        <v>-2.6673169267705855E-3</v>
      </c>
      <c r="CC18" s="17">
        <v>-3.1425155070623676E-3</v>
      </c>
      <c r="CD18" s="17">
        <v>-3.0673019654557164E-3</v>
      </c>
      <c r="CE18" s="17">
        <v>-2.2374122217242776E-3</v>
      </c>
      <c r="CF18" s="17">
        <v>-3.1691456760595026E-3</v>
      </c>
      <c r="CG18" s="17">
        <v>-3.8890127033653719E-3</v>
      </c>
      <c r="CH18" s="17">
        <v>-3.0403640975899563E-3</v>
      </c>
      <c r="CI18" s="17">
        <v>-4.3499365245314352E-3</v>
      </c>
      <c r="CJ18" s="17">
        <v>-4.9970277901619179E-3</v>
      </c>
      <c r="CK18" s="17">
        <v>3.7425149700564765E-5</v>
      </c>
      <c r="CL18" s="17">
        <v>-1.0492905153099124E-3</v>
      </c>
      <c r="CM18" s="17">
        <v>-7.7243018419486298E-4</v>
      </c>
      <c r="CN18" s="17">
        <v>-1.6266805318278447E-3</v>
      </c>
      <c r="CO18" s="17">
        <v>-2.2092243498995196E-3</v>
      </c>
      <c r="CP18" s="17">
        <v>-1.864896930149859E-3</v>
      </c>
      <c r="CQ18" s="17">
        <v>-2.7392714938798981E-3</v>
      </c>
      <c r="CR18" s="17">
        <v>-1.9945636203349383E-3</v>
      </c>
      <c r="CS18" s="17">
        <v>-2.4113526922516148E-3</v>
      </c>
      <c r="CT18" s="17">
        <v>-3.3154253753310877E-3</v>
      </c>
      <c r="CU18" s="17">
        <v>-3.3497754546123496E-3</v>
      </c>
      <c r="CV18" s="17">
        <v>-3.6823131253679434E-3</v>
      </c>
      <c r="CW18" s="17">
        <v>-2.9750619804580387E-3</v>
      </c>
      <c r="CX18" s="17">
        <v>-3.309546348212223E-3</v>
      </c>
      <c r="CY18" s="17">
        <v>-2.5327510917030698E-3</v>
      </c>
      <c r="CZ18" s="17">
        <v>-1.7288714105512556E-3</v>
      </c>
      <c r="DA18" s="17">
        <v>-1.1741682974560986E-3</v>
      </c>
      <c r="DB18" s="17">
        <v>-1.2485896953742623E-3</v>
      </c>
      <c r="DC18" s="17">
        <v>-9.111617312064606E-5</v>
      </c>
      <c r="DD18" s="17">
        <v>-7.1106353696770669E-4</v>
      </c>
      <c r="DE18" s="17">
        <v>7.8749231714802051E-4</v>
      </c>
      <c r="DF18" s="17">
        <v>2.6968716289167712E-5</v>
      </c>
      <c r="DG18" s="17">
        <v>-2.4283071230346481E-4</v>
      </c>
      <c r="DH18" s="17">
        <v>4.0276179516692825E-4</v>
      </c>
      <c r="DI18" s="17">
        <v>1.0223048327137052E-3</v>
      </c>
      <c r="DJ18" s="17">
        <v>-1.5557107386715409E-3</v>
      </c>
      <c r="DK18" s="17">
        <v>1.0767574219341076E-4</v>
      </c>
      <c r="DL18" s="17">
        <v>1.7498478393184583E-4</v>
      </c>
      <c r="DM18" s="17">
        <v>-4.3359196713841752E-4</v>
      </c>
      <c r="DN18" s="17">
        <v>-6.6124496465768659E-4</v>
      </c>
      <c r="DO18" s="17">
        <v>-7.3534957387445235E-4</v>
      </c>
      <c r="DP18" s="17">
        <v>-2.2446226485796981E-3</v>
      </c>
      <c r="DQ18" s="17">
        <v>-4.564684925406436E-4</v>
      </c>
      <c r="DR18" s="17">
        <v>3.4482758620692385E-4</v>
      </c>
      <c r="DS18" s="17">
        <v>6.8078668683819283E-4</v>
      </c>
      <c r="DT18" s="17">
        <v>8.1705555977809943E-4</v>
      </c>
      <c r="DU18" s="17">
        <v>-1.0043369093813714E-3</v>
      </c>
      <c r="DV18" s="17">
        <v>-3.4212727134376484E-5</v>
      </c>
      <c r="DW18" s="17">
        <v>-1.1551776038529911E-3</v>
      </c>
      <c r="DX18" s="17">
        <v>-7.995172725900931E-4</v>
      </c>
      <c r="DY18" s="17">
        <v>-6.8642981066612495E-4</v>
      </c>
      <c r="DZ18" s="17">
        <v>-1.1816950173115788E-3</v>
      </c>
      <c r="EA18" s="17">
        <v>1.1723772785717624E-4</v>
      </c>
      <c r="EB18" s="17">
        <v>-8.1665516448129318E-4</v>
      </c>
      <c r="EC18" s="17">
        <v>-5.658669081035572E-5</v>
      </c>
      <c r="ED18" s="17">
        <v>3.2282859338975616E-4</v>
      </c>
      <c r="EE18" s="17">
        <v>2.5095027538592036E-3</v>
      </c>
      <c r="EF18" s="17">
        <v>2.5571483920960513E-3</v>
      </c>
      <c r="EG18" s="17">
        <v>4.2661982825916616E-3</v>
      </c>
      <c r="EH18" s="17">
        <v>5.8749210360074435E-3</v>
      </c>
      <c r="EI18" s="17">
        <v>5.9507794571496252E-3</v>
      </c>
      <c r="EJ18" s="17">
        <v>9.0489821882950711E-3</v>
      </c>
      <c r="EK18" s="17">
        <v>8.8604056859926741E-3</v>
      </c>
      <c r="EL18" s="17">
        <v>8.2310469314079357E-3</v>
      </c>
      <c r="EM18" s="17">
        <v>7.8373647358371545E-3</v>
      </c>
    </row>
    <row r="19" spans="1:143" s="17" customFormat="1" x14ac:dyDescent="0.2">
      <c r="A19" s="17" t="str">
        <f>Input!M19</f>
        <v>IF</v>
      </c>
      <c r="B19" s="17">
        <v>-2.9429142805201176E-3</v>
      </c>
      <c r="C19" s="17">
        <v>-2.5255988297678239E-3</v>
      </c>
      <c r="D19" s="17">
        <v>-3.2036978004462199E-3</v>
      </c>
      <c r="E19" s="17">
        <v>-2.4500617086438388E-3</v>
      </c>
      <c r="F19" s="17">
        <v>-3.2454923717059555E-3</v>
      </c>
      <c r="G19" s="17">
        <v>-9.4084769445737396E-4</v>
      </c>
      <c r="H19" s="17">
        <v>-2.4499999999999999E-3</v>
      </c>
      <c r="I19" s="17">
        <v>-2.0583109603880606E-3</v>
      </c>
      <c r="J19" s="17">
        <v>-1.9616595404784013E-3</v>
      </c>
      <c r="K19" s="17">
        <v>-3.0809031044202507E-4</v>
      </c>
      <c r="L19" s="17">
        <v>-5.1915418168016307E-4</v>
      </c>
      <c r="M19" s="17">
        <v>-1.7642303485662829E-3</v>
      </c>
      <c r="N19" s="17">
        <v>-4.5021438780379406E-4</v>
      </c>
      <c r="O19" s="17">
        <v>-1.6586883676400889E-3</v>
      </c>
      <c r="P19" s="17">
        <v>-1.3405918749101024E-3</v>
      </c>
      <c r="Q19" s="17">
        <v>-1.1280914043292414E-3</v>
      </c>
      <c r="R19" s="17">
        <v>-1.6504760523899104E-3</v>
      </c>
      <c r="S19" s="17">
        <v>-2.3405076730044928E-3</v>
      </c>
      <c r="T19" s="17">
        <v>-2.5899139953088125E-3</v>
      </c>
      <c r="U19" s="17">
        <v>-2.013888888888862E-3</v>
      </c>
      <c r="V19" s="17">
        <v>-3.0806627641630168E-3</v>
      </c>
      <c r="W19" s="17">
        <v>-3.8703135819565825E-3</v>
      </c>
      <c r="X19" s="17">
        <v>-5.1657690597362287E-3</v>
      </c>
      <c r="Y19" s="17">
        <v>-3.2716962524654788E-3</v>
      </c>
      <c r="Z19" s="17">
        <v>-3.9879405853228056E-3</v>
      </c>
      <c r="AA19" s="17">
        <v>-4.6579900185928086E-3</v>
      </c>
      <c r="AB19" s="17">
        <v>5.4083556614067582E-4</v>
      </c>
      <c r="AC19" s="17">
        <v>-2.5698962109549357E-3</v>
      </c>
      <c r="AD19" s="17">
        <v>-1.6683417085426816E-3</v>
      </c>
      <c r="AE19" s="17">
        <v>-1.4551192145862415E-3</v>
      </c>
      <c r="AF19" s="17">
        <v>4.0256448486653018E-4</v>
      </c>
      <c r="AG19" s="17">
        <v>-5.8281444582806746E-4</v>
      </c>
      <c r="AH19" s="17">
        <v>-6.5149795173000526E-4</v>
      </c>
      <c r="AI19" s="17">
        <v>1.4210604632706755E-3</v>
      </c>
      <c r="AJ19" s="17">
        <v>9.2950811435548822E-5</v>
      </c>
      <c r="AK19" s="17">
        <v>1.4492388345599355E-3</v>
      </c>
      <c r="AL19" s="17">
        <v>4.0462572747341236E-3</v>
      </c>
      <c r="AM19" s="17">
        <v>2.7604918604072649E-3</v>
      </c>
      <c r="AN19" s="17">
        <v>3.1539611360239931E-3</v>
      </c>
      <c r="AO19" s="17">
        <v>1.3824769169008978E-3</v>
      </c>
      <c r="AP19" s="17">
        <v>2.299537106166886E-3</v>
      </c>
      <c r="AQ19" s="17">
        <v>4.1041416566626283E-3</v>
      </c>
      <c r="AR19" s="17">
        <v>-8.6502609992543335E-4</v>
      </c>
      <c r="AS19" s="17">
        <v>-6.5916160568795196E-4</v>
      </c>
      <c r="AT19" s="17">
        <v>-4.4630037331292588E-3</v>
      </c>
      <c r="AU19" s="17">
        <v>-3.2769904421112274E-3</v>
      </c>
      <c r="AV19" s="17">
        <v>2.0000000000000001E-4</v>
      </c>
      <c r="AW19" s="17">
        <v>-5.5561E-4</v>
      </c>
      <c r="AX19" s="17">
        <v>-1E-4</v>
      </c>
      <c r="AY19" s="17">
        <v>-2.9999999999999997E-4</v>
      </c>
      <c r="AZ19" s="17">
        <v>-2.2000000000000001E-3</v>
      </c>
      <c r="BA19" s="17">
        <v>-5.2442458968628104E-4</v>
      </c>
      <c r="BB19" s="17">
        <v>-5.0000000000000001E-4</v>
      </c>
      <c r="BC19" s="17">
        <v>1.7000000000000001E-3</v>
      </c>
      <c r="BD19" s="17">
        <v>-5.0000000000000001E-4</v>
      </c>
      <c r="BE19" s="17">
        <v>2.9999999999999997E-4</v>
      </c>
      <c r="BF19" s="17">
        <v>1.4008032925075843E-3</v>
      </c>
      <c r="BG19" s="17">
        <v>4.1999999999999997E-3</v>
      </c>
      <c r="BH19" s="17">
        <v>1.1999999999999999E-3</v>
      </c>
      <c r="BI19" s="17">
        <v>2.0999999999999999E-3</v>
      </c>
      <c r="BJ19" s="17">
        <v>2.8999999999999998E-3</v>
      </c>
      <c r="BK19" s="17">
        <v>3.4000000000000002E-3</v>
      </c>
      <c r="BL19" s="17">
        <v>3.4371401391879081E-3</v>
      </c>
      <c r="BM19" s="17">
        <v>1.8571285742851019E-3</v>
      </c>
      <c r="BN19" s="17">
        <v>1.1813186813186859E-3</v>
      </c>
      <c r="BO19" s="17">
        <v>3.5000000000000001E-3</v>
      </c>
      <c r="BP19" s="17">
        <v>4.9432945125362495E-3</v>
      </c>
      <c r="BQ19" s="17">
        <v>4.0376162731267824E-3</v>
      </c>
      <c r="BR19" s="17">
        <v>-1E-3</v>
      </c>
      <c r="BS19" s="17">
        <v>-4.5848191543548832E-4</v>
      </c>
      <c r="BT19" s="17">
        <v>1.1205052460018566E-3</v>
      </c>
      <c r="BU19" s="17">
        <v>-5.480779035383121E-4</v>
      </c>
      <c r="BV19" s="17">
        <v>-9.7669199999999992E-4</v>
      </c>
      <c r="BW19" s="17">
        <v>-8.3605220228390089E-4</v>
      </c>
      <c r="BX19" s="17">
        <v>5.8603746545193055E-4</v>
      </c>
      <c r="BY19" s="17">
        <v>3.0487804878038524E-4</v>
      </c>
      <c r="BZ19" s="17">
        <v>-3.7989057499742576E-3</v>
      </c>
      <c r="CA19" s="17">
        <v>-2.1004471248830007E-3</v>
      </c>
      <c r="CB19" s="17">
        <v>2.3289893756211667E-4</v>
      </c>
      <c r="CC19" s="17">
        <v>5.8568216284062035E-4</v>
      </c>
      <c r="CD19" s="17">
        <v>6.5782576790025641E-4</v>
      </c>
      <c r="CE19" s="17">
        <v>1.2214941022280091E-3</v>
      </c>
      <c r="CF19" s="17">
        <v>9.7361809045220886E-4</v>
      </c>
      <c r="CG19" s="17">
        <v>6.6528066528065107E-4</v>
      </c>
      <c r="CH19" s="17">
        <v>4.4197171381050529E-5</v>
      </c>
      <c r="CI19" s="17">
        <v>-1.0427528675703858E-3</v>
      </c>
      <c r="CJ19" s="17">
        <v>-2.201877690751656E-3</v>
      </c>
      <c r="CK19" s="17">
        <v>-5.7052050226646554E-4</v>
      </c>
      <c r="CL19" s="17">
        <v>-1.0976690827553936E-3</v>
      </c>
      <c r="CM19" s="17">
        <v>2.1867027646174455E-4</v>
      </c>
      <c r="CN19" s="17">
        <v>-7.8519057771306267E-4</v>
      </c>
      <c r="CO19" s="17">
        <v>-1.0961125935227474E-3</v>
      </c>
      <c r="CP19" s="17">
        <v>-1.1861932321810787E-3</v>
      </c>
      <c r="CQ19" s="17">
        <v>-5.0373909430828168E-4</v>
      </c>
      <c r="CR19" s="17">
        <v>-5.9684450903056415E-5</v>
      </c>
      <c r="CS19" s="17">
        <v>-2.3559260601663503E-4</v>
      </c>
      <c r="CT19" s="17">
        <v>-4.5768970718266453E-4</v>
      </c>
      <c r="CU19" s="17">
        <v>-2.6341870533619434E-3</v>
      </c>
      <c r="CV19" s="17">
        <v>-2.0130890052356162E-3</v>
      </c>
      <c r="CW19" s="17">
        <v>-1.181245771972723E-3</v>
      </c>
      <c r="CX19" s="17">
        <v>-9.4536173759052786E-4</v>
      </c>
      <c r="CY19" s="17">
        <v>-1.1828793774318926E-3</v>
      </c>
      <c r="CZ19" s="17">
        <v>6.1107877890057276E-4</v>
      </c>
      <c r="DA19" s="17">
        <v>4.4433724607385768E-3</v>
      </c>
      <c r="DB19" s="17">
        <v>4.6405823475887563E-3</v>
      </c>
      <c r="DC19" s="17">
        <v>6.7489932885905699E-3</v>
      </c>
      <c r="DD19" s="17">
        <v>4.2592094649099611E-3</v>
      </c>
      <c r="DE19" s="17">
        <v>-5.8874133017905656E-4</v>
      </c>
      <c r="DF19" s="17">
        <v>2.0935628338639772E-3</v>
      </c>
      <c r="DG19" s="17">
        <v>1.5990893321769545E-3</v>
      </c>
      <c r="DH19" s="17">
        <v>2.9362416107382304E-3</v>
      </c>
      <c r="DI19" s="17">
        <v>2.8770326861369249E-3</v>
      </c>
      <c r="DJ19" s="17">
        <v>1.4014096049828196E-3</v>
      </c>
      <c r="DK19" s="17">
        <v>3.4127843986998668E-3</v>
      </c>
      <c r="DL19" s="17">
        <v>3.9080150618612695E-3</v>
      </c>
      <c r="DM19" s="17">
        <v>3.8183972425679369E-3</v>
      </c>
      <c r="DN19" s="17">
        <v>3.0843191270998956E-3</v>
      </c>
      <c r="DO19" s="17">
        <v>1.6923241967494356E-3</v>
      </c>
      <c r="DP19" s="17">
        <v>1.4698008138787164E-3</v>
      </c>
      <c r="DQ19" s="17">
        <v>4.1164605339985569E-3</v>
      </c>
      <c r="DR19" s="17">
        <v>5.21111704970604E-3</v>
      </c>
      <c r="DS19" s="17">
        <v>3.6603024777431179E-3</v>
      </c>
      <c r="DT19" s="17">
        <v>4.8306046360836732E-3</v>
      </c>
      <c r="DU19" s="17">
        <v>3.3107375271149773E-3</v>
      </c>
      <c r="DV19" s="17">
        <v>4.466952696464529E-3</v>
      </c>
      <c r="DW19" s="17">
        <v>3.4337187415971987E-3</v>
      </c>
      <c r="DX19" s="17">
        <v>3.0607865228820899E-3</v>
      </c>
      <c r="DY19" s="17">
        <v>3.1828394137157763E-4</v>
      </c>
      <c r="DZ19" s="17">
        <v>9.0324309836502031E-4</v>
      </c>
      <c r="EA19" s="17">
        <v>2.3059039792386851E-3</v>
      </c>
      <c r="EB19" s="17">
        <v>4.3714945562512114E-4</v>
      </c>
      <c r="EC19" s="17">
        <v>1.9647696476964771E-3</v>
      </c>
      <c r="ED19" s="17">
        <v>2.7355871304915146E-3</v>
      </c>
      <c r="EE19" s="17">
        <v>3.0965242538331175E-3</v>
      </c>
      <c r="EF19" s="17">
        <v>1.7215937038859326E-3</v>
      </c>
      <c r="EG19" s="17">
        <v>5.3086217265320692E-3</v>
      </c>
      <c r="EH19" s="17">
        <v>6.1601981833196004E-3</v>
      </c>
      <c r="EI19" s="17">
        <v>4.928646206402521E-3</v>
      </c>
      <c r="EJ19" s="17">
        <v>6.7639404175203043E-3</v>
      </c>
      <c r="EK19" s="17">
        <v>5.8645908360574189E-3</v>
      </c>
      <c r="EL19" s="17">
        <v>6.5883924099938334E-3</v>
      </c>
      <c r="EM19" s="17">
        <v>5.5696411839276962E-3</v>
      </c>
    </row>
    <row r="20" spans="1:143" s="17" customFormat="1" x14ac:dyDescent="0.2">
      <c r="A20" s="17" t="str">
        <f>Input!M20</f>
        <v>CU</v>
      </c>
      <c r="B20" s="17">
        <v>-1.8758206715438004E-3</v>
      </c>
      <c r="C20" s="17">
        <v>-1.6775396085740913E-3</v>
      </c>
      <c r="D20" s="17">
        <v>-7.6002280068402056E-4</v>
      </c>
      <c r="E20" s="17">
        <v>5.6116722783389455E-4</v>
      </c>
      <c r="F20" s="17">
        <v>-7.4766355140186912E-4</v>
      </c>
      <c r="G20" s="17">
        <v>-1.8684603886397607E-3</v>
      </c>
      <c r="H20" s="17">
        <v>-3.7200000000000002E-3</v>
      </c>
      <c r="I20" s="17">
        <v>-7.4446305602084498E-4</v>
      </c>
      <c r="J20" s="17">
        <v>9.1793647879566734E-4</v>
      </c>
      <c r="K20" s="17">
        <v>-8.7575259989053095E-3</v>
      </c>
      <c r="L20" s="17">
        <v>-6.2191329796963601E-3</v>
      </c>
      <c r="M20" s="17">
        <v>-7.2608458885460156E-3</v>
      </c>
      <c r="N20" s="17">
        <v>-6.1840669334303384E-3</v>
      </c>
      <c r="O20" s="17">
        <v>-5.6589996349032494E-3</v>
      </c>
      <c r="P20" s="17">
        <v>-4.578754578754579E-3</v>
      </c>
      <c r="Q20" s="17">
        <v>-4.5446282494091984E-3</v>
      </c>
      <c r="R20" s="17">
        <v>-4.9162418062636565E-3</v>
      </c>
      <c r="S20" s="17">
        <v>-4.7358834244080146E-3</v>
      </c>
      <c r="T20" s="17">
        <v>-6.3590116279069768E-3</v>
      </c>
      <c r="U20" s="17">
        <v>-3.7871956717763751E-3</v>
      </c>
      <c r="V20" s="17">
        <v>-5.2526716174606048E-3</v>
      </c>
      <c r="W20" s="17">
        <v>-6.0054595086442217E-3</v>
      </c>
      <c r="X20" s="17">
        <v>-5.1310243723657689E-3</v>
      </c>
      <c r="Y20" s="17">
        <v>-4.0094769455075634E-3</v>
      </c>
      <c r="Z20" s="17">
        <v>-3.1417482905193124E-3</v>
      </c>
      <c r="AA20" s="17">
        <v>-3.3277870216306157E-3</v>
      </c>
      <c r="AB20" s="17">
        <v>-4.1060097051138483E-3</v>
      </c>
      <c r="AC20" s="17">
        <v>7.501875468867217E-4</v>
      </c>
      <c r="AD20" s="17">
        <v>-1.4970059880239522E-3</v>
      </c>
      <c r="AE20" s="17">
        <v>-4.170616113744076E-3</v>
      </c>
      <c r="AF20" s="17">
        <v>3.8138825324180017E-4</v>
      </c>
      <c r="AG20" s="17">
        <v>-1.7274472168905949E-3</v>
      </c>
      <c r="AH20" s="17">
        <v>-4.4239276783996926E-3</v>
      </c>
      <c r="AI20" s="17">
        <v>3.1067961165048546E-3</v>
      </c>
      <c r="AJ20" s="17">
        <v>-4.8402710551790898E-3</v>
      </c>
      <c r="AK20" s="17">
        <v>-3.3016119634880561E-3</v>
      </c>
      <c r="AL20" s="17">
        <v>-1.750291715285881E-3</v>
      </c>
      <c r="AM20" s="17">
        <v>2.255639097744361E-3</v>
      </c>
      <c r="AN20" s="17">
        <v>-3.7474236462432077E-4</v>
      </c>
      <c r="AO20" s="17">
        <v>-1.5174506828528073E-3</v>
      </c>
      <c r="AP20" s="17">
        <v>-2.8484618306114698E-3</v>
      </c>
      <c r="AQ20" s="17">
        <v>-2.819548872180451E-3</v>
      </c>
      <c r="AR20" s="17">
        <v>3.5647279549718574E-3</v>
      </c>
      <c r="AS20" s="17">
        <v>2.2132054592401327E-3</v>
      </c>
      <c r="AT20" s="17">
        <v>-3.5211267605633804E-3</v>
      </c>
      <c r="AU20" s="17">
        <v>-3.3351862145636463E-3</v>
      </c>
      <c r="AV20" s="17">
        <v>-4.1000000000000003E-3</v>
      </c>
      <c r="AW20" s="17">
        <v>-1.8889300000000001E-4</v>
      </c>
      <c r="AX20" s="17">
        <v>-2.0999999999999999E-3</v>
      </c>
      <c r="AY20" s="17">
        <v>5.9999999999999995E-4</v>
      </c>
      <c r="AZ20" s="17">
        <v>-8.9999999999999998E-4</v>
      </c>
      <c r="BA20" s="17">
        <v>-9.2575448990927611E-4</v>
      </c>
      <c r="BB20" s="17">
        <v>-1.9E-3</v>
      </c>
      <c r="BC20" s="17">
        <v>0</v>
      </c>
      <c r="BD20" s="17">
        <v>3.0000000000000001E-3</v>
      </c>
      <c r="BE20" s="17">
        <v>3.2000000000000002E-3</v>
      </c>
      <c r="BF20" s="17">
        <v>3.3088235294117647E-3</v>
      </c>
      <c r="BG20" s="17">
        <v>-1.1000000000000001E-3</v>
      </c>
      <c r="BH20" s="17">
        <v>-7.000000000000001E-4</v>
      </c>
      <c r="BI20" s="17">
        <v>2.8000000000000004E-3</v>
      </c>
      <c r="BJ20" s="17">
        <v>-2.0000000000000001E-4</v>
      </c>
      <c r="BK20" s="17">
        <v>1.2999999999999999E-3</v>
      </c>
      <c r="BL20" s="17">
        <v>3.7243947858472997E-4</v>
      </c>
      <c r="BM20" s="17">
        <v>5.3318624747196175E-3</v>
      </c>
      <c r="BN20" s="17">
        <v>3.2691609153650564E-3</v>
      </c>
      <c r="BO20" s="17">
        <v>7.7999999999999996E-3</v>
      </c>
      <c r="BP20" s="17">
        <v>5.018820577164366E-3</v>
      </c>
      <c r="BQ20" s="17">
        <v>4.9333089713137221E-3</v>
      </c>
      <c r="BR20" s="17">
        <v>-7.7999999999999996E-3</v>
      </c>
      <c r="BS20" s="17">
        <v>2.7402265253927659E-3</v>
      </c>
      <c r="BT20" s="17">
        <v>7.4586137893396399E-3</v>
      </c>
      <c r="BU20" s="17">
        <v>5.236547490068617E-3</v>
      </c>
      <c r="BV20" s="17">
        <v>-5.5493900000000004E-3</v>
      </c>
      <c r="BW20" s="17">
        <v>6.1867266591676042E-3</v>
      </c>
      <c r="BX20" s="17">
        <v>9.4108789760963679E-3</v>
      </c>
      <c r="BY20" s="17">
        <v>7.2588347659980901E-3</v>
      </c>
      <c r="BZ20" s="17">
        <v>7.2908672294704525E-3</v>
      </c>
      <c r="CA20" s="17">
        <v>1.1673151750972762E-3</v>
      </c>
      <c r="CB20" s="17">
        <v>2.1816739389131298E-3</v>
      </c>
      <c r="CC20" s="17">
        <v>7.9365079365079365E-4</v>
      </c>
      <c r="CD20" s="17">
        <v>2.168769716088328E-3</v>
      </c>
      <c r="CE20" s="17">
        <v>4.3781094527363187E-3</v>
      </c>
      <c r="CF20" s="17">
        <v>4.0346984062941292E-3</v>
      </c>
      <c r="CG20" s="17">
        <v>2.3899621589324837E-3</v>
      </c>
      <c r="CH20" s="17">
        <v>1.9727756954034327E-3</v>
      </c>
      <c r="CI20" s="17">
        <v>3.1558185404339249E-3</v>
      </c>
      <c r="CJ20" s="17">
        <v>1.7825311942959001E-3</v>
      </c>
      <c r="CK20" s="17">
        <v>5.178251344353714E-3</v>
      </c>
      <c r="CL20" s="17">
        <v>1.9774569903104609E-4</v>
      </c>
      <c r="CM20" s="17">
        <v>3.3255086071987479E-3</v>
      </c>
      <c r="CN20" s="17">
        <v>-5.8275058275058275E-4</v>
      </c>
      <c r="CO20" s="17">
        <v>-1.9489378288832587E-3</v>
      </c>
      <c r="CP20" s="17">
        <v>2.66514372739387E-3</v>
      </c>
      <c r="CQ20" s="17">
        <v>2.8307227778826194E-3</v>
      </c>
      <c r="CR20" s="17">
        <v>-7.5471698113207543E-4</v>
      </c>
      <c r="CS20" s="17">
        <v>0</v>
      </c>
      <c r="CT20" s="17">
        <v>2.8285875919290969E-3</v>
      </c>
      <c r="CU20" s="17">
        <v>9.5111280197831465E-4</v>
      </c>
      <c r="CV20" s="17">
        <v>-7.5872534142640367E-4</v>
      </c>
      <c r="CW20" s="17">
        <v>3.8022813688212925E-4</v>
      </c>
      <c r="CX20" s="17">
        <v>2.2835394862036158E-3</v>
      </c>
      <c r="CY20" s="17">
        <v>-1.9076688286913392E-3</v>
      </c>
      <c r="CZ20" s="17">
        <v>-2.2909507445589921E-3</v>
      </c>
      <c r="DA20" s="17">
        <v>-3.2901103154635183E-3</v>
      </c>
      <c r="DB20" s="17">
        <v>-5.4421768707482989E-3</v>
      </c>
      <c r="DC20" s="17">
        <v>-5.2325581395348836E-3</v>
      </c>
      <c r="DD20" s="17">
        <v>-3.5252643948296123E-3</v>
      </c>
      <c r="DE20" s="17">
        <v>-3.1570639305445935E-3</v>
      </c>
      <c r="DF20" s="17">
        <v>-1.172562048075044E-3</v>
      </c>
      <c r="DG20" s="17">
        <v>1.2028869286287089E-3</v>
      </c>
      <c r="DH20" s="17">
        <v>1.7992802878848461E-3</v>
      </c>
      <c r="DI20" s="17">
        <v>1.2004801920768306E-3</v>
      </c>
      <c r="DJ20" s="17">
        <v>3.6239178578618887E-3</v>
      </c>
      <c r="DK20" s="17">
        <v>3.3696729435084244E-3</v>
      </c>
      <c r="DL20" s="17">
        <v>1.968503937007874E-4</v>
      </c>
      <c r="DM20" s="17">
        <v>2.7833001988071572E-3</v>
      </c>
      <c r="DN20" s="17">
        <v>-1.9984012789768185E-4</v>
      </c>
      <c r="DO20" s="17">
        <v>3.9984006397441024E-3</v>
      </c>
      <c r="DP20" s="17">
        <v>2.3928215353938185E-3</v>
      </c>
      <c r="DQ20" s="17">
        <v>2.0064205457463883E-3</v>
      </c>
      <c r="DR20" s="17">
        <v>-7.9586152009550337E-4</v>
      </c>
      <c r="DS20" s="17">
        <v>-9.9423344601312397E-4</v>
      </c>
      <c r="DT20" s="17">
        <v>4.6296296296296294E-3</v>
      </c>
      <c r="DU20" s="17">
        <v>4.0104271104872668E-4</v>
      </c>
      <c r="DV20" s="17">
        <v>-1.374228241386178E-2</v>
      </c>
      <c r="DW20" s="17">
        <v>-5.794701986754967E-3</v>
      </c>
      <c r="DX20" s="17">
        <v>-2.0946795140343527E-4</v>
      </c>
      <c r="DY20" s="17">
        <v>-1.0471204188481676E-3</v>
      </c>
      <c r="DZ20" s="17">
        <v>-3.350785340314136E-3</v>
      </c>
      <c r="EA20" s="17">
        <v>-1.6796136888515641E-3</v>
      </c>
      <c r="EB20" s="17">
        <v>1.0488777008600798E-3</v>
      </c>
      <c r="EC20" s="17">
        <v>-6.7368421052631583E-3</v>
      </c>
      <c r="ED20" s="17">
        <v>-3.3999150021249468E-3</v>
      </c>
      <c r="EE20" s="17">
        <v>-3.8151759220008477E-3</v>
      </c>
      <c r="EF20" s="17">
        <v>-3.6016949152542373E-3</v>
      </c>
      <c r="EG20" s="17">
        <v>-1.9230769230769232E-3</v>
      </c>
      <c r="EH20" s="17">
        <v>-1.4934926392148496E-3</v>
      </c>
      <c r="EI20" s="17">
        <v>-2.1381227282446012E-4</v>
      </c>
      <c r="EJ20" s="17">
        <v>1.2842465753424657E-3</v>
      </c>
      <c r="EK20" s="17">
        <v>-2.1217907914279651E-4</v>
      </c>
      <c r="EL20" s="17">
        <v>6.3924994672917112E-4</v>
      </c>
      <c r="EM20" s="17">
        <v>-2.7507405840033854E-3</v>
      </c>
    </row>
    <row r="21" spans="1:143" s="17" customFormat="1" x14ac:dyDescent="0.2">
      <c r="A21" s="17" t="str">
        <f>Input!M21</f>
        <v>CS</v>
      </c>
      <c r="B21" s="17">
        <v>7.8102539530426451E-2</v>
      </c>
      <c r="C21" s="17">
        <v>7.861936720997123E-2</v>
      </c>
      <c r="D21" s="17">
        <v>7.7586206896551727E-2</v>
      </c>
      <c r="E21" s="17">
        <v>7.4498567335243557E-2</v>
      </c>
      <c r="F21" s="17">
        <v>7.5011944577161968E-2</v>
      </c>
      <c r="G21" s="17">
        <v>6.9900142653352357E-2</v>
      </c>
      <c r="H21" s="17">
        <v>6.6350999999999993E-2</v>
      </c>
      <c r="I21" s="17">
        <v>6.0320452403393024E-2</v>
      </c>
      <c r="J21" s="17">
        <v>5.3370786516853931E-2</v>
      </c>
      <c r="K21" s="17">
        <v>5.2385406922357346E-2</v>
      </c>
      <c r="L21" s="17">
        <v>6.0320452403393024E-2</v>
      </c>
      <c r="M21" s="17">
        <v>6.3327032136105854E-2</v>
      </c>
      <c r="N21" s="17">
        <v>6.0820367751060818E-2</v>
      </c>
      <c r="O21" s="17">
        <v>6.5340909090909088E-2</v>
      </c>
      <c r="P21" s="17">
        <v>4.9440298507462684E-2</v>
      </c>
      <c r="Q21" s="17">
        <v>4.456824512534819E-2</v>
      </c>
      <c r="R21" s="17">
        <v>4.9440298507462684E-2</v>
      </c>
      <c r="S21" s="17">
        <v>7.1428571428571425E-2</v>
      </c>
      <c r="T21" s="17">
        <v>6.6856330014224752E-2</v>
      </c>
      <c r="U21" s="17">
        <v>7.861936720997123E-2</v>
      </c>
      <c r="V21" s="17">
        <v>7.9136690647482008E-2</v>
      </c>
      <c r="W21" s="17">
        <v>8.800773694390715E-2</v>
      </c>
      <c r="X21" s="17">
        <v>9.86328125E-2</v>
      </c>
      <c r="Y21" s="17">
        <v>0.1013215859030837</v>
      </c>
      <c r="Z21" s="17">
        <v>7.8717201166180764E-2</v>
      </c>
      <c r="AA21" s="17">
        <v>8.451392281387396E-2</v>
      </c>
      <c r="AB21" s="17">
        <v>8.3455344070278187E-2</v>
      </c>
      <c r="AC21" s="17">
        <v>6.7442988840368756E-2</v>
      </c>
      <c r="AD21" s="17">
        <v>6.589147286821706E-2</v>
      </c>
      <c r="AE21" s="17">
        <v>8.0019636720667642E-2</v>
      </c>
      <c r="AF21" s="17">
        <v>7.3694485114690095E-2</v>
      </c>
      <c r="AG21" s="17">
        <v>8.1081081081081086E-2</v>
      </c>
      <c r="AH21" s="17">
        <v>8.0019636720667642E-2</v>
      </c>
      <c r="AI21" s="17">
        <v>8.2677165354330714E-2</v>
      </c>
      <c r="AJ21" s="17">
        <v>7.421875E-2</v>
      </c>
      <c r="AK21" s="17">
        <v>7.684777288301517E-2</v>
      </c>
      <c r="AL21" s="17">
        <v>6.2288749396426847E-2</v>
      </c>
      <c r="AM21" s="17">
        <v>6.6925315227934046E-2</v>
      </c>
      <c r="AN21" s="17">
        <v>5.6168987037926069E-2</v>
      </c>
      <c r="AO21" s="17">
        <v>7.4540174249757993E-2</v>
      </c>
      <c r="AP21" s="17">
        <v>7.662463627546072E-2</v>
      </c>
      <c r="AQ21" s="17">
        <v>6.5259117082533583E-2</v>
      </c>
      <c r="AR21" s="17">
        <v>7.0395371263259399E-2</v>
      </c>
      <c r="AS21" s="17">
        <v>6.7307692307692304E-2</v>
      </c>
      <c r="AT21" s="17">
        <v>7.298211696471725E-2</v>
      </c>
      <c r="AU21" s="17">
        <v>6.6282420749279536E-2</v>
      </c>
      <c r="AV21" s="17">
        <v>7.3999999999999996E-2</v>
      </c>
      <c r="AW21" s="17">
        <v>6.8334936999999998E-2</v>
      </c>
      <c r="AX21" s="17">
        <v>8.8499999999999995E-2</v>
      </c>
      <c r="AY21" s="17">
        <v>5.0900000000000001E-2</v>
      </c>
      <c r="AZ21" s="17">
        <v>3.6900000000000002E-2</v>
      </c>
      <c r="BA21" s="17">
        <v>5.8325493885230478E-2</v>
      </c>
      <c r="BB21" s="17">
        <v>5.7699999999999994E-2</v>
      </c>
      <c r="BC21" s="17">
        <v>6.2300000000000001E-2</v>
      </c>
      <c r="BD21" s="17">
        <v>7.1099999999999997E-2</v>
      </c>
      <c r="BE21" s="17">
        <v>7.9500000000000001E-2</v>
      </c>
      <c r="BF21" s="17">
        <v>9.9450274862568716E-2</v>
      </c>
      <c r="BG21" s="17">
        <v>0.10390000000000001</v>
      </c>
      <c r="BH21" s="17">
        <v>0.1636</v>
      </c>
      <c r="BI21" s="17">
        <v>0.16579999999999998</v>
      </c>
      <c r="BJ21" s="17">
        <v>0.16170000000000001</v>
      </c>
      <c r="BK21" s="17">
        <v>0.17780000000000001</v>
      </c>
      <c r="BL21" s="17">
        <v>0.17844249613202681</v>
      </c>
      <c r="BM21" s="17">
        <v>0.16403464085583291</v>
      </c>
      <c r="BN21" s="17">
        <v>0.16225839267548323</v>
      </c>
      <c r="BO21" s="17">
        <v>0.1658</v>
      </c>
      <c r="BP21" s="17">
        <v>0.172396100564392</v>
      </c>
      <c r="BQ21" s="17">
        <v>0.17360041088854647</v>
      </c>
      <c r="BR21" s="17">
        <v>0.1694</v>
      </c>
      <c r="BS21" s="17">
        <v>0.16760347470618292</v>
      </c>
      <c r="BT21" s="17">
        <v>0.15581752947206562</v>
      </c>
      <c r="BU21" s="17">
        <v>0.15641025641025641</v>
      </c>
      <c r="BV21" s="17">
        <v>0.12745097999999999</v>
      </c>
      <c r="BW21" s="17">
        <v>0.11764705882352941</v>
      </c>
      <c r="BX21" s="17">
        <v>0.12686952037132543</v>
      </c>
      <c r="BY21" s="17">
        <v>0.12803304078471864</v>
      </c>
      <c r="BZ21" s="17">
        <v>0.12397119341563786</v>
      </c>
      <c r="CA21" s="17">
        <v>0.12208713272543059</v>
      </c>
      <c r="CB21" s="17">
        <v>0.11868686868686869</v>
      </c>
      <c r="CC21" s="17">
        <v>0.10971943887775551</v>
      </c>
      <c r="CD21" s="17">
        <v>0.1086086086086086</v>
      </c>
      <c r="CE21" s="17">
        <v>0.10694652673663169</v>
      </c>
      <c r="CF21" s="17">
        <v>0.12077534791252485</v>
      </c>
      <c r="CG21" s="17">
        <v>0.1394643759474482</v>
      </c>
      <c r="CH21" s="17">
        <v>0.13602015113350127</v>
      </c>
      <c r="CI21" s="17">
        <v>0.14816700610997963</v>
      </c>
      <c r="CJ21" s="17">
        <v>0.14583333333333334</v>
      </c>
      <c r="CK21" s="17">
        <v>0.15658362989323843</v>
      </c>
      <c r="CL21" s="17">
        <v>0.17783505154639176</v>
      </c>
      <c r="CM21" s="17">
        <v>0.18238021638330756</v>
      </c>
      <c r="CN21" s="17">
        <v>0.15384615384615385</v>
      </c>
      <c r="CO21" s="17">
        <v>0.16793893129770993</v>
      </c>
      <c r="CP21" s="17">
        <v>0.17963152507676561</v>
      </c>
      <c r="CQ21" s="17">
        <v>0.16120906801007556</v>
      </c>
      <c r="CR21" s="17">
        <v>0.16120906801007556</v>
      </c>
      <c r="CS21" s="17">
        <v>0.18814432989690721</v>
      </c>
      <c r="CT21" s="17">
        <v>0.18814432989690721</v>
      </c>
      <c r="CU21" s="17">
        <v>0.17994858611825193</v>
      </c>
      <c r="CV21" s="17">
        <v>0.18298969072164947</v>
      </c>
      <c r="CW21" s="17">
        <v>0.1721144024514811</v>
      </c>
      <c r="CX21" s="17">
        <v>0.15909090909090909</v>
      </c>
      <c r="CY21" s="17">
        <v>0.14807403701850924</v>
      </c>
      <c r="CZ21" s="17">
        <v>0.12295488349033218</v>
      </c>
      <c r="DA21" s="17">
        <v>0.12911266201395813</v>
      </c>
      <c r="DB21" s="17">
        <v>0.1257455268389662</v>
      </c>
      <c r="DC21" s="17">
        <v>0.1342013019529294</v>
      </c>
      <c r="DD21" s="17">
        <v>0.13250000000000001</v>
      </c>
      <c r="DE21" s="17">
        <v>0.13590772316950853</v>
      </c>
      <c r="DF21" s="17">
        <v>9.4689378757515028E-2</v>
      </c>
      <c r="DG21" s="17">
        <v>9.7989949748743713E-2</v>
      </c>
      <c r="DH21" s="17">
        <v>0.10186585980837115</v>
      </c>
      <c r="DI21" s="17">
        <v>7.7738515901060068E-2</v>
      </c>
      <c r="DJ21" s="17">
        <v>6.798579401319127E-2</v>
      </c>
      <c r="DK21" s="17">
        <v>6.5822784810126586E-2</v>
      </c>
      <c r="DL21" s="17">
        <v>4.9320583794665328E-2</v>
      </c>
      <c r="DM21" s="17">
        <v>5.8913153885220927E-2</v>
      </c>
      <c r="DN21" s="17">
        <v>7.1428571428571425E-2</v>
      </c>
      <c r="DO21" s="17">
        <v>7.233825776872134E-2</v>
      </c>
      <c r="DP21" s="17">
        <v>7.3431922488526258E-2</v>
      </c>
      <c r="DQ21" s="17">
        <v>0.10165118679050568</v>
      </c>
      <c r="DR21" s="17">
        <v>9.375E-2</v>
      </c>
      <c r="DS21" s="17">
        <v>0.10221992772328342</v>
      </c>
      <c r="DT21" s="17">
        <v>0.10512820512820513</v>
      </c>
      <c r="DU21" s="17">
        <v>0.10061287027579162</v>
      </c>
      <c r="DV21" s="17">
        <v>0.10286591606960081</v>
      </c>
      <c r="DW21" s="17">
        <v>0.12213740458015267</v>
      </c>
      <c r="DX21" s="17">
        <v>0.12042682926829268</v>
      </c>
      <c r="DY21" s="17">
        <v>0.10859728506787331</v>
      </c>
      <c r="DZ21" s="17">
        <v>0.10084872690963555</v>
      </c>
      <c r="EA21" s="17">
        <v>9.7014925373134331E-2</v>
      </c>
      <c r="EB21" s="17">
        <v>8.7814504193389251E-2</v>
      </c>
      <c r="EC21" s="17">
        <v>0.10637230306071249</v>
      </c>
      <c r="ED21" s="17">
        <v>9.7014925373134331E-2</v>
      </c>
      <c r="EE21" s="17">
        <v>9.8654708520179366E-2</v>
      </c>
      <c r="EF21" s="17">
        <v>8.7278106508875741E-2</v>
      </c>
      <c r="EG21" s="17">
        <v>9.050445103857567E-2</v>
      </c>
      <c r="EH21" s="17">
        <v>8.0882352941176475E-2</v>
      </c>
      <c r="EI21" s="17">
        <v>8.5984095427435389E-2</v>
      </c>
      <c r="EJ21" s="17">
        <v>9.688755020080321E-2</v>
      </c>
      <c r="EK21" s="17">
        <v>9.0319361277445109E-2</v>
      </c>
      <c r="EL21" s="17">
        <v>9.0319361277445109E-2</v>
      </c>
      <c r="EM21" s="17">
        <v>8.5984095427435389E-2</v>
      </c>
    </row>
    <row r="22" spans="1:143" s="17" customFormat="1" x14ac:dyDescent="0.2">
      <c r="A22" s="17" t="str">
        <f>Input!M22</f>
        <v>AL</v>
      </c>
      <c r="B22" s="17">
        <v>-5.1599587203302374E-3</v>
      </c>
      <c r="C22" s="17">
        <v>-7.8418002045687017E-3</v>
      </c>
      <c r="D22" s="17">
        <v>-1.4363885088919288E-2</v>
      </c>
      <c r="E22" s="17">
        <v>-1.3397457918241155E-2</v>
      </c>
      <c r="F22" s="17">
        <v>-1.4761414349467903E-2</v>
      </c>
      <c r="G22" s="17">
        <v>-1.2987012987012988E-2</v>
      </c>
      <c r="H22" s="17">
        <v>-1.098E-2</v>
      </c>
      <c r="I22" s="17">
        <v>-7.5653370013755161E-3</v>
      </c>
      <c r="J22" s="17">
        <v>-5.7529610829103218E-3</v>
      </c>
      <c r="K22" s="17">
        <v>-1.7127799736495388E-2</v>
      </c>
      <c r="L22" s="17">
        <v>-1.7578772802653398E-2</v>
      </c>
      <c r="M22" s="17">
        <v>-2.1024967148488831E-2</v>
      </c>
      <c r="N22" s="17">
        <v>-2.4859131587669871E-2</v>
      </c>
      <c r="O22" s="17">
        <v>-2.4244437064098307E-2</v>
      </c>
      <c r="P22" s="17">
        <v>-2.5198938992042442E-2</v>
      </c>
      <c r="Q22" s="17">
        <v>-2.8947368421052631E-2</v>
      </c>
      <c r="R22" s="17">
        <v>-3.3499170812603646E-2</v>
      </c>
      <c r="S22" s="17">
        <v>-2.7224435590969456E-2</v>
      </c>
      <c r="T22" s="17">
        <v>-3.150912106135987E-2</v>
      </c>
      <c r="U22" s="17">
        <v>-2.0666666666666667E-2</v>
      </c>
      <c r="V22" s="17">
        <v>-2.8068988840040582E-2</v>
      </c>
      <c r="W22" s="17">
        <v>-2.9020143393649708E-2</v>
      </c>
      <c r="X22" s="17">
        <v>-2.1512838306731435E-2</v>
      </c>
      <c r="Y22" s="17">
        <v>-1.9394351820347058E-2</v>
      </c>
      <c r="Z22" s="17">
        <v>-1.790633608815427E-2</v>
      </c>
      <c r="AA22" s="17">
        <v>-1.8231854145166839E-2</v>
      </c>
      <c r="AB22" s="17">
        <v>-1.5807560137457044E-2</v>
      </c>
      <c r="AC22" s="17">
        <v>-1.3231197771587743E-2</v>
      </c>
      <c r="AD22" s="17">
        <v>-1.6325112886418896E-2</v>
      </c>
      <c r="AE22" s="17">
        <v>-2.2624434389140271E-2</v>
      </c>
      <c r="AF22" s="17">
        <v>-1.4462081128747795E-2</v>
      </c>
      <c r="AG22" s="17">
        <v>-1.729615248852806E-2</v>
      </c>
      <c r="AH22" s="17">
        <v>-1.6961130742049468E-2</v>
      </c>
      <c r="AI22" s="17">
        <v>-1.4830508474576272E-2</v>
      </c>
      <c r="AJ22" s="17">
        <v>-1.8002117896223083E-2</v>
      </c>
      <c r="AK22" s="17">
        <v>-1.7655367231638418E-2</v>
      </c>
      <c r="AL22" s="17">
        <v>-1.8194541637508749E-2</v>
      </c>
      <c r="AM22" s="17">
        <v>-1.7400204708290685E-2</v>
      </c>
      <c r="AN22" s="17">
        <v>-1.5608740894901144E-2</v>
      </c>
      <c r="AO22" s="17">
        <v>-9.7020097020097014E-3</v>
      </c>
      <c r="AP22" s="17">
        <v>-6.3202247191011234E-3</v>
      </c>
      <c r="AQ22" s="17">
        <v>-9.6219931271477668E-3</v>
      </c>
      <c r="AR22" s="17">
        <v>-3.7606837606837607E-3</v>
      </c>
      <c r="AS22" s="17">
        <v>-9.4022834116856951E-3</v>
      </c>
      <c r="AT22" s="17">
        <v>-1.0046885465505693E-2</v>
      </c>
      <c r="AU22" s="17">
        <v>-5.7296932928884393E-3</v>
      </c>
      <c r="AV22" s="17">
        <v>-6.9999999999999999E-4</v>
      </c>
      <c r="AW22" s="17">
        <v>3.6557E-3</v>
      </c>
      <c r="AX22" s="17">
        <v>-8.5000000000000006E-3</v>
      </c>
      <c r="AY22" s="17">
        <v>-7.4000000000000003E-3</v>
      </c>
      <c r="AZ22" s="17">
        <v>-1.1399999999999999E-2</v>
      </c>
      <c r="BA22" s="17">
        <v>-8.1037277147487843E-3</v>
      </c>
      <c r="BB22" s="17">
        <v>-8.3999999999999995E-3</v>
      </c>
      <c r="BC22" s="17">
        <v>-9.7000000000000003E-3</v>
      </c>
      <c r="BD22" s="17">
        <v>1.2999999999999999E-3</v>
      </c>
      <c r="BE22" s="17">
        <v>-5.4000000000000003E-3</v>
      </c>
      <c r="BF22" s="17">
        <v>-1.2554927809165098E-3</v>
      </c>
      <c r="BG22" s="17">
        <v>-7.1999999999999998E-3</v>
      </c>
      <c r="BH22" s="17">
        <v>-6.1999999999999998E-3</v>
      </c>
      <c r="BI22" s="17">
        <v>-9.300000000000001E-3</v>
      </c>
      <c r="BJ22" s="17">
        <v>-5.1999999999999998E-3</v>
      </c>
      <c r="BK22" s="17">
        <v>-7.4000000000000003E-3</v>
      </c>
      <c r="BL22" s="17">
        <v>-7.4074074074074077E-3</v>
      </c>
      <c r="BM22" s="17">
        <v>-7.6663600122661756E-3</v>
      </c>
      <c r="BN22" s="17">
        <v>-1.0064043915827997E-2</v>
      </c>
      <c r="BO22" s="17">
        <v>-2.1558361564521095E-3</v>
      </c>
      <c r="BP22" s="17">
        <v>-6.4635272391505077E-3</v>
      </c>
      <c r="BQ22" s="17">
        <v>-5.2452946621413142E-3</v>
      </c>
      <c r="BR22" s="17">
        <v>-1.0800000000000001E-2</v>
      </c>
      <c r="BS22" s="17">
        <v>-7.1539657853810267E-3</v>
      </c>
      <c r="BT22" s="17">
        <v>-2.1827252884315559E-3</v>
      </c>
      <c r="BU22" s="17">
        <v>-1.4742014742014743E-2</v>
      </c>
      <c r="BV22" s="17">
        <v>-1.216545E-2</v>
      </c>
      <c r="BW22" s="17">
        <v>-1.8137847642079808E-2</v>
      </c>
      <c r="BX22" s="17">
        <v>-1.3521819299323909E-2</v>
      </c>
      <c r="BY22" s="17">
        <v>-1.0739490641301013E-2</v>
      </c>
      <c r="BZ22" s="17">
        <v>-1.9038984587488667E-2</v>
      </c>
      <c r="CA22" s="17">
        <v>-5.8551617873651776E-3</v>
      </c>
      <c r="CB22" s="17">
        <v>-1.3169984686064319E-2</v>
      </c>
      <c r="CC22" s="17">
        <v>-1.555352241537054E-2</v>
      </c>
      <c r="CD22" s="17">
        <v>-1.2789281364190013E-2</v>
      </c>
      <c r="CE22" s="17">
        <v>-1.2526733883287504E-2</v>
      </c>
      <c r="CF22" s="17">
        <v>-7.9510703363914366E-3</v>
      </c>
      <c r="CG22" s="17">
        <v>-1.3967310549777118E-2</v>
      </c>
      <c r="CH22" s="17">
        <v>-1.2084592145015106E-2</v>
      </c>
      <c r="CI22" s="17">
        <v>-1.4852985753258564E-2</v>
      </c>
      <c r="CJ22" s="17">
        <v>-6.4754856614246065E-3</v>
      </c>
      <c r="CK22" s="17">
        <v>-2.7752081406105457E-3</v>
      </c>
      <c r="CL22" s="17">
        <v>-1.6661617691608604E-2</v>
      </c>
      <c r="CM22" s="17">
        <v>-9.1074681238615673E-3</v>
      </c>
      <c r="CN22" s="17">
        <v>-1.8833535844471446E-2</v>
      </c>
      <c r="CO22" s="17">
        <v>-1.7990074441687345E-2</v>
      </c>
      <c r="CP22" s="17">
        <v>-1.11731843575419E-2</v>
      </c>
      <c r="CQ22" s="17">
        <v>-7.4028377544725476E-3</v>
      </c>
      <c r="CR22" s="17">
        <v>-1.1090573012939002E-2</v>
      </c>
      <c r="CS22" s="17">
        <v>-1.4032946918852958E-2</v>
      </c>
      <c r="CT22" s="17">
        <v>0</v>
      </c>
      <c r="CU22" s="17">
        <v>-1.9393939393939394E-2</v>
      </c>
      <c r="CV22" s="17">
        <v>-1.4678899082568808E-2</v>
      </c>
      <c r="CW22" s="17">
        <v>-1.4223871366728509E-2</v>
      </c>
      <c r="CX22" s="17">
        <v>-8.6419753086419745E-3</v>
      </c>
      <c r="CY22" s="17">
        <v>-1.4760147601476014E-2</v>
      </c>
      <c r="CZ22" s="17">
        <v>-1.2180267965895249E-2</v>
      </c>
      <c r="DA22" s="17">
        <v>-6.392694063926941E-3</v>
      </c>
      <c r="DB22" s="17">
        <v>-1.1479987589202606E-2</v>
      </c>
      <c r="DC22" s="17">
        <v>-1.2603750384260683E-2</v>
      </c>
      <c r="DD22" s="17">
        <v>-1.5873015873015872E-2</v>
      </c>
      <c r="DE22" s="17">
        <v>-1.6019716574245224E-2</v>
      </c>
      <c r="DF22" s="17">
        <v>-1.6969696969696971E-2</v>
      </c>
      <c r="DG22" s="17">
        <v>1.0256410256410256E-2</v>
      </c>
      <c r="DH22" s="17">
        <v>-9.8883572567783091E-3</v>
      </c>
      <c r="DI22" s="17">
        <v>-8.3014048531289911E-3</v>
      </c>
      <c r="DJ22" s="17">
        <v>-4.419191919191919E-3</v>
      </c>
      <c r="DK22" s="17">
        <v>-5.6461731493099125E-3</v>
      </c>
      <c r="DL22" s="17">
        <v>-1.5028177833437696E-2</v>
      </c>
      <c r="DM22" s="17">
        <v>-6.5703022339027592E-3</v>
      </c>
      <c r="DN22" s="17">
        <v>-1.0080645161290322E-2</v>
      </c>
      <c r="DO22" s="17">
        <v>-1.028101439342015E-2</v>
      </c>
      <c r="DP22" s="17">
        <v>-6.8634179821551134E-3</v>
      </c>
      <c r="DQ22" s="17">
        <v>-2.1746634449430445E-2</v>
      </c>
      <c r="DR22" s="17">
        <v>-1.3194444444444444E-2</v>
      </c>
      <c r="DS22" s="17">
        <v>-9.1228070175438589E-3</v>
      </c>
      <c r="DT22" s="17">
        <v>-6.6363953894516244E-3</v>
      </c>
      <c r="DU22" s="17">
        <v>-1.32404181184669E-2</v>
      </c>
      <c r="DV22" s="17">
        <v>-1.5883977900552487E-2</v>
      </c>
      <c r="DW22" s="17">
        <v>-7.9447322970639025E-3</v>
      </c>
      <c r="DX22" s="17">
        <v>-1.0122164048865619E-2</v>
      </c>
      <c r="DY22" s="17">
        <v>-1.0820244328097731E-2</v>
      </c>
      <c r="DZ22" s="17">
        <v>-1.1454356126345018E-2</v>
      </c>
      <c r="EA22" s="17">
        <v>-1.3249651324965132E-2</v>
      </c>
      <c r="EB22" s="17">
        <v>-7.7030812324929976E-3</v>
      </c>
      <c r="EC22" s="17">
        <v>-1.2842762929538355E-2</v>
      </c>
      <c r="ED22" s="17">
        <v>-9.0782122905027941E-3</v>
      </c>
      <c r="EE22" s="17">
        <v>-1.510361784334387E-2</v>
      </c>
      <c r="EF22" s="17">
        <v>-1.5536723163841809E-2</v>
      </c>
      <c r="EG22" s="17">
        <v>-1.1107130060910068E-2</v>
      </c>
      <c r="EH22" s="17">
        <v>-1.3106624158696423E-2</v>
      </c>
      <c r="EI22" s="17">
        <v>-1.5602836879432624E-2</v>
      </c>
      <c r="EJ22" s="17">
        <v>-1.2048192771084338E-2</v>
      </c>
      <c r="EK22" s="17">
        <v>-1.6590187080833037E-2</v>
      </c>
      <c r="EL22" s="17">
        <v>-7.8796561604584526E-3</v>
      </c>
      <c r="EM22" s="17">
        <v>-1.0729613733905579E-2</v>
      </c>
    </row>
    <row r="23" spans="1:143" s="17" customFormat="1" x14ac:dyDescent="0.2">
      <c r="A23" s="17" t="str">
        <f>Input!M23</f>
        <v>PP</v>
      </c>
      <c r="B23" s="17">
        <v>-7.1062806980875743E-3</v>
      </c>
      <c r="C23" s="17">
        <v>-1.3555787278415016E-2</v>
      </c>
      <c r="D23" s="17">
        <v>0</v>
      </c>
      <c r="E23" s="17">
        <v>-5.868790609935024E-3</v>
      </c>
      <c r="F23" s="17">
        <v>-7.1820870299957752E-3</v>
      </c>
      <c r="G23" s="17">
        <v>0</v>
      </c>
      <c r="H23" s="17">
        <v>-5.2999999999999998E-4</v>
      </c>
      <c r="I23" s="17">
        <v>-7.0153061224489796E-3</v>
      </c>
      <c r="J23" s="17">
        <v>-1.9388830347734459E-2</v>
      </c>
      <c r="K23" s="17">
        <v>-2.3772448873663449E-2</v>
      </c>
      <c r="L23" s="17">
        <v>-1.8871837411862297E-2</v>
      </c>
      <c r="M23" s="17">
        <v>-1.4405010438413361E-2</v>
      </c>
      <c r="N23" s="17">
        <v>-1.7534758248599295E-2</v>
      </c>
      <c r="O23" s="17">
        <v>-1.8875883159337761E-2</v>
      </c>
      <c r="P23" s="17">
        <v>-1.6530654948734045E-2</v>
      </c>
      <c r="Q23" s="17">
        <v>-2.3629489603024575E-2</v>
      </c>
      <c r="R23" s="17">
        <v>-2.3789384647917106E-2</v>
      </c>
      <c r="S23" s="17">
        <v>-8.6104832633731568E-4</v>
      </c>
      <c r="T23" s="17">
        <v>-6.021505376344086E-3</v>
      </c>
      <c r="U23" s="17">
        <v>1.9715224534501644E-3</v>
      </c>
      <c r="V23" s="17">
        <v>9.3581415831773644E-3</v>
      </c>
      <c r="W23" s="17">
        <v>1.0976948408342481E-4</v>
      </c>
      <c r="X23" s="17">
        <v>2.7654867256637168E-3</v>
      </c>
      <c r="Y23" s="17">
        <v>0</v>
      </c>
      <c r="Z23" s="17">
        <v>4.4247787610619468E-3</v>
      </c>
      <c r="AA23" s="17">
        <v>0</v>
      </c>
      <c r="AB23" s="17">
        <v>-2.7391256710857896E-3</v>
      </c>
      <c r="AC23" s="17">
        <v>-3.078953155926985E-3</v>
      </c>
      <c r="AD23" s="17">
        <v>1.7746228926353151E-3</v>
      </c>
      <c r="AE23" s="17">
        <v>-2.3408761565042917E-3</v>
      </c>
      <c r="AF23" s="17">
        <v>-1.3315579227696406E-3</v>
      </c>
      <c r="AG23" s="17">
        <v>-2.6449195503636764E-3</v>
      </c>
      <c r="AH23" s="17">
        <v>-5.697381395858442E-3</v>
      </c>
      <c r="AI23" s="17">
        <v>-2.6449195503636764E-3</v>
      </c>
      <c r="AJ23" s="17">
        <v>-5.5648302726766831E-3</v>
      </c>
      <c r="AK23" s="17">
        <v>-5.6976874092280194E-3</v>
      </c>
      <c r="AL23" s="17">
        <v>-7.0921985815602835E-3</v>
      </c>
      <c r="AM23" s="17">
        <v>-5.6356345507749001E-3</v>
      </c>
      <c r="AN23" s="17">
        <v>-5.5066079295154188E-3</v>
      </c>
      <c r="AO23" s="17">
        <v>-1.1293179805137289E-2</v>
      </c>
      <c r="AP23" s="17">
        <v>-8.9731940027260332E-3</v>
      </c>
      <c r="AQ23" s="17">
        <v>-8.8774019552758741E-3</v>
      </c>
      <c r="AR23" s="17">
        <v>-1.6430339860454647E-2</v>
      </c>
      <c r="AS23" s="17">
        <v>-1.6875340228633642E-2</v>
      </c>
      <c r="AT23" s="17">
        <v>-1.5258088951412185E-2</v>
      </c>
      <c r="AU23" s="17">
        <v>-1.676829268292683E-2</v>
      </c>
      <c r="AV23" s="17">
        <v>-1.5599999999999999E-2</v>
      </c>
      <c r="AW23" s="17">
        <v>-1.2616565999999999E-2</v>
      </c>
      <c r="AX23" s="17">
        <v>-1.0800000000000001E-2</v>
      </c>
      <c r="AY23" s="17">
        <v>-1.6400000000000001E-2</v>
      </c>
      <c r="AZ23" s="17">
        <v>-1.77E-2</v>
      </c>
      <c r="BA23" s="17">
        <v>-1.9607843137254902E-2</v>
      </c>
      <c r="BB23" s="17">
        <v>-1.7000000000000001E-2</v>
      </c>
      <c r="BC23" s="17">
        <v>-1.67E-2</v>
      </c>
      <c r="BD23" s="17">
        <v>-1.52E-2</v>
      </c>
      <c r="BE23" s="17">
        <v>-1.4999999999999999E-2</v>
      </c>
      <c r="BF23" s="17">
        <v>-2.0794366817031576E-2</v>
      </c>
      <c r="BG23" s="17">
        <v>-2.1099999999999997E-2</v>
      </c>
      <c r="BH23" s="17">
        <v>-8.6E-3</v>
      </c>
      <c r="BI23" s="17">
        <v>-2E-3</v>
      </c>
      <c r="BJ23" s="17">
        <v>-1.34E-2</v>
      </c>
      <c r="BK23" s="17">
        <v>-1.41E-2</v>
      </c>
      <c r="BL23" s="17">
        <v>-1.7531876138433516E-2</v>
      </c>
      <c r="BM23" s="17">
        <v>-1.0852362649785214E-2</v>
      </c>
      <c r="BN23" s="17">
        <v>-1.9170753455193937E-2</v>
      </c>
      <c r="BO23" s="17">
        <v>-1.6299999999999999E-2</v>
      </c>
      <c r="BP23" s="17">
        <v>-2.4363355749090508E-2</v>
      </c>
      <c r="BQ23" s="17">
        <v>-2.1987686895338612E-2</v>
      </c>
      <c r="BR23" s="17">
        <v>-1.95E-2</v>
      </c>
      <c r="BS23" s="17">
        <v>-1.6615801966768397E-2</v>
      </c>
      <c r="BT23" s="17">
        <v>-2.1929824561403508E-2</v>
      </c>
      <c r="BU23" s="17">
        <v>-1.7945070576649524E-2</v>
      </c>
      <c r="BV23" s="17">
        <v>-1.5253477E-2</v>
      </c>
      <c r="BW23" s="17">
        <v>-1.1719630380887988E-2</v>
      </c>
      <c r="BX23" s="17">
        <v>-1.077261670334762E-2</v>
      </c>
      <c r="BY23" s="17">
        <v>-1.0499885870805753E-2</v>
      </c>
      <c r="BZ23" s="17">
        <v>-1.5245623941276116E-2</v>
      </c>
      <c r="CA23" s="17">
        <v>-1.330885727397889E-2</v>
      </c>
      <c r="CB23" s="17">
        <v>-1.1416828405069072E-2</v>
      </c>
      <c r="CC23" s="17">
        <v>-1.4972419227738377E-2</v>
      </c>
      <c r="CD23" s="17">
        <v>-1.5649807212519847E-2</v>
      </c>
      <c r="CE23" s="17">
        <v>-1.483541956420955E-2</v>
      </c>
      <c r="CF23" s="17">
        <v>-1.7670309230411532E-2</v>
      </c>
      <c r="CG23" s="17">
        <v>-1.5177847294635616E-2</v>
      </c>
      <c r="CH23" s="17">
        <v>-1.9051939215241551E-2</v>
      </c>
      <c r="CI23" s="17">
        <v>-2.279395170390431E-2</v>
      </c>
      <c r="CJ23" s="17">
        <v>-2.2771484151504748E-2</v>
      </c>
      <c r="CK23" s="17">
        <v>-2.116102749801969E-2</v>
      </c>
      <c r="CL23" s="17">
        <v>-3.2587931228227891E-3</v>
      </c>
      <c r="CM23" s="17">
        <v>-1.4444444444444444E-2</v>
      </c>
      <c r="CN23" s="17">
        <v>2.2222222222222222E-3</v>
      </c>
      <c r="CO23" s="17">
        <v>2.7979854504756574E-3</v>
      </c>
      <c r="CP23" s="17">
        <v>-4.2861852950873726E-3</v>
      </c>
      <c r="CQ23" s="17">
        <v>2.4022712382616293E-3</v>
      </c>
      <c r="CR23" s="17">
        <v>-2.3701788407670759E-3</v>
      </c>
      <c r="CS23" s="17">
        <v>-2.1551724137931034E-3</v>
      </c>
      <c r="CT23" s="17">
        <v>-2.5559105431309903E-2</v>
      </c>
      <c r="CU23" s="17">
        <v>-1.2466124661246613E-2</v>
      </c>
      <c r="CV23" s="17">
        <v>-1.4317180616740088E-2</v>
      </c>
      <c r="CW23" s="17">
        <v>-9.3188373641002881E-3</v>
      </c>
      <c r="CX23" s="17">
        <v>-2.2598241122119559E-2</v>
      </c>
      <c r="CY23" s="17">
        <v>-1.0146561443066516E-2</v>
      </c>
      <c r="CZ23" s="17">
        <v>-1.1673151750972763E-2</v>
      </c>
      <c r="DA23" s="17">
        <v>-1.2387387387387387E-2</v>
      </c>
      <c r="DB23" s="17">
        <v>-2.1555129217921229E-2</v>
      </c>
      <c r="DC23" s="17">
        <v>-2.3931623931623933E-2</v>
      </c>
      <c r="DD23" s="17">
        <v>-1.0850942318675044E-2</v>
      </c>
      <c r="DE23" s="17">
        <v>-1.6755876192692577E-2</v>
      </c>
      <c r="DF23" s="17">
        <v>-2.058857741072467E-2</v>
      </c>
      <c r="DG23" s="17">
        <v>-7.7704722056186493E-3</v>
      </c>
      <c r="DH23" s="17">
        <v>-2.1946564885496182E-2</v>
      </c>
      <c r="DI23" s="17">
        <v>-1.7225106182161398E-2</v>
      </c>
      <c r="DJ23" s="17">
        <v>-1.3537374926427309E-2</v>
      </c>
      <c r="DK23" s="17">
        <v>-1.9630754849263847E-2</v>
      </c>
      <c r="DL23" s="17">
        <v>1.1249121162409188E-2</v>
      </c>
      <c r="DM23" s="17">
        <v>-1.4368839805248782E-2</v>
      </c>
      <c r="DN23" s="17">
        <v>-1.4659937515020427E-2</v>
      </c>
      <c r="DO23" s="17">
        <v>-1.6587677725118485E-2</v>
      </c>
      <c r="DP23" s="17">
        <v>-1.9961519961519961E-2</v>
      </c>
      <c r="DQ23" s="17">
        <v>-1.9957234497505347E-2</v>
      </c>
      <c r="DR23" s="17">
        <v>-1.839025555290184E-2</v>
      </c>
      <c r="DS23" s="17">
        <v>-1.7705554208100896E-2</v>
      </c>
      <c r="DT23" s="17">
        <v>-1.8300812022785117E-2</v>
      </c>
      <c r="DU23" s="17">
        <v>-1.6432769581384191E-2</v>
      </c>
      <c r="DV23" s="17">
        <v>-1.4749262536873156E-2</v>
      </c>
      <c r="DW23" s="17">
        <v>-1.6837395502178266E-2</v>
      </c>
      <c r="DX23" s="17">
        <v>-1.7783535508185136E-2</v>
      </c>
      <c r="DY23" s="17">
        <v>-2.2878932316491896E-2</v>
      </c>
      <c r="DZ23" s="17">
        <v>-3.8325887608746764E-2</v>
      </c>
      <c r="EA23" s="17">
        <v>-1.6512870325400681E-2</v>
      </c>
      <c r="EB23" s="17">
        <v>-1.6953286986217831E-2</v>
      </c>
      <c r="EC23" s="17">
        <v>-1.4238773274917854E-2</v>
      </c>
      <c r="ED23" s="17">
        <v>-2.0278676287633739E-2</v>
      </c>
      <c r="EE23" s="17">
        <v>-1.6801493466085875E-2</v>
      </c>
      <c r="EF23" s="17">
        <v>-2.4180680004909784E-2</v>
      </c>
      <c r="EG23" s="17">
        <v>-3.1742125984251968E-2</v>
      </c>
      <c r="EH23" s="17">
        <v>-1.0319532512744001E-2</v>
      </c>
      <c r="EI23" s="17">
        <v>-2.9005352919208267E-2</v>
      </c>
      <c r="EJ23" s="17">
        <v>-1.5122633117295718E-2</v>
      </c>
      <c r="EK23" s="17">
        <v>-2.7935785614966503E-2</v>
      </c>
      <c r="EL23" s="17">
        <v>-1.939517672578793E-2</v>
      </c>
      <c r="EM23" s="17">
        <v>-1.825912956478239E-2</v>
      </c>
    </row>
    <row r="24" spans="1:143" s="17" customFormat="1" x14ac:dyDescent="0.2">
      <c r="A24" s="17" t="str">
        <f>Input!M24</f>
        <v>C</v>
      </c>
      <c r="B24" s="17">
        <v>3.2942490228922393E-2</v>
      </c>
      <c r="C24" s="17">
        <v>2.7359017308766054E-2</v>
      </c>
      <c r="D24" s="17">
        <v>2.8507546115148129E-2</v>
      </c>
      <c r="E24" s="17">
        <v>2.3928770172509738E-2</v>
      </c>
      <c r="F24" s="17">
        <v>2.3928770172509738E-2</v>
      </c>
      <c r="G24" s="17">
        <v>2.1654636313159357E-2</v>
      </c>
      <c r="H24" s="17">
        <v>1.6012999999999999E-2</v>
      </c>
      <c r="I24" s="17">
        <v>1.098901098901099E-2</v>
      </c>
      <c r="J24" s="17">
        <v>1.3143483023001095E-2</v>
      </c>
      <c r="K24" s="17">
        <v>1.1481683980317113E-2</v>
      </c>
      <c r="L24" s="17">
        <v>9.3252879868348879E-3</v>
      </c>
      <c r="M24" s="17">
        <v>1.2101210121012101E-2</v>
      </c>
      <c r="N24" s="17">
        <v>7.1154898741105635E-3</v>
      </c>
      <c r="O24" s="17">
        <v>1.043382756727073E-2</v>
      </c>
      <c r="P24" s="17">
        <v>7.0384407146724419E-3</v>
      </c>
      <c r="Q24" s="17">
        <v>-1.4008620689655173E-2</v>
      </c>
      <c r="R24" s="17">
        <v>-1.2479652740097666E-2</v>
      </c>
      <c r="S24" s="17">
        <v>-1.092896174863388E-2</v>
      </c>
      <c r="T24" s="17">
        <v>2.5200458190148912E-2</v>
      </c>
      <c r="U24" s="17">
        <v>2.5345622119815669E-2</v>
      </c>
      <c r="V24" s="17">
        <v>1.4823261117445839E-2</v>
      </c>
      <c r="W24" s="17">
        <v>1.309049516220831E-2</v>
      </c>
      <c r="X24" s="17">
        <v>2.6965002868617326E-2</v>
      </c>
      <c r="Y24" s="17">
        <v>2.8144744399770247E-2</v>
      </c>
      <c r="Z24" s="17">
        <v>1.4823261117445839E-2</v>
      </c>
      <c r="AA24" s="17">
        <v>5.7142857142857143E-3</v>
      </c>
      <c r="AB24" s="17">
        <v>1.097631426920855E-2</v>
      </c>
      <c r="AC24" s="17">
        <v>6.3620589936379413E-3</v>
      </c>
      <c r="AD24" s="17">
        <v>1.1574074074074073E-3</v>
      </c>
      <c r="AE24" s="17">
        <v>5.244755244755245E-3</v>
      </c>
      <c r="AF24" s="17">
        <v>4.6592894583576006E-3</v>
      </c>
      <c r="AG24" s="17">
        <v>1.1137162954279016E-2</v>
      </c>
      <c r="AH24" s="17">
        <v>4.1103934233705222E-3</v>
      </c>
      <c r="AI24" s="17">
        <v>2.3446658851113715E-3</v>
      </c>
      <c r="AJ24" s="17">
        <v>-4.1007615700058581E-3</v>
      </c>
      <c r="AK24" s="17">
        <v>2.3378141437755697E-3</v>
      </c>
      <c r="AL24" s="17">
        <v>-5.8139534883720929E-3</v>
      </c>
      <c r="AM24" s="17">
        <v>-1.3921113689095127E-2</v>
      </c>
      <c r="AN24" s="17">
        <v>-1.2202208018593841E-2</v>
      </c>
      <c r="AO24" s="17">
        <v>-1.0538641686182669E-2</v>
      </c>
      <c r="AP24" s="17">
        <v>-1.9836639439906652E-2</v>
      </c>
      <c r="AQ24" s="17">
        <v>-1.8118059614260665E-2</v>
      </c>
      <c r="AR24" s="17">
        <v>-2.524955960070464E-2</v>
      </c>
      <c r="AS24" s="17">
        <v>-2.9982363315696647E-2</v>
      </c>
      <c r="AT24" s="17">
        <v>-3.69935408103347E-2</v>
      </c>
      <c r="AU24" s="17">
        <v>-3.3018867924528301E-2</v>
      </c>
      <c r="AV24" s="17">
        <v>-3.0700000000000002E-2</v>
      </c>
      <c r="AW24" s="17">
        <v>-2.9011248999999999E-2</v>
      </c>
      <c r="AX24" s="17">
        <v>-1.61E-2</v>
      </c>
      <c r="AY24" s="17">
        <v>-2.1299999999999999E-2</v>
      </c>
      <c r="AZ24" s="17">
        <v>-2.9600000000000001E-2</v>
      </c>
      <c r="BA24" s="17">
        <v>-2.9585798816568046E-2</v>
      </c>
      <c r="BB24" s="17">
        <v>-2.0199999999999999E-2</v>
      </c>
      <c r="BC24" s="17">
        <v>-1.9E-2</v>
      </c>
      <c r="BD24" s="17">
        <v>-1.61E-2</v>
      </c>
      <c r="BE24" s="17">
        <v>-1.61E-2</v>
      </c>
      <c r="BF24" s="17">
        <v>-1.4336917562724014E-2</v>
      </c>
      <c r="BG24" s="17">
        <v>-9.0000000000000011E-3</v>
      </c>
      <c r="BH24" s="17">
        <v>-8.3999999999999995E-3</v>
      </c>
      <c r="BI24" s="17">
        <v>-9.5999999999999992E-3</v>
      </c>
      <c r="BJ24" s="17">
        <v>-4.7999999999999996E-3</v>
      </c>
      <c r="BK24" s="17">
        <v>7.8000000000000005E-3</v>
      </c>
      <c r="BL24" s="17">
        <v>1.388050694025347E-2</v>
      </c>
      <c r="BM24" s="17">
        <v>1.9796040791841631E-2</v>
      </c>
      <c r="BN24" s="17">
        <v>1.4319809069212411E-2</v>
      </c>
      <c r="BO24" s="17">
        <v>1.49E-2</v>
      </c>
      <c r="BP24" s="17">
        <v>1.9184652278177457E-2</v>
      </c>
      <c r="BQ24" s="17">
        <v>2.1021021021021023E-2</v>
      </c>
      <c r="BR24" s="17">
        <v>1.7399999999999999E-2</v>
      </c>
      <c r="BS24" s="17">
        <v>2.4565608148591971E-2</v>
      </c>
      <c r="BT24" s="17">
        <v>2.028639618138425E-2</v>
      </c>
      <c r="BU24" s="17">
        <v>1.8463371054198929E-2</v>
      </c>
      <c r="BV24" s="17">
        <v>2.2115959000000001E-2</v>
      </c>
      <c r="BW24" s="17">
        <v>1.1302795954788817E-2</v>
      </c>
      <c r="BX24" s="17">
        <v>3.5842293906810036E-3</v>
      </c>
      <c r="BY24" s="17">
        <v>4.7846889952153108E-3</v>
      </c>
      <c r="BZ24" s="17">
        <v>3.5842293906810036E-3</v>
      </c>
      <c r="CA24" s="17">
        <v>-2.3612750885478157E-3</v>
      </c>
      <c r="CB24" s="17">
        <v>-8.7976539589442824E-3</v>
      </c>
      <c r="CC24" s="17">
        <v>-1.2850467289719626E-2</v>
      </c>
      <c r="CD24" s="17">
        <v>-2.3255813953488372E-2</v>
      </c>
      <c r="CE24" s="17">
        <v>-1.8691588785046728E-2</v>
      </c>
      <c r="CF24" s="17">
        <v>-2.3255813953488372E-2</v>
      </c>
      <c r="CG24" s="17">
        <v>-1.4084507042253521E-2</v>
      </c>
      <c r="CH24" s="17">
        <v>-1.3505578391074574E-2</v>
      </c>
      <c r="CI24" s="17">
        <v>-9.433962264150943E-3</v>
      </c>
      <c r="CJ24" s="17">
        <v>-7.6786769049025398E-3</v>
      </c>
      <c r="CK24" s="17">
        <v>-8.2644628099173556E-3</v>
      </c>
      <c r="CL24" s="17">
        <v>4.3478260869565216E-2</v>
      </c>
      <c r="CM24" s="17">
        <v>3.0674846625766871E-2</v>
      </c>
      <c r="CN24" s="17">
        <v>3.0674846625766871E-2</v>
      </c>
      <c r="CO24" s="17">
        <v>5.9880239520958087E-3</v>
      </c>
      <c r="CP24" s="17">
        <v>2.4390243902439025E-2</v>
      </c>
      <c r="CQ24" s="17">
        <v>1.4492753623188406E-2</v>
      </c>
      <c r="CR24" s="17">
        <v>9.0634441087613302E-3</v>
      </c>
      <c r="CS24" s="17">
        <v>2.1406727828746176E-2</v>
      </c>
      <c r="CT24" s="17">
        <v>1.8292682926829267E-2</v>
      </c>
      <c r="CU24" s="17">
        <v>2.9593094944512947E-2</v>
      </c>
      <c r="CV24" s="17">
        <v>2.6429010448678548E-2</v>
      </c>
      <c r="CW24" s="17">
        <v>1.3964784456587736E-2</v>
      </c>
      <c r="CX24" s="17">
        <v>-6.582884500299222E-3</v>
      </c>
      <c r="CY24" s="17">
        <v>-1.6587677725118485E-2</v>
      </c>
      <c r="CZ24" s="17">
        <v>-2.5821596244131457E-2</v>
      </c>
      <c r="DA24" s="17">
        <v>-2.4103468547912992E-2</v>
      </c>
      <c r="DB24" s="17">
        <v>-2.9807130333138514E-2</v>
      </c>
      <c r="DC24" s="17">
        <v>-2.2954679223072396E-2</v>
      </c>
      <c r="DD24" s="17">
        <v>-2.2954679223072396E-2</v>
      </c>
      <c r="DE24" s="17">
        <v>-2.0648967551622419E-2</v>
      </c>
      <c r="DF24" s="17">
        <v>-2.4246008279124778E-2</v>
      </c>
      <c r="DG24" s="17">
        <v>-2.0190023752969122E-2</v>
      </c>
      <c r="DH24" s="17">
        <v>-2.2511848341232227E-2</v>
      </c>
      <c r="DI24" s="17">
        <v>-2.2511848341232227E-2</v>
      </c>
      <c r="DJ24" s="17">
        <v>-1.9024970273483946E-2</v>
      </c>
      <c r="DK24" s="17">
        <v>-1.7857142857142856E-2</v>
      </c>
      <c r="DL24" s="17">
        <v>-2.3228111971411555E-2</v>
      </c>
      <c r="DM24" s="17">
        <v>-1.5015015015015015E-2</v>
      </c>
      <c r="DN24" s="17">
        <v>-1.3237063778580024E-2</v>
      </c>
      <c r="DO24" s="17">
        <v>-1.3830426939266387E-2</v>
      </c>
      <c r="DP24" s="17">
        <v>-1.0259505129752565E-2</v>
      </c>
      <c r="DQ24" s="17">
        <v>-2.4330900243309003E-3</v>
      </c>
      <c r="DR24" s="17">
        <v>-7.2639225181598066E-3</v>
      </c>
      <c r="DS24" s="17">
        <v>-5.4578532443905394E-3</v>
      </c>
      <c r="DT24" s="17">
        <v>-1.0856453558504222E-2</v>
      </c>
      <c r="DU24" s="17">
        <v>1.8105009052504525E-3</v>
      </c>
      <c r="DV24" s="17">
        <v>4.8134777376654635E-3</v>
      </c>
      <c r="DW24" s="17">
        <v>1.0222489476849068E-2</v>
      </c>
      <c r="DX24" s="17">
        <v>5.9880239520958087E-3</v>
      </c>
      <c r="DY24" s="17">
        <v>1.1904761904761904E-2</v>
      </c>
      <c r="DZ24" s="17">
        <v>1.070154577883472E-2</v>
      </c>
      <c r="EA24" s="17">
        <v>1.0101010101010102E-2</v>
      </c>
      <c r="EB24" s="17">
        <v>5.9171597633136093E-3</v>
      </c>
      <c r="EC24" s="17">
        <v>1.7964071856287425E-2</v>
      </c>
      <c r="ED24" s="17">
        <v>1.3797240551889621E-2</v>
      </c>
      <c r="EE24" s="17">
        <v>1.3797240551889621E-2</v>
      </c>
      <c r="EF24" s="17">
        <v>4.7562425683709865E-3</v>
      </c>
      <c r="EG24" s="17">
        <v>8.9552238805970154E-3</v>
      </c>
      <c r="EH24" s="17">
        <v>5.9206631142687976E-4</v>
      </c>
      <c r="EI24" s="17">
        <v>3.605769230769231E-3</v>
      </c>
      <c r="EJ24" s="17">
        <v>4.1841004184100415E-3</v>
      </c>
      <c r="EK24" s="17">
        <v>-8.3135391923990498E-3</v>
      </c>
      <c r="EL24" s="17">
        <v>-7.1343638525564806E-3</v>
      </c>
      <c r="EM24" s="17">
        <v>-1.4251781472684086E-2</v>
      </c>
    </row>
    <row r="25" spans="1:143" s="17" customFormat="1" x14ac:dyDescent="0.2">
      <c r="A25" s="17" t="str">
        <f>Input!M25</f>
        <v>NI</v>
      </c>
      <c r="B25" s="17">
        <v>-1.0411645618432469E-2</v>
      </c>
      <c r="C25" s="17">
        <v>-2.105564024390244E-2</v>
      </c>
      <c r="D25" s="17">
        <v>-9.9707926276563601E-3</v>
      </c>
      <c r="E25" s="17">
        <v>-2.8621077379127058E-3</v>
      </c>
      <c r="F25" s="17">
        <v>-4.0733197556008143E-3</v>
      </c>
      <c r="G25" s="17">
        <v>-2.3988318731748017E-3</v>
      </c>
      <c r="H25" s="17">
        <v>-6.0699999999999999E-3</v>
      </c>
      <c r="I25" s="17">
        <v>-3.3922697368421054E-3</v>
      </c>
      <c r="J25" s="17">
        <v>4.7822547822547823E-3</v>
      </c>
      <c r="K25" s="17">
        <v>-1.028662738440028E-2</v>
      </c>
      <c r="L25" s="17">
        <v>-1.0154836115021115E-2</v>
      </c>
      <c r="M25" s="17">
        <v>-1.2052953961667655E-2</v>
      </c>
      <c r="N25" s="17">
        <v>-1.1916583912611719E-2</v>
      </c>
      <c r="O25" s="17">
        <v>-1.1276681433749497E-2</v>
      </c>
      <c r="P25" s="17">
        <v>-9.0779273765809881E-3</v>
      </c>
      <c r="Q25" s="17">
        <v>-1.0411402001415142E-2</v>
      </c>
      <c r="R25" s="17">
        <v>-7.7900779007790081E-3</v>
      </c>
      <c r="S25" s="17">
        <v>2.3584905660377358E-3</v>
      </c>
      <c r="T25" s="17">
        <v>-1.9439328831594026E-3</v>
      </c>
      <c r="U25" s="17">
        <v>5.4319440091925211E-3</v>
      </c>
      <c r="V25" s="17">
        <v>3.4031692013187279E-3</v>
      </c>
      <c r="W25" s="17">
        <v>2.1344717182497333E-3</v>
      </c>
      <c r="X25" s="17">
        <v>1.7041218447118968E-3</v>
      </c>
      <c r="Y25" s="17">
        <v>0</v>
      </c>
      <c r="Z25" s="17">
        <v>5.3888419273034659E-3</v>
      </c>
      <c r="AA25" s="17">
        <v>2.631578947368421E-3</v>
      </c>
      <c r="AB25" s="17">
        <v>2.329768082177274E-3</v>
      </c>
      <c r="AC25" s="17">
        <v>1.3694233443885739E-2</v>
      </c>
      <c r="AD25" s="17">
        <v>1.0231556273559504E-2</v>
      </c>
      <c r="AE25" s="17">
        <v>1.8924635422464654E-3</v>
      </c>
      <c r="AF25" s="17">
        <v>8.0151397083379709E-3</v>
      </c>
      <c r="AG25" s="17">
        <v>7.6216095045953825E-3</v>
      </c>
      <c r="AH25" s="17">
        <v>4.2687036620984052E-3</v>
      </c>
      <c r="AI25" s="17">
        <v>1.6978318228748422E-2</v>
      </c>
      <c r="AJ25" s="17">
        <v>1.0179843909060061E-3</v>
      </c>
      <c r="AK25" s="17">
        <v>-2.2943673282092462E-4</v>
      </c>
      <c r="AL25" s="17">
        <v>2.7551371828722303E-3</v>
      </c>
      <c r="AM25" s="17">
        <v>8.1623648797705707E-3</v>
      </c>
      <c r="AN25" s="17">
        <v>3.9630118890356669E-3</v>
      </c>
      <c r="AO25" s="17">
        <v>4.4817927170868344E-3</v>
      </c>
      <c r="AP25" s="17">
        <v>6.6334991708126038E-3</v>
      </c>
      <c r="AQ25" s="17">
        <v>-1.6366612111292963E-3</v>
      </c>
      <c r="AR25" s="17">
        <v>8.241758241758242E-3</v>
      </c>
      <c r="AS25" s="17">
        <v>8.656180724163411E-3</v>
      </c>
      <c r="AT25" s="17">
        <v>6.3098117572825743E-4</v>
      </c>
      <c r="AU25" s="17">
        <v>7.1291764205150031E-3</v>
      </c>
      <c r="AV25" s="17">
        <v>-1.9E-3</v>
      </c>
      <c r="AW25" s="17">
        <v>3.7674919999999999E-3</v>
      </c>
      <c r="AX25" s="17">
        <v>4.1000000000000003E-3</v>
      </c>
      <c r="AY25" s="17">
        <v>6.4000000000000003E-3</v>
      </c>
      <c r="AZ25" s="17">
        <v>3.8E-3</v>
      </c>
      <c r="BA25" s="17">
        <v>-1.611928269192021E-3</v>
      </c>
      <c r="BB25" s="17">
        <v>-6.8000000000000005E-3</v>
      </c>
      <c r="BC25" s="17">
        <v>3.9000000000000003E-3</v>
      </c>
      <c r="BD25" s="17">
        <v>2.0799999999999999E-2</v>
      </c>
      <c r="BE25" s="17">
        <v>3.3E-3</v>
      </c>
      <c r="BF25" s="17">
        <v>4.5997259737717757E-3</v>
      </c>
      <c r="BG25" s="17">
        <v>-2.2000000000000001E-3</v>
      </c>
      <c r="BH25" s="17">
        <v>2.8999999999999998E-3</v>
      </c>
      <c r="BI25" s="17">
        <v>-4.4000000000000003E-3</v>
      </c>
      <c r="BJ25" s="17">
        <v>2.0999999999999999E-3</v>
      </c>
      <c r="BK25" s="17">
        <v>5.1999999999999998E-3</v>
      </c>
      <c r="BL25" s="17">
        <v>3.8776389487289961E-3</v>
      </c>
      <c r="BM25" s="17">
        <v>1.0187667560321715E-2</v>
      </c>
      <c r="BN25" s="17">
        <v>-1.146908560108435E-3</v>
      </c>
      <c r="BO25" s="17">
        <v>5.3E-3</v>
      </c>
      <c r="BP25" s="17">
        <v>2.2909507445589921E-3</v>
      </c>
      <c r="BQ25" s="17">
        <v>-1.0541851149061775E-4</v>
      </c>
      <c r="BR25" s="17">
        <v>-1.6299999999999999E-2</v>
      </c>
      <c r="BS25" s="17">
        <v>-5.5073077737767418E-3</v>
      </c>
      <c r="BT25" s="17">
        <v>7.4168255986437808E-4</v>
      </c>
      <c r="BU25" s="17">
        <v>-2.1204410517387616E-4</v>
      </c>
      <c r="BV25" s="17">
        <v>-2.6867280000000002E-3</v>
      </c>
      <c r="BW25" s="17">
        <v>-1.4187493179089819E-3</v>
      </c>
      <c r="BX25" s="17">
        <v>-2.3395721925133688E-3</v>
      </c>
      <c r="BY25" s="17">
        <v>5.5738823797065185E-3</v>
      </c>
      <c r="BZ25" s="17">
        <v>-1.0205238689193787E-3</v>
      </c>
      <c r="CA25" s="17">
        <v>6.9731710199739984E-3</v>
      </c>
      <c r="CB25" s="17">
        <v>4.6645138141370645E-3</v>
      </c>
      <c r="CC25" s="17">
        <v>-2.3501762632197414E-3</v>
      </c>
      <c r="CD25" s="17">
        <v>7.6425631981187538E-3</v>
      </c>
      <c r="CE25" s="17">
        <v>7.1428571428571426E-3</v>
      </c>
      <c r="CF25" s="17">
        <v>1.2658227848101266E-2</v>
      </c>
      <c r="CG25" s="17">
        <v>1.803020058598152E-3</v>
      </c>
      <c r="CH25" s="17">
        <v>0</v>
      </c>
      <c r="CI25" s="17">
        <v>5.6947608200455585E-3</v>
      </c>
      <c r="CJ25" s="17">
        <v>-1.4750936117099739E-3</v>
      </c>
      <c r="CK25" s="17">
        <v>4.8797094870630959E-3</v>
      </c>
      <c r="CL25" s="17">
        <v>-1.4344036191106697E-3</v>
      </c>
      <c r="CM25" s="17">
        <v>5.3082006283176253E-3</v>
      </c>
      <c r="CN25" s="17">
        <v>-6.217955710701429E-3</v>
      </c>
      <c r="CO25" s="17">
        <v>-1.0330805583031103E-2</v>
      </c>
      <c r="CP25" s="17">
        <v>2.4141912459326124E-3</v>
      </c>
      <c r="CQ25" s="17">
        <v>7.3529411764705881E-3</v>
      </c>
      <c r="CR25" s="17">
        <v>-1.0604453870625664E-3</v>
      </c>
      <c r="CS25" s="17">
        <v>3.2498165426145297E-3</v>
      </c>
      <c r="CT25" s="17">
        <v>5.2410901467505244E-3</v>
      </c>
      <c r="CU25" s="17">
        <v>-1.0752688172043011E-3</v>
      </c>
      <c r="CV25" s="17">
        <v>-4.1089965397923872E-3</v>
      </c>
      <c r="CW25" s="17">
        <v>1.8412217047546844E-3</v>
      </c>
      <c r="CX25" s="17">
        <v>9.4807153630683035E-3</v>
      </c>
      <c r="CY25" s="17">
        <v>5.4764512595837896E-4</v>
      </c>
      <c r="CZ25" s="17">
        <v>-1.9400732916576848E-3</v>
      </c>
      <c r="DA25" s="17">
        <v>4.4067067927773002E-3</v>
      </c>
      <c r="DB25" s="17">
        <v>-7.9452659457073492E-3</v>
      </c>
      <c r="DC25" s="17">
        <v>6.6269052352551359E-4</v>
      </c>
      <c r="DD25" s="17">
        <v>3.4563496487902776E-3</v>
      </c>
      <c r="DE25" s="17">
        <v>5.8105752469494478E-4</v>
      </c>
      <c r="DF25" s="17">
        <v>-2.5398291387670282E-3</v>
      </c>
      <c r="DG25" s="17">
        <v>-9.5602294455066918E-4</v>
      </c>
      <c r="DH25" s="17">
        <v>-3.9295070254822574E-3</v>
      </c>
      <c r="DI25" s="17">
        <v>-5.8788947677836567E-4</v>
      </c>
      <c r="DJ25" s="17">
        <v>7.2235814983106139E-3</v>
      </c>
      <c r="DK25" s="17">
        <v>4.2908500521860139E-3</v>
      </c>
      <c r="DL25" s="17">
        <v>3.5967049541710174E-3</v>
      </c>
      <c r="DM25" s="17">
        <v>5.1888500060335461E-3</v>
      </c>
      <c r="DN25" s="17">
        <v>-2.6563631972953395E-3</v>
      </c>
      <c r="DO25" s="17">
        <v>-1.9228458118014662E-3</v>
      </c>
      <c r="DP25" s="17">
        <v>2.1513087128002869E-3</v>
      </c>
      <c r="DQ25" s="17">
        <v>3.4075696726299136E-3</v>
      </c>
      <c r="DR25" s="17">
        <v>-7.2983821919474516E-4</v>
      </c>
      <c r="DS25" s="17">
        <v>-5.1386233269598474E-3</v>
      </c>
      <c r="DT25" s="17">
        <v>4.6500244738130201E-3</v>
      </c>
      <c r="DU25" s="17">
        <v>-2.9469548133595285E-3</v>
      </c>
      <c r="DV25" s="17">
        <v>-8.0576242217067513E-3</v>
      </c>
      <c r="DW25" s="17">
        <v>-4.2136572065931341E-3</v>
      </c>
      <c r="DX25" s="17">
        <v>-7.3482832889902447E-3</v>
      </c>
      <c r="DY25" s="17">
        <v>-2.8161802355350742E-3</v>
      </c>
      <c r="DZ25" s="17">
        <v>-8.1812460667086209E-3</v>
      </c>
      <c r="EA25" s="17">
        <v>-6.2932662051604785E-3</v>
      </c>
      <c r="EB25" s="17">
        <v>-4.7901172318164627E-3</v>
      </c>
      <c r="EC25" s="17">
        <v>-9.9760070715999502E-3</v>
      </c>
      <c r="ED25" s="17">
        <v>-8.4277060837503297E-3</v>
      </c>
      <c r="EE25" s="17">
        <v>-5.3834033613445378E-3</v>
      </c>
      <c r="EF25" s="17">
        <v>-1.3973108357500659E-2</v>
      </c>
      <c r="EG25" s="17">
        <v>-4.1857953011072103E-3</v>
      </c>
      <c r="EH25" s="17">
        <v>-4.1829712589394148E-3</v>
      </c>
      <c r="EI25" s="17">
        <v>-4.9784714747039827E-3</v>
      </c>
      <c r="EJ25" s="17">
        <v>-2.8071113487501669E-3</v>
      </c>
      <c r="EK25" s="17">
        <v>-7.0170793062359332E-3</v>
      </c>
      <c r="EL25" s="17">
        <v>-3.7145131334571503E-3</v>
      </c>
      <c r="EM25" s="17">
        <v>-9.311950336264873E-3</v>
      </c>
    </row>
    <row r="26" spans="1:143" s="17" customFormat="1" x14ac:dyDescent="0.2">
      <c r="A26" s="17" t="str">
        <f>Input!M26</f>
        <v>Y</v>
      </c>
      <c r="B26" s="17">
        <v>-3.614457831325301E-2</v>
      </c>
      <c r="C26" s="17">
        <v>-3.0806507442021461E-2</v>
      </c>
      <c r="D26" s="17">
        <v>-3.2146560663670928E-2</v>
      </c>
      <c r="E26" s="17">
        <v>-3.5118219749652298E-2</v>
      </c>
      <c r="F26" s="17">
        <v>-3.2426778242677826E-2</v>
      </c>
      <c r="G26" s="17">
        <v>-2.7435807245867042E-2</v>
      </c>
      <c r="H26" s="17">
        <v>-3.288E-2</v>
      </c>
      <c r="I26" s="17">
        <v>-2.6223776223776224E-2</v>
      </c>
      <c r="J26" s="17">
        <v>-2.5453277545327755E-2</v>
      </c>
      <c r="K26" s="17">
        <v>-2.9954719609892023E-2</v>
      </c>
      <c r="L26" s="17">
        <v>-2.9616724738675958E-2</v>
      </c>
      <c r="M26" s="17">
        <v>-2.6288481494292634E-2</v>
      </c>
      <c r="N26" s="17">
        <v>-2.342404409231829E-2</v>
      </c>
      <c r="O26" s="17">
        <v>-2.2829470771359391E-2</v>
      </c>
      <c r="P26" s="17">
        <v>-2.0048392671966817E-2</v>
      </c>
      <c r="Q26" s="17">
        <v>-2.3972602739726026E-2</v>
      </c>
      <c r="R26" s="17">
        <v>-1.9641626464507237E-2</v>
      </c>
      <c r="S26" s="17">
        <v>5.4104477611940295E-2</v>
      </c>
      <c r="T26" s="17">
        <v>5.0185873605947957E-2</v>
      </c>
      <c r="U26" s="17">
        <v>5.5534423735260553E-2</v>
      </c>
      <c r="V26" s="17">
        <v>5.4613935969868174E-2</v>
      </c>
      <c r="W26" s="17">
        <v>4.4776119402985072E-2</v>
      </c>
      <c r="X26" s="17">
        <v>4.6205860255447033E-2</v>
      </c>
      <c r="Y26" s="17">
        <v>4.5028142589118199E-2</v>
      </c>
      <c r="Z26" s="17">
        <v>4.3625423091387741E-2</v>
      </c>
      <c r="AA26" s="17">
        <v>4.4198895027624308E-2</v>
      </c>
      <c r="AB26" s="17">
        <v>2.9888368743248111E-2</v>
      </c>
      <c r="AC26" s="17">
        <v>3.0259365994236311E-2</v>
      </c>
      <c r="AD26" s="17">
        <v>2.7421652421652423E-2</v>
      </c>
      <c r="AE26" s="17">
        <v>2.9989289539450195E-2</v>
      </c>
      <c r="AF26" s="17">
        <v>3.0195381882770871E-2</v>
      </c>
      <c r="AG26" s="17">
        <v>2.3166023166023165E-2</v>
      </c>
      <c r="AH26" s="17">
        <v>2.23698007689619E-2</v>
      </c>
      <c r="AI26" s="17">
        <v>1.6117729502452698E-2</v>
      </c>
      <c r="AJ26" s="17">
        <v>1.8226428321065545E-2</v>
      </c>
      <c r="AK26" s="17">
        <v>1.461886529759833E-2</v>
      </c>
      <c r="AL26" s="17">
        <v>1.0656583018219319E-2</v>
      </c>
      <c r="AM26" s="17">
        <v>1.0291595197255575E-2</v>
      </c>
      <c r="AN26" s="17">
        <v>6.1496412709258624E-3</v>
      </c>
      <c r="AO26" s="17">
        <v>4.0983606557377051E-3</v>
      </c>
      <c r="AP26" s="17">
        <v>6.1391541609822648E-3</v>
      </c>
      <c r="AQ26" s="17">
        <v>9.6153846153846159E-3</v>
      </c>
      <c r="AR26" s="17">
        <v>5.434782608695652E-3</v>
      </c>
      <c r="AS26" s="17">
        <v>8.1604896293777634E-3</v>
      </c>
      <c r="AT26" s="17">
        <v>6.4276048714479025E-3</v>
      </c>
      <c r="AU26" s="17">
        <v>8.7867522811760738E-3</v>
      </c>
      <c r="AV26" s="17">
        <v>6.7999999999999996E-3</v>
      </c>
      <c r="AW26" s="17">
        <v>4.4037939999999999E-3</v>
      </c>
      <c r="AX26" s="17">
        <v>-1E-3</v>
      </c>
      <c r="AY26" s="17">
        <v>-2.3E-3</v>
      </c>
      <c r="AZ26" s="17">
        <v>-3.3E-3</v>
      </c>
      <c r="BA26" s="17">
        <v>-7.6335877862595417E-3</v>
      </c>
      <c r="BB26" s="17">
        <v>-8.199999999999999E-3</v>
      </c>
      <c r="BC26" s="17">
        <v>-1.0800000000000001E-2</v>
      </c>
      <c r="BD26" s="17">
        <v>-1.0800000000000001E-2</v>
      </c>
      <c r="BE26" s="17">
        <v>-1.5300000000000001E-2</v>
      </c>
      <c r="BF26" s="17">
        <v>-1.3050570962479609E-2</v>
      </c>
      <c r="BG26" s="17">
        <v>-1.2800000000000001E-2</v>
      </c>
      <c r="BH26" s="17">
        <v>-1.2800000000000001E-2</v>
      </c>
      <c r="BI26" s="17">
        <v>-1.7600000000000001E-2</v>
      </c>
      <c r="BJ26" s="17">
        <v>-1.44E-2</v>
      </c>
      <c r="BK26" s="17">
        <v>-1.44E-2</v>
      </c>
      <c r="BL26" s="17">
        <v>-2.1035598705501618E-2</v>
      </c>
      <c r="BM26" s="17">
        <v>-1.7275097783572359E-2</v>
      </c>
      <c r="BN26" s="17">
        <v>-2.4828487422410978E-2</v>
      </c>
      <c r="BO26" s="17">
        <v>-2.1000000000000001E-2</v>
      </c>
      <c r="BP26" s="17">
        <v>-1.5126603091088459E-2</v>
      </c>
      <c r="BQ26" s="17">
        <v>-1.4200792602377808E-2</v>
      </c>
      <c r="BR26" s="17">
        <v>-1.5900000000000001E-2</v>
      </c>
      <c r="BS26" s="17">
        <v>-4.3074884029158387E-3</v>
      </c>
      <c r="BT26" s="17">
        <v>-9.8846787479406912E-3</v>
      </c>
      <c r="BU26" s="17">
        <v>-1.2770137524557957E-2</v>
      </c>
      <c r="BV26" s="17">
        <v>-1.2487677000000001E-2</v>
      </c>
      <c r="BW26" s="17">
        <v>-1.155115511551155E-2</v>
      </c>
      <c r="BX26" s="17">
        <v>-1.7178724810042945E-2</v>
      </c>
      <c r="BY26" s="17">
        <v>-1.7827665896335426E-2</v>
      </c>
      <c r="BZ26" s="17">
        <v>-1.6798418972332016E-2</v>
      </c>
      <c r="CA26" s="17">
        <v>-1.8475750577367205E-2</v>
      </c>
      <c r="CB26" s="17">
        <v>-1.6447368421052631E-3</v>
      </c>
      <c r="CC26" s="17">
        <v>-1.3649658758531037E-2</v>
      </c>
      <c r="CD26" s="17">
        <v>-9.0526996443582291E-3</v>
      </c>
      <c r="CE26" s="17">
        <v>-5.50696469063816E-3</v>
      </c>
      <c r="CF26" s="17">
        <v>1.6377649325626204E-2</v>
      </c>
      <c r="CG26" s="17">
        <v>-1.5772870662460567E-3</v>
      </c>
      <c r="CH26" s="17">
        <v>3.155569580309246E-4</v>
      </c>
      <c r="CI26" s="17">
        <v>-1.5748031496062992E-3</v>
      </c>
      <c r="CJ26" s="17">
        <v>3.4711265383401703E-3</v>
      </c>
      <c r="CK26" s="17">
        <v>4.3804755944931162E-3</v>
      </c>
      <c r="CL26" s="17">
        <v>3.7156704361873988E-2</v>
      </c>
      <c r="CM26" s="17">
        <v>3.0694668820678513E-2</v>
      </c>
      <c r="CN26" s="17">
        <v>3.9087947882736153E-2</v>
      </c>
      <c r="CO26" s="17">
        <v>3.6328251702886796E-2</v>
      </c>
      <c r="CP26" s="17">
        <v>3.2538659793814435E-2</v>
      </c>
      <c r="CQ26" s="17">
        <v>3.4204582123265569E-2</v>
      </c>
      <c r="CR26" s="17">
        <v>3.1209781209781209E-2</v>
      </c>
      <c r="CS26" s="17">
        <v>3.1361138053669579E-2</v>
      </c>
      <c r="CT26" s="17">
        <v>3.2102728731942212E-2</v>
      </c>
      <c r="CU26" s="17">
        <v>3.2749675745784697E-2</v>
      </c>
      <c r="CV26" s="17">
        <v>3.0944625407166124E-2</v>
      </c>
      <c r="CW26" s="17">
        <v>3.1513970110461337E-2</v>
      </c>
      <c r="CX26" s="17">
        <v>2.8839922229423203E-2</v>
      </c>
      <c r="CY26" s="17">
        <v>2.5969862135299775E-2</v>
      </c>
      <c r="CZ26" s="17">
        <v>2.564102564102564E-2</v>
      </c>
      <c r="DA26" s="17">
        <v>2.1815848572345205E-2</v>
      </c>
      <c r="DB26" s="17">
        <v>1.9169329073482427E-2</v>
      </c>
      <c r="DC26" s="17">
        <v>2.5393764063002248E-2</v>
      </c>
      <c r="DD26" s="17">
        <v>3.2520325203252036E-2</v>
      </c>
      <c r="DE26" s="17">
        <v>4.0301441677588465E-2</v>
      </c>
      <c r="DF26" s="17">
        <v>1.8366677599212858E-2</v>
      </c>
      <c r="DG26" s="17">
        <v>1.8427114182296808E-2</v>
      </c>
      <c r="DH26" s="17">
        <v>4.231770833333333E-3</v>
      </c>
      <c r="DI26" s="17">
        <v>2.2742040285899934E-3</v>
      </c>
      <c r="DJ26" s="17">
        <v>1.0481493612839829E-2</v>
      </c>
      <c r="DK26" s="17">
        <v>3.2626427406199023E-3</v>
      </c>
      <c r="DL26" s="17">
        <v>0</v>
      </c>
      <c r="DM26" s="17">
        <v>7.2416063199473336E-3</v>
      </c>
      <c r="DN26" s="17">
        <v>3.9695666556400925E-3</v>
      </c>
      <c r="DO26" s="17">
        <v>-6.9860279441117763E-3</v>
      </c>
      <c r="DP26" s="17">
        <v>-1.7094017094017096E-2</v>
      </c>
      <c r="DQ26" s="17">
        <v>-2.5867714472822528E-2</v>
      </c>
      <c r="DR26" s="17">
        <v>-3.3301002263174909E-2</v>
      </c>
      <c r="DS26" s="17">
        <v>-3.5772357723577237E-2</v>
      </c>
      <c r="DT26" s="17">
        <v>-2.659225213394616E-2</v>
      </c>
      <c r="DU26" s="17">
        <v>-3.1575520833333336E-2</v>
      </c>
      <c r="DV26" s="17">
        <v>-2.1952817824377458E-2</v>
      </c>
      <c r="DW26" s="17">
        <v>-2.7053455019556714E-2</v>
      </c>
      <c r="DX26" s="17">
        <v>-2.7365644576327067E-2</v>
      </c>
      <c r="DY26" s="17">
        <v>-2.1881123448726322E-2</v>
      </c>
      <c r="DZ26" s="17">
        <v>-2.6418786692759294E-2</v>
      </c>
      <c r="EA26" s="17">
        <v>-2.6402640264026403E-2</v>
      </c>
      <c r="EB26" s="17">
        <v>-2.4590163934426229E-2</v>
      </c>
      <c r="EC26" s="17">
        <v>-3.0779305828421741E-2</v>
      </c>
      <c r="ED26" s="17">
        <v>-2.2893165228931651E-2</v>
      </c>
      <c r="EE26" s="17">
        <v>-2.5590551181102362E-2</v>
      </c>
      <c r="EF26" s="17">
        <v>-2.4033777200389735E-2</v>
      </c>
      <c r="EG26" s="17">
        <v>-2.3716699155295645E-2</v>
      </c>
      <c r="EH26" s="17">
        <v>-2.8824107435309533E-2</v>
      </c>
      <c r="EI26" s="17">
        <v>-1.9114688128772636E-2</v>
      </c>
      <c r="EJ26" s="17">
        <v>-2.4349566377585057E-2</v>
      </c>
      <c r="EK26" s="17">
        <v>-2.6518966096005372E-2</v>
      </c>
      <c r="EL26" s="17">
        <v>-2.1592442645074223E-2</v>
      </c>
      <c r="EM26" s="17">
        <v>-2.5930851063829786E-2</v>
      </c>
    </row>
    <row r="27" spans="1:143" s="17" customFormat="1" x14ac:dyDescent="0.2">
      <c r="A27" s="17" t="str">
        <f>Input!M27</f>
        <v>OI</v>
      </c>
      <c r="B27" s="17">
        <v>1.3786764705882353E-2</v>
      </c>
      <c r="C27" s="17">
        <v>1.3863216266173753E-2</v>
      </c>
      <c r="D27" s="17">
        <v>1.3858946720049276E-2</v>
      </c>
      <c r="E27" s="17">
        <v>1.3966480446927373E-2</v>
      </c>
      <c r="F27" s="17">
        <v>1.3975155279503106E-2</v>
      </c>
      <c r="G27" s="17">
        <v>1.0940919037199124E-2</v>
      </c>
      <c r="H27" s="17">
        <v>1.0812E-2</v>
      </c>
      <c r="I27" s="17">
        <v>1.0862818125387958E-2</v>
      </c>
      <c r="J27" s="17">
        <v>1.7685386286068881E-2</v>
      </c>
      <c r="K27" s="17">
        <v>9.2307692307692316E-3</v>
      </c>
      <c r="L27" s="17">
        <v>8.6100861008610082E-3</v>
      </c>
      <c r="M27" s="17">
        <v>1.2484774665042631E-2</v>
      </c>
      <c r="N27" s="17">
        <v>9.104704097116844E-3</v>
      </c>
      <c r="O27" s="17">
        <v>7.5964752354907321E-3</v>
      </c>
      <c r="P27" s="17">
        <v>6.0734892195566355E-3</v>
      </c>
      <c r="Q27" s="17">
        <v>6.0186578393018357E-3</v>
      </c>
      <c r="R27" s="17">
        <v>4.5551169146674769E-3</v>
      </c>
      <c r="S27" s="17">
        <v>3.5186930568645934E-2</v>
      </c>
      <c r="T27" s="17">
        <v>2.2082018927444796E-2</v>
      </c>
      <c r="U27" s="17">
        <v>4.3142305215711524E-2</v>
      </c>
      <c r="V27" s="17">
        <v>3.8461538461538464E-2</v>
      </c>
      <c r="W27" s="17">
        <v>3.1101237702316726E-2</v>
      </c>
      <c r="X27" s="17">
        <v>2.6131293817718292E-2</v>
      </c>
      <c r="Y27" s="17">
        <v>2.4824952259707194E-2</v>
      </c>
      <c r="Z27" s="17">
        <v>3.5036965605914495E-2</v>
      </c>
      <c r="AA27" s="17">
        <v>4.3643263757115747E-2</v>
      </c>
      <c r="AB27" s="17">
        <v>2.7717222049205854E-2</v>
      </c>
      <c r="AC27" s="17">
        <v>2.5840597758405977E-2</v>
      </c>
      <c r="AD27" s="17">
        <v>2.3500309214594929E-2</v>
      </c>
      <c r="AE27" s="17">
        <v>2.8999064546304958E-2</v>
      </c>
      <c r="AF27" s="17">
        <v>2.6976744186046512E-2</v>
      </c>
      <c r="AG27" s="17">
        <v>2.5475751995089013E-2</v>
      </c>
      <c r="AH27" s="17">
        <v>2.5343511450381679E-2</v>
      </c>
      <c r="AI27" s="17">
        <v>2.5114854517611026E-2</v>
      </c>
      <c r="AJ27" s="17">
        <v>2.6744543498309254E-2</v>
      </c>
      <c r="AK27" s="17">
        <v>2.5483573840957938E-2</v>
      </c>
      <c r="AL27" s="17">
        <v>1.7982322462663822E-2</v>
      </c>
      <c r="AM27" s="17">
        <v>1.8603232692894173E-2</v>
      </c>
      <c r="AN27" s="17">
        <v>8.7586831772878283E-3</v>
      </c>
      <c r="AO27" s="17">
        <v>4.5112781954887221E-3</v>
      </c>
      <c r="AP27" s="17">
        <v>5.4021608643457387E-3</v>
      </c>
      <c r="AQ27" s="17">
        <v>1.2390450287095799E-2</v>
      </c>
      <c r="AR27" s="17">
        <v>6.610576923076923E-3</v>
      </c>
      <c r="AS27" s="17">
        <v>1.0510510510510511E-2</v>
      </c>
      <c r="AT27" s="17">
        <v>1.1387473778843273E-2</v>
      </c>
      <c r="AU27" s="17">
        <v>7.462686567164179E-3</v>
      </c>
      <c r="AV27" s="17">
        <v>7.7999999999999996E-3</v>
      </c>
      <c r="AW27" s="17">
        <v>1.8935977999999999E-2</v>
      </c>
      <c r="AX27" s="17">
        <v>3.4099999999999998E-2</v>
      </c>
      <c r="AY27" s="17">
        <v>3.3799999999999997E-2</v>
      </c>
      <c r="AZ27" s="17">
        <v>2.8500000000000001E-2</v>
      </c>
      <c r="BA27" s="17">
        <v>2.9455519190717049E-2</v>
      </c>
      <c r="BB27" s="17">
        <v>1.9699999999999999E-2</v>
      </c>
      <c r="BC27" s="17">
        <v>1.41E-2</v>
      </c>
      <c r="BD27" s="17">
        <v>5.5000000000000005E-3</v>
      </c>
      <c r="BE27" s="17">
        <v>5.5000000000000005E-3</v>
      </c>
      <c r="BF27" s="17">
        <v>5.8139534883720929E-3</v>
      </c>
      <c r="BG27" s="17">
        <v>4.0999999999999995E-3</v>
      </c>
      <c r="BH27" s="17">
        <v>1.23E-2</v>
      </c>
      <c r="BI27" s="17">
        <v>7.3000000000000001E-3</v>
      </c>
      <c r="BJ27" s="17">
        <v>9.300000000000001E-3</v>
      </c>
      <c r="BK27" s="17">
        <v>1.0500000000000001E-2</v>
      </c>
      <c r="BL27" s="17">
        <v>-2.3034840195796141E-3</v>
      </c>
      <c r="BM27" s="17">
        <v>6.6821615339918653E-3</v>
      </c>
      <c r="BN27" s="17">
        <v>1.138353765323993E-2</v>
      </c>
      <c r="BO27" s="17">
        <v>1.01E-2</v>
      </c>
      <c r="BP27" s="17">
        <v>1.3975617008623252E-2</v>
      </c>
      <c r="BQ27" s="17">
        <v>1.7910447761194031E-2</v>
      </c>
      <c r="BR27" s="17">
        <v>3.0700000000000002E-2</v>
      </c>
      <c r="BS27" s="17">
        <v>2.8837488735355962E-2</v>
      </c>
      <c r="BT27" s="17">
        <v>2.2930315664085765E-2</v>
      </c>
      <c r="BU27" s="17">
        <v>1.3633669235328987E-2</v>
      </c>
      <c r="BV27" s="17">
        <v>1.6771488000000001E-2</v>
      </c>
      <c r="BW27" s="17">
        <v>1.9213449414590213E-2</v>
      </c>
      <c r="BX27" s="17">
        <v>2.4169184290030211E-2</v>
      </c>
      <c r="BY27" s="17">
        <v>2.1587108543630284E-2</v>
      </c>
      <c r="BZ27" s="17">
        <v>2.251978088861838E-2</v>
      </c>
      <c r="CA27" s="17">
        <v>2.4242424242424242E-2</v>
      </c>
      <c r="CB27" s="17">
        <v>2.8606208155812538E-2</v>
      </c>
      <c r="CC27" s="17">
        <v>1.5625E-2</v>
      </c>
      <c r="CD27" s="17">
        <v>1.7303102625298328E-2</v>
      </c>
      <c r="CE27" s="17">
        <v>2.0041878552198623E-2</v>
      </c>
      <c r="CF27" s="17">
        <v>1.8790369935408103E-2</v>
      </c>
      <c r="CG27" s="17">
        <v>9.8952270081490105E-3</v>
      </c>
      <c r="CH27" s="17">
        <v>9.0142483280023257E-3</v>
      </c>
      <c r="CI27" s="17">
        <v>5.2295177222545031E-3</v>
      </c>
      <c r="CJ27" s="17">
        <v>9.3348891481913644E-3</v>
      </c>
      <c r="CK27" s="17">
        <v>-8.6380650734235536E-4</v>
      </c>
      <c r="CL27" s="17">
        <v>1.0176593834181383E-2</v>
      </c>
      <c r="CM27" s="17">
        <v>7.462686567164179E-3</v>
      </c>
      <c r="CN27" s="17">
        <v>4.464285714285714E-3</v>
      </c>
      <c r="CO27" s="17">
        <v>5.9612518628912071E-3</v>
      </c>
      <c r="CP27" s="17">
        <v>-4.4247787610619468E-3</v>
      </c>
      <c r="CQ27" s="17">
        <v>-4.4247787610619468E-3</v>
      </c>
      <c r="CR27" s="17">
        <v>-7.6448103498970889E-3</v>
      </c>
      <c r="CS27" s="17">
        <v>-4.4247787610619468E-3</v>
      </c>
      <c r="CT27" s="17">
        <v>-8.5193889541715622E-3</v>
      </c>
      <c r="CU27" s="17">
        <v>-1.5285126396237508E-2</v>
      </c>
      <c r="CV27" s="17">
        <v>-9.1688849452824604E-3</v>
      </c>
      <c r="CW27" s="17">
        <v>-1.0632014176018901E-2</v>
      </c>
      <c r="CX27" s="17">
        <v>-7.4074074074074077E-3</v>
      </c>
      <c r="CY27" s="17">
        <v>-1.0263929618768328E-2</v>
      </c>
      <c r="CZ27" s="17">
        <v>-7.9365079365079361E-3</v>
      </c>
      <c r="DA27" s="17">
        <v>-3.0791788856304986E-2</v>
      </c>
      <c r="DB27" s="17">
        <v>-2.7859237536656891E-2</v>
      </c>
      <c r="DC27" s="17">
        <v>-1.8940514945250075E-2</v>
      </c>
      <c r="DD27" s="17">
        <v>-3.90625E-3</v>
      </c>
      <c r="DE27" s="17">
        <v>-1.8066847335140017E-3</v>
      </c>
      <c r="DF27" s="17">
        <v>1.2080942313500453E-3</v>
      </c>
      <c r="DG27" s="17">
        <v>8.2116788321167887E-3</v>
      </c>
      <c r="DH27" s="17">
        <v>6.5612883984491497E-3</v>
      </c>
      <c r="DI27" s="17">
        <v>5.6615017878426698E-3</v>
      </c>
      <c r="DJ27" s="17">
        <v>1.3493253373313344E-2</v>
      </c>
      <c r="DK27" s="17">
        <v>7.2595281306715061E-3</v>
      </c>
      <c r="DL27" s="17">
        <v>7.2815533980582527E-3</v>
      </c>
      <c r="DM27" s="17">
        <v>5.7997557997558E-3</v>
      </c>
      <c r="DN27" s="17">
        <v>7.3710073710073713E-3</v>
      </c>
      <c r="DO27" s="17">
        <v>4.9321824907521579E-3</v>
      </c>
      <c r="DP27" s="17">
        <v>6.0882800608828003E-3</v>
      </c>
      <c r="DQ27" s="17">
        <v>7.621951219512195E-3</v>
      </c>
      <c r="DR27" s="17">
        <v>-7.5075075075075074E-3</v>
      </c>
      <c r="DS27" s="17">
        <v>-4.2372881355932203E-3</v>
      </c>
      <c r="DT27" s="17">
        <v>8.5968682836966535E-3</v>
      </c>
      <c r="DU27" s="17">
        <v>3.0220610456331218E-4</v>
      </c>
      <c r="DV27" s="17">
        <v>3.3444816053511705E-3</v>
      </c>
      <c r="DW27" s="17">
        <v>-1.5128593040847202E-3</v>
      </c>
      <c r="DX27" s="17">
        <v>9.1827364554637281E-4</v>
      </c>
      <c r="DY27" s="17">
        <v>3.9310553371635923E-3</v>
      </c>
      <c r="DZ27" s="17">
        <v>-1.0542168674698794E-2</v>
      </c>
      <c r="EA27" s="17">
        <v>8.2872928176795577E-3</v>
      </c>
      <c r="EB27" s="17">
        <v>-5.7944495272949067E-3</v>
      </c>
      <c r="EC27" s="17">
        <v>-4.2761148442272447E-3</v>
      </c>
      <c r="ED27" s="17">
        <v>9.6004955094456494E-3</v>
      </c>
      <c r="EE27" s="17">
        <v>1.4050091631032376E-2</v>
      </c>
      <c r="EF27" s="17">
        <v>5.4512416717141131E-3</v>
      </c>
      <c r="EG27" s="17">
        <v>8.1992104464014576E-3</v>
      </c>
      <c r="EH27" s="17">
        <v>8.2000000000000007E-3</v>
      </c>
      <c r="EI27" s="17">
        <v>1.2145748987854251E-2</v>
      </c>
      <c r="EJ27" s="17">
        <v>-1.1519302615193025E-2</v>
      </c>
      <c r="EK27" s="17">
        <v>-2.8266331658291458E-3</v>
      </c>
      <c r="EL27" s="17">
        <v>-2.1998742928975488E-3</v>
      </c>
      <c r="EM27" s="17">
        <v>-1.6418835192069391E-2</v>
      </c>
    </row>
    <row r="28" spans="1:143" s="17" customFormat="1" x14ac:dyDescent="0.2">
      <c r="A28" s="17" t="str">
        <f>Input!M28</f>
        <v>TA</v>
      </c>
      <c r="B28" s="17">
        <v>-7.8534031413612562E-3</v>
      </c>
      <c r="C28" s="17">
        <v>-1.2140131807145335E-2</v>
      </c>
      <c r="D28" s="17">
        <v>-1.3002773925104022E-2</v>
      </c>
      <c r="E28" s="17">
        <v>0</v>
      </c>
      <c r="F28" s="17">
        <v>1.0582010582010581E-2</v>
      </c>
      <c r="G28" s="17">
        <v>1.5238436715668699E-2</v>
      </c>
      <c r="H28" s="17">
        <v>1.8723E-2</v>
      </c>
      <c r="I28" s="17">
        <v>3.1160458452722063E-2</v>
      </c>
      <c r="J28" s="17">
        <v>2.8399006034788784E-2</v>
      </c>
      <c r="K28" s="17">
        <v>1.8642279282448118E-2</v>
      </c>
      <c r="L28" s="17">
        <v>2.6054590570719603E-2</v>
      </c>
      <c r="M28" s="17">
        <v>3.720765414599575E-2</v>
      </c>
      <c r="N28" s="17">
        <v>3.38385618611209E-2</v>
      </c>
      <c r="O28" s="17">
        <v>3.3743409490333921E-2</v>
      </c>
      <c r="P28" s="17">
        <v>2.8228652081863093E-2</v>
      </c>
      <c r="Q28" s="17">
        <v>4.4404973357015987E-2</v>
      </c>
      <c r="R28" s="17">
        <v>3.7010420409629895E-2</v>
      </c>
      <c r="S28" s="17">
        <v>6.4516129032258064E-3</v>
      </c>
      <c r="T28" s="17">
        <v>2.9644268774703556E-2</v>
      </c>
      <c r="U28" s="17">
        <v>1.5398550724637682E-2</v>
      </c>
      <c r="V28" s="17">
        <v>1.5488338192419826E-2</v>
      </c>
      <c r="W28" s="17">
        <v>1.5477057538237436E-2</v>
      </c>
      <c r="X28" s="17">
        <v>2.2018348623853212E-2</v>
      </c>
      <c r="Y28" s="17">
        <v>2.2148394241417499E-2</v>
      </c>
      <c r="Z28" s="17">
        <v>2.7757216876387859E-2</v>
      </c>
      <c r="AA28" s="17">
        <v>4.2435424354243544E-2</v>
      </c>
      <c r="AB28" s="17">
        <v>4.337393872277593E-2</v>
      </c>
      <c r="AC28" s="17">
        <v>4.4477390659747963E-2</v>
      </c>
      <c r="AD28" s="17">
        <v>4.3631637578908283E-2</v>
      </c>
      <c r="AE28" s="17">
        <v>4.1528239202657809E-2</v>
      </c>
      <c r="AF28" s="17">
        <v>4.1269258987527514E-2</v>
      </c>
      <c r="AG28" s="17">
        <v>4.6977421704297161E-2</v>
      </c>
      <c r="AH28" s="17">
        <v>5.0570062522986389E-2</v>
      </c>
      <c r="AI28" s="17">
        <v>4.1329904481998532E-2</v>
      </c>
      <c r="AJ28" s="17">
        <v>2.5436046511627907E-2</v>
      </c>
      <c r="AK28" s="17">
        <v>4.071661237785016E-2</v>
      </c>
      <c r="AL28" s="17">
        <v>2.9390808692554327E-2</v>
      </c>
      <c r="AM28" s="17">
        <v>2.2482014388489208E-2</v>
      </c>
      <c r="AN28" s="17">
        <v>2.2369362920544023E-2</v>
      </c>
      <c r="AO28" s="17">
        <v>7.3099415204678359E-3</v>
      </c>
      <c r="AP28" s="17">
        <v>7.4794315632011965E-3</v>
      </c>
      <c r="AQ28" s="17">
        <v>2.7818991097922851E-3</v>
      </c>
      <c r="AR28" s="17">
        <v>-3.7369207772795218E-4</v>
      </c>
      <c r="AS28" s="17">
        <v>2.7685492801771874E-3</v>
      </c>
      <c r="AT28" s="17">
        <v>7.3448402497245683E-3</v>
      </c>
      <c r="AU28" s="17">
        <v>5.5106539309331378E-3</v>
      </c>
      <c r="AV28" s="17">
        <v>2.7000000000000001E-3</v>
      </c>
      <c r="AW28" s="17">
        <v>0</v>
      </c>
      <c r="AX28" s="17">
        <v>0</v>
      </c>
      <c r="AY28" s="17">
        <v>0</v>
      </c>
      <c r="AZ28" s="17">
        <v>-5.4000000000000003E-3</v>
      </c>
      <c r="BA28" s="17">
        <v>-7.1813285457809697E-3</v>
      </c>
      <c r="BB28" s="17">
        <v>-5.6000000000000008E-3</v>
      </c>
      <c r="BC28" s="17">
        <v>-8.3999999999999995E-3</v>
      </c>
      <c r="BD28" s="17">
        <v>-7.4999999999999997E-3</v>
      </c>
      <c r="BE28" s="17">
        <v>-6.6E-3</v>
      </c>
      <c r="BF28" s="17">
        <v>-8.4745762711864406E-3</v>
      </c>
      <c r="BG28" s="17">
        <v>-8.5000000000000006E-3</v>
      </c>
      <c r="BH28" s="17">
        <v>-1E-3</v>
      </c>
      <c r="BI28" s="17">
        <v>-2.8999999999999998E-3</v>
      </c>
      <c r="BJ28" s="17">
        <v>-3.9000000000000003E-3</v>
      </c>
      <c r="BK28" s="17">
        <v>-1.9E-3</v>
      </c>
      <c r="BL28" s="17">
        <v>-3.8153376573826785E-3</v>
      </c>
      <c r="BM28" s="17">
        <v>-3.4695451040863529E-3</v>
      </c>
      <c r="BN28" s="17">
        <v>-3.8461538461538464E-3</v>
      </c>
      <c r="BO28" s="17">
        <v>-4.7999999999999996E-3</v>
      </c>
      <c r="BP28" s="17">
        <v>-2.8979907264296756E-3</v>
      </c>
      <c r="BQ28" s="17">
        <v>-7.7309625048318511E-4</v>
      </c>
      <c r="BR28" s="17">
        <v>-5.7999999999999996E-3</v>
      </c>
      <c r="BS28" s="17">
        <v>-4.8262548262548262E-3</v>
      </c>
      <c r="BT28" s="17">
        <v>-5.7736720554272519E-3</v>
      </c>
      <c r="BU28" s="17">
        <v>-1.1636927851047323E-3</v>
      </c>
      <c r="BV28" s="17">
        <v>9.7087400000000004E-4</v>
      </c>
      <c r="BW28" s="17">
        <v>2.9296875E-3</v>
      </c>
      <c r="BX28" s="17">
        <v>4.306969459671104E-3</v>
      </c>
      <c r="BY28" s="17">
        <v>3.8819875776397515E-3</v>
      </c>
      <c r="BZ28" s="17">
        <v>3.5005834305717621E-3</v>
      </c>
      <c r="CA28" s="17">
        <v>-1.9425019425019425E-3</v>
      </c>
      <c r="CB28" s="17">
        <v>-1.9238168526356291E-3</v>
      </c>
      <c r="CC28" s="17">
        <v>-3.7735849056603774E-3</v>
      </c>
      <c r="CD28" s="17">
        <v>-5.6369785794813977E-3</v>
      </c>
      <c r="CE28" s="17">
        <v>-4.3200601051840721E-3</v>
      </c>
      <c r="CF28" s="17">
        <v>-5.7099352874000761E-3</v>
      </c>
      <c r="CG28" s="17">
        <v>-9.4876660341555973E-3</v>
      </c>
      <c r="CH28" s="17">
        <v>-1.2021036814425245E-2</v>
      </c>
      <c r="CI28" s="17">
        <v>-1.1715797430083144E-2</v>
      </c>
      <c r="CJ28" s="17">
        <v>-1.2476007677543186E-2</v>
      </c>
      <c r="CK28" s="17">
        <v>-1.2957317073170731E-2</v>
      </c>
      <c r="CL28" s="17">
        <v>1.1673151750972763E-2</v>
      </c>
      <c r="CM28" s="17">
        <v>-7.7369439071566729E-4</v>
      </c>
      <c r="CN28" s="17">
        <v>-1.921598770176787E-3</v>
      </c>
      <c r="CO28" s="17">
        <v>7.7730275942479595E-4</v>
      </c>
      <c r="CP28" s="17">
        <v>2.3076923076923079E-3</v>
      </c>
      <c r="CQ28" s="17">
        <v>7.6982294072363352E-4</v>
      </c>
      <c r="CR28" s="17">
        <v>2.2909507445589921E-3</v>
      </c>
      <c r="CS28" s="17">
        <v>5.7230064860740179E-3</v>
      </c>
      <c r="CT28" s="17">
        <v>7.619047619047619E-3</v>
      </c>
      <c r="CU28" s="17">
        <v>5.7251908396946565E-3</v>
      </c>
      <c r="CV28" s="17">
        <v>3.8639876352395673E-3</v>
      </c>
      <c r="CW28" s="17">
        <v>3.8535645472061657E-3</v>
      </c>
      <c r="CX28" s="17">
        <v>5.0193050193050193E-3</v>
      </c>
      <c r="CY28" s="17">
        <v>7.7190274025472792E-3</v>
      </c>
      <c r="CZ28" s="17">
        <v>9.6450617283950612E-3</v>
      </c>
      <c r="DA28" s="17">
        <v>9.7087378640776691E-3</v>
      </c>
      <c r="DB28" s="17">
        <v>9.7465886939571145E-3</v>
      </c>
      <c r="DC28" s="17">
        <v>8.2063305978898014E-3</v>
      </c>
      <c r="DD28" s="17">
        <v>8.3036773428232496E-3</v>
      </c>
      <c r="DE28" s="17">
        <v>6.8054443554843875E-3</v>
      </c>
      <c r="DF28" s="17">
        <v>2.008032128514056E-3</v>
      </c>
      <c r="DG28" s="17">
        <v>8.1037277147487841E-4</v>
      </c>
      <c r="DH28" s="17">
        <v>1.970831690973591E-3</v>
      </c>
      <c r="DI28" s="17">
        <v>1.9600156801254411E-3</v>
      </c>
      <c r="DJ28" s="17">
        <v>0</v>
      </c>
      <c r="DK28" s="17">
        <v>0</v>
      </c>
      <c r="DL28" s="17">
        <v>-1.9402405898331393E-3</v>
      </c>
      <c r="DM28" s="17">
        <v>-5.4773082942097028E-3</v>
      </c>
      <c r="DN28" s="17">
        <v>-5.8869701726844588E-3</v>
      </c>
      <c r="DO28" s="17">
        <v>-5.8297706956859695E-3</v>
      </c>
      <c r="DP28" s="17">
        <v>-5.8525165821303156E-3</v>
      </c>
      <c r="DQ28" s="17">
        <v>-5.8616647127784291E-3</v>
      </c>
      <c r="DR28" s="17">
        <v>-5.7959814528593511E-3</v>
      </c>
      <c r="DS28" s="17">
        <v>-5.764796310530361E-3</v>
      </c>
      <c r="DT28" s="17">
        <v>-5.8072009291521487E-3</v>
      </c>
      <c r="DU28" s="17">
        <v>-2.8901734104046241E-3</v>
      </c>
      <c r="DV28" s="17">
        <v>-2.8857252789534437E-3</v>
      </c>
      <c r="DW28" s="17">
        <v>-1.9275250578257518E-3</v>
      </c>
      <c r="DX28" s="17">
        <v>-4.018369690011481E-3</v>
      </c>
      <c r="DY28" s="17">
        <v>-3.8197097020626434E-3</v>
      </c>
      <c r="DZ28" s="17">
        <v>0</v>
      </c>
      <c r="EA28" s="17">
        <v>0</v>
      </c>
      <c r="EB28" s="17">
        <v>-1.6654330125832717E-3</v>
      </c>
      <c r="EC28" s="17">
        <v>-2.5811209439528023E-3</v>
      </c>
      <c r="ED28" s="17">
        <v>-2.05761316872428E-3</v>
      </c>
      <c r="EE28" s="17">
        <v>-1.8932222642938281E-3</v>
      </c>
      <c r="EF28" s="17">
        <v>-3.7850113550340651E-3</v>
      </c>
      <c r="EG28" s="17">
        <v>0</v>
      </c>
      <c r="EH28" s="17">
        <v>-1.0080645161290322E-2</v>
      </c>
      <c r="EI28" s="17">
        <v>-9.9110032362459549E-3</v>
      </c>
      <c r="EJ28" s="17">
        <v>-1.1178861788617886E-2</v>
      </c>
      <c r="EK28" s="17">
        <v>-1.2918853451756156E-2</v>
      </c>
      <c r="EL28" s="17">
        <v>-1.443298969072165E-2</v>
      </c>
      <c r="EM28" s="17">
        <v>-1.4320785597381341E-2</v>
      </c>
    </row>
    <row r="29" spans="1:143" s="17" customFormat="1" x14ac:dyDescent="0.2">
      <c r="A29" s="17" t="str">
        <f>Input!M29</f>
        <v>M</v>
      </c>
      <c r="B29" s="17">
        <v>2.3508137432188065E-2</v>
      </c>
      <c r="C29" s="17">
        <v>2.1950341849586181E-2</v>
      </c>
      <c r="D29" s="17">
        <v>2.7496382054992764E-2</v>
      </c>
      <c r="E29" s="17">
        <v>2.8037383177570093E-2</v>
      </c>
      <c r="F29" s="17">
        <v>2.6561378320172292E-2</v>
      </c>
      <c r="G29" s="17">
        <v>2.2318214542836574E-2</v>
      </c>
      <c r="H29" s="17">
        <v>2.6381999999999999E-2</v>
      </c>
      <c r="I29" s="17">
        <v>2.7496382054992764E-2</v>
      </c>
      <c r="J29" s="17">
        <v>3.272727272727273E-2</v>
      </c>
      <c r="K29" s="17">
        <v>3.4482758620689655E-2</v>
      </c>
      <c r="L29" s="17">
        <v>4.1055718475073312E-2</v>
      </c>
      <c r="M29" s="17">
        <v>4.3256997455470736E-2</v>
      </c>
      <c r="N29" s="17">
        <v>4.3698085951607075E-2</v>
      </c>
      <c r="O29" s="17">
        <v>4.3165467625899283E-2</v>
      </c>
      <c r="P29" s="17">
        <v>5.0541516245487361E-2</v>
      </c>
      <c r="Q29" s="17">
        <v>5.5475504322766572E-2</v>
      </c>
      <c r="R29" s="17">
        <v>5.7782592993860599E-2</v>
      </c>
      <c r="S29" s="17">
        <v>3.1282952548330405E-2</v>
      </c>
      <c r="T29" s="17">
        <v>2.7036516853932584E-2</v>
      </c>
      <c r="U29" s="17">
        <v>2.9772329246935202E-2</v>
      </c>
      <c r="V29" s="17">
        <v>1.826326671261199E-2</v>
      </c>
      <c r="W29" s="17">
        <v>1.64552622557422E-2</v>
      </c>
      <c r="X29" s="17">
        <v>1.8932874354561102E-2</v>
      </c>
      <c r="Y29" s="17">
        <v>2.3950017355085038E-2</v>
      </c>
      <c r="Z29" s="17">
        <v>1.8421967327076814E-2</v>
      </c>
      <c r="AA29" s="17">
        <v>1.8711018711018712E-2</v>
      </c>
      <c r="AB29" s="17">
        <v>2.1468144044321329E-2</v>
      </c>
      <c r="AC29" s="17">
        <v>2.1821960512642881E-2</v>
      </c>
      <c r="AD29" s="17">
        <v>1.7943409247757072E-2</v>
      </c>
      <c r="AE29" s="17">
        <v>4.4467425025853151E-2</v>
      </c>
      <c r="AF29" s="17">
        <v>4.2166609530339391E-2</v>
      </c>
      <c r="AG29" s="17">
        <v>4.5032657270539705E-2</v>
      </c>
      <c r="AH29" s="17">
        <v>4.1237113402061855E-2</v>
      </c>
      <c r="AI29" s="17">
        <v>4.5751633986928102E-2</v>
      </c>
      <c r="AJ29" s="17">
        <v>4.0383299110198494E-2</v>
      </c>
      <c r="AK29" s="17">
        <v>3.3197831978319783E-2</v>
      </c>
      <c r="AL29" s="17">
        <v>3.41331530922609E-2</v>
      </c>
      <c r="AM29" s="17">
        <v>4.1452552243919152E-2</v>
      </c>
      <c r="AN29" s="17">
        <v>3.3538672142368241E-2</v>
      </c>
      <c r="AO29" s="17">
        <v>3.3762617473024711E-2</v>
      </c>
      <c r="AP29" s="17">
        <v>3.35292084341514E-2</v>
      </c>
      <c r="AQ29" s="17">
        <v>3.7703216879972329E-2</v>
      </c>
      <c r="AR29" s="17">
        <v>3.7573250603240259E-2</v>
      </c>
      <c r="AS29" s="17">
        <v>4.2097998619737752E-2</v>
      </c>
      <c r="AT29" s="17">
        <v>4.0521978021978024E-2</v>
      </c>
      <c r="AU29" s="17">
        <v>4.0303134688253528E-2</v>
      </c>
      <c r="AV29" s="17">
        <v>4.1599999999999998E-2</v>
      </c>
      <c r="AW29" s="17">
        <v>4.3747846999999999E-2</v>
      </c>
      <c r="AX29" s="17">
        <v>4.6699999999999998E-2</v>
      </c>
      <c r="AY29" s="17">
        <v>3.9300000000000002E-2</v>
      </c>
      <c r="AZ29" s="17">
        <v>4.2199999999999994E-2</v>
      </c>
      <c r="BA29" s="17">
        <v>4.7213347532836354E-2</v>
      </c>
      <c r="BB29" s="17">
        <v>4.1399999999999999E-2</v>
      </c>
      <c r="BC29" s="17">
        <v>4.7699999999999992E-2</v>
      </c>
      <c r="BD29" s="17">
        <v>4.5700000000000005E-2</v>
      </c>
      <c r="BE29" s="17">
        <v>4.53E-2</v>
      </c>
      <c r="BF29" s="17">
        <v>4.1517537580529708E-2</v>
      </c>
      <c r="BG29" s="17">
        <v>4.2000000000000003E-2</v>
      </c>
      <c r="BH29" s="17">
        <v>4.0500000000000001E-2</v>
      </c>
      <c r="BI29" s="17">
        <v>4.4199999999999996E-2</v>
      </c>
      <c r="BJ29" s="17">
        <v>4.1399999999999999E-2</v>
      </c>
      <c r="BK29" s="17">
        <v>4.9400000000000006E-2</v>
      </c>
      <c r="BL29" s="17">
        <v>4.9822064056939501E-2</v>
      </c>
      <c r="BM29" s="17">
        <v>5.4701465856274577E-2</v>
      </c>
      <c r="BN29" s="17">
        <v>5.2818149592343142E-2</v>
      </c>
      <c r="BO29" s="17">
        <v>8.8700000000000001E-2</v>
      </c>
      <c r="BP29" s="17">
        <v>8.5271317829457363E-2</v>
      </c>
      <c r="BQ29" s="17">
        <v>6.322854115153656E-2</v>
      </c>
      <c r="BR29" s="17">
        <v>4.0599999999999997E-2</v>
      </c>
      <c r="BS29" s="17">
        <v>3.9690902704601336E-2</v>
      </c>
      <c r="BT29" s="17">
        <v>3.3145275035260928E-2</v>
      </c>
      <c r="BU29" s="17">
        <v>3.3755274261603373E-2</v>
      </c>
      <c r="BV29" s="17">
        <v>3.4724657999999999E-2</v>
      </c>
      <c r="BW29" s="17">
        <v>3.6906854130052721E-2</v>
      </c>
      <c r="BX29" s="17">
        <v>3.783783783783784E-2</v>
      </c>
      <c r="BY29" s="17">
        <v>4.9204052098408106E-2</v>
      </c>
      <c r="BZ29" s="17">
        <v>4.5045045045045043E-2</v>
      </c>
      <c r="CA29" s="17">
        <v>4.8066498012287677E-2</v>
      </c>
      <c r="CB29" s="17">
        <v>4.8066498012287677E-2</v>
      </c>
      <c r="CC29" s="17">
        <v>4.4292401872524305E-2</v>
      </c>
      <c r="CD29" s="17">
        <v>4.998202085580726E-2</v>
      </c>
      <c r="CE29" s="17">
        <v>4.0998217468805706E-2</v>
      </c>
      <c r="CF29" s="17">
        <v>3.2998565279770443E-2</v>
      </c>
      <c r="CG29" s="17">
        <v>3.8011695906432746E-2</v>
      </c>
      <c r="CH29" s="17">
        <v>3.7009893733968485E-2</v>
      </c>
      <c r="CI29" s="17">
        <v>3.7253469685902117E-2</v>
      </c>
      <c r="CJ29" s="17">
        <v>3.5871156661786238E-2</v>
      </c>
      <c r="CK29" s="17">
        <v>3.6496350364963501E-2</v>
      </c>
      <c r="CL29" s="17">
        <v>1.9593613933236574E-2</v>
      </c>
      <c r="CM29" s="17">
        <v>1.5965166908563134E-2</v>
      </c>
      <c r="CN29" s="17">
        <v>1.9593613933236574E-2</v>
      </c>
      <c r="CO29" s="17">
        <v>2.181818181818182E-2</v>
      </c>
      <c r="CP29" s="17">
        <v>2.9090909090909091E-2</v>
      </c>
      <c r="CQ29" s="17">
        <v>2.9090909090909091E-2</v>
      </c>
      <c r="CR29" s="17">
        <v>3.272727272727273E-2</v>
      </c>
      <c r="CS29" s="17">
        <v>1.9891500904159132E-2</v>
      </c>
      <c r="CT29" s="17">
        <v>2.1897810218978103E-2</v>
      </c>
      <c r="CU29" s="17">
        <v>2.0932794711715021E-2</v>
      </c>
      <c r="CV29" s="17">
        <v>1.763409257898604E-2</v>
      </c>
      <c r="CW29" s="17">
        <v>1.6393442622950821E-2</v>
      </c>
      <c r="CX29" s="17">
        <v>1.2704174228675136E-2</v>
      </c>
      <c r="CY29" s="17">
        <v>1.2931034482758621E-2</v>
      </c>
      <c r="CZ29" s="17">
        <v>7.2202166064981952E-3</v>
      </c>
      <c r="DA29" s="17">
        <v>1.922379397896264E-2</v>
      </c>
      <c r="DB29" s="17">
        <v>1.5596663039535727E-2</v>
      </c>
      <c r="DC29" s="17">
        <v>1.6702977487291212E-2</v>
      </c>
      <c r="DD29" s="17">
        <v>1.4074341392998917E-2</v>
      </c>
      <c r="DE29" s="17">
        <v>2.0923520923520924E-2</v>
      </c>
      <c r="DF29" s="17">
        <v>6.8567304222302422E-3</v>
      </c>
      <c r="DG29" s="17">
        <v>4.7152702212549871E-3</v>
      </c>
      <c r="DH29" s="17">
        <v>-1.0779734099892202E-3</v>
      </c>
      <c r="DI29" s="17">
        <v>5.7678442682047582E-3</v>
      </c>
      <c r="DJ29" s="17">
        <v>1.4023732470334413E-2</v>
      </c>
      <c r="DK29" s="17">
        <v>7.0224719101123594E-4</v>
      </c>
      <c r="DL29" s="17">
        <v>2.1097046413502108E-3</v>
      </c>
      <c r="DM29" s="17">
        <v>-2.4673951357067326E-3</v>
      </c>
      <c r="DN29" s="17">
        <v>2.1321961620469083E-3</v>
      </c>
      <c r="DO29" s="17">
        <v>2.5062656641604009E-3</v>
      </c>
      <c r="DP29" s="17">
        <v>-4.9751243781094526E-3</v>
      </c>
      <c r="DQ29" s="17">
        <v>-6.0562878517990736E-3</v>
      </c>
      <c r="DR29" s="17">
        <v>-1.2302284710017574E-2</v>
      </c>
      <c r="DS29" s="17">
        <v>-1.3437057991513438E-2</v>
      </c>
      <c r="DT29" s="17">
        <v>-1.3088079235939158E-2</v>
      </c>
      <c r="DU29" s="17">
        <v>-1.2082444918265814E-2</v>
      </c>
      <c r="DV29" s="17">
        <v>-1.7094017094017096E-2</v>
      </c>
      <c r="DW29" s="17">
        <v>-2.1663172606568831E-2</v>
      </c>
      <c r="DX29" s="17">
        <v>-1.4234875444839857E-2</v>
      </c>
      <c r="DY29" s="17">
        <v>-1.2216404886561954E-2</v>
      </c>
      <c r="DZ29" s="17">
        <v>-2.1815622800844477E-2</v>
      </c>
      <c r="EA29" s="17">
        <v>-1.2389380530973451E-2</v>
      </c>
      <c r="EB29" s="17">
        <v>-9.200283085633405E-3</v>
      </c>
      <c r="EC29" s="17">
        <v>-5.681818181818182E-3</v>
      </c>
      <c r="ED29" s="17">
        <v>-4.6544933762978878E-3</v>
      </c>
      <c r="EE29" s="17">
        <v>-1.0526315789473684E-2</v>
      </c>
      <c r="EF29" s="17">
        <v>-8.5763293310463125E-3</v>
      </c>
      <c r="EG29" s="17">
        <v>-8.8858509911141498E-3</v>
      </c>
      <c r="EH29" s="17">
        <v>-5.4869684499314125E-3</v>
      </c>
      <c r="EI29" s="17">
        <v>-1.1997177134791814E-2</v>
      </c>
      <c r="EJ29" s="17">
        <v>-4.2674253200568994E-3</v>
      </c>
      <c r="EK29" s="17">
        <v>5.0071530758226037E-3</v>
      </c>
      <c r="EL29" s="17">
        <v>5.0071530758226037E-3</v>
      </c>
      <c r="EM29" s="17">
        <v>7.2202166064981952E-3</v>
      </c>
    </row>
    <row r="30" spans="1:143" s="17" customFormat="1" x14ac:dyDescent="0.2">
      <c r="A30" s="17" t="str">
        <f>Input!M30</f>
        <v>RU</v>
      </c>
      <c r="B30" s="17">
        <v>-0.13748191027496381</v>
      </c>
      <c r="C30" s="17">
        <v>-0.13748191027496381</v>
      </c>
      <c r="D30" s="17">
        <v>-0.14477017734346725</v>
      </c>
      <c r="E30" s="17">
        <v>-0.14445648248465151</v>
      </c>
      <c r="F30" s="17">
        <v>-0.14209591474245115</v>
      </c>
      <c r="G30" s="17">
        <v>-0.14255167498218105</v>
      </c>
      <c r="H30" s="17">
        <v>-0.1404</v>
      </c>
      <c r="I30" s="17">
        <v>-0.14030164854437038</v>
      </c>
      <c r="J30" s="17">
        <v>-0.13966480446927373</v>
      </c>
      <c r="K30" s="17">
        <v>-0.14077669902912621</v>
      </c>
      <c r="L30" s="17">
        <v>-0.13510675533776689</v>
      </c>
      <c r="M30" s="17">
        <v>-0.13855421686746988</v>
      </c>
      <c r="N30" s="17">
        <v>-0.13864201919658728</v>
      </c>
      <c r="O30" s="17">
        <v>-0.13843416370106762</v>
      </c>
      <c r="P30" s="17">
        <v>-0.13873038516405137</v>
      </c>
      <c r="Q30" s="17">
        <v>-0.13854351687388988</v>
      </c>
      <c r="R30" s="17">
        <v>-0.14657631954350928</v>
      </c>
      <c r="S30" s="17">
        <v>-0.11577424023154848</v>
      </c>
      <c r="T30" s="17">
        <v>-0.11502516175413371</v>
      </c>
      <c r="U30" s="17">
        <v>-0.11734506784011735</v>
      </c>
      <c r="V30" s="17">
        <v>-0.11734506784011735</v>
      </c>
      <c r="W30" s="17">
        <v>-0.11539848539487919</v>
      </c>
      <c r="X30" s="17">
        <v>-0.11602610587382162</v>
      </c>
      <c r="Y30" s="17">
        <v>-0.11747430249632893</v>
      </c>
      <c r="Z30" s="17">
        <v>-0.11808118081180811</v>
      </c>
      <c r="AA30" s="17">
        <v>-0.11510791366906475</v>
      </c>
      <c r="AB30" s="17">
        <v>-0.11465424579003941</v>
      </c>
      <c r="AC30" s="17">
        <v>-0.11465424579003941</v>
      </c>
      <c r="AD30" s="17">
        <v>-0.11371712864250177</v>
      </c>
      <c r="AE30" s="17">
        <v>-0.11444921316165951</v>
      </c>
      <c r="AF30" s="17">
        <v>-0.11544011544011544</v>
      </c>
      <c r="AG30" s="17">
        <v>-0.11790714812085483</v>
      </c>
      <c r="AH30" s="17">
        <v>-0.11670313639679067</v>
      </c>
      <c r="AI30" s="17">
        <v>-0.11843079200592153</v>
      </c>
      <c r="AJ30" s="17">
        <v>-0.11747430249632893</v>
      </c>
      <c r="AK30" s="17">
        <v>-0.11465424579003941</v>
      </c>
      <c r="AL30" s="17">
        <v>-0.11564871702204553</v>
      </c>
      <c r="AM30" s="17">
        <v>-0.11177086971707999</v>
      </c>
      <c r="AN30" s="17">
        <v>-0.11180992313067785</v>
      </c>
      <c r="AO30" s="17">
        <v>-0.11481880157875853</v>
      </c>
      <c r="AP30" s="17">
        <v>-0.11649071714597743</v>
      </c>
      <c r="AQ30" s="17">
        <v>-0.11619462599854757</v>
      </c>
      <c r="AR30" s="17">
        <v>-0.11731843575418995</v>
      </c>
      <c r="AS30" s="17">
        <v>-0.11604219716260458</v>
      </c>
      <c r="AT30" s="17">
        <v>-0.1173265528514348</v>
      </c>
      <c r="AU30" s="17">
        <v>-0.12050898203592815</v>
      </c>
      <c r="AV30" s="17">
        <v>-0.1186</v>
      </c>
      <c r="AW30" s="17">
        <v>-0.122938531</v>
      </c>
      <c r="AX30" s="17">
        <v>-0.14979999999999999</v>
      </c>
      <c r="AY30" s="17">
        <v>-0.151</v>
      </c>
      <c r="AZ30" s="17">
        <v>-0.15060000000000001</v>
      </c>
      <c r="BA30" s="17">
        <v>-0.17149929278642151</v>
      </c>
      <c r="BB30" s="17">
        <v>-0.16940000000000002</v>
      </c>
      <c r="BC30" s="17">
        <v>-0.15380000000000002</v>
      </c>
      <c r="BD30" s="17">
        <v>-0.1431</v>
      </c>
      <c r="BE30" s="17">
        <v>-0.1464</v>
      </c>
      <c r="BF30" s="17">
        <v>-0.14971346704871061</v>
      </c>
      <c r="BG30" s="17">
        <v>-0.154</v>
      </c>
      <c r="BH30" s="17">
        <v>-0.15810000000000002</v>
      </c>
      <c r="BI30" s="17">
        <v>-0.1638</v>
      </c>
      <c r="BJ30" s="17">
        <v>-0.16519999999999999</v>
      </c>
      <c r="BK30" s="17">
        <v>-0.1573</v>
      </c>
      <c r="BL30" s="17">
        <v>-0.1553725196555597</v>
      </c>
      <c r="BM30" s="17">
        <v>-0.15074626865671642</v>
      </c>
      <c r="BN30" s="17">
        <v>-0.15446855461566752</v>
      </c>
      <c r="BO30" s="17">
        <v>-0.15179563124768605</v>
      </c>
      <c r="BP30" s="17">
        <v>-0.15081723625557206</v>
      </c>
      <c r="BQ30" s="17">
        <v>-0.15347454477889261</v>
      </c>
      <c r="BR30" s="17">
        <v>-0.159</v>
      </c>
      <c r="BS30" s="17">
        <v>-0.15943086464793871</v>
      </c>
      <c r="BT30" s="17">
        <v>-0.15808823529411764</v>
      </c>
      <c r="BU30" s="17">
        <v>-0.1554078995939461</v>
      </c>
      <c r="BV30" s="17">
        <v>-0.15099926</v>
      </c>
      <c r="BW30" s="17">
        <v>-0.15723270440251572</v>
      </c>
      <c r="BX30" s="17">
        <v>-0.15018867924528301</v>
      </c>
      <c r="BY30" s="17">
        <v>-0.152668906308324</v>
      </c>
      <c r="BZ30" s="17">
        <v>-0.15044910179640719</v>
      </c>
      <c r="CA30" s="17">
        <v>-0.15961034095166729</v>
      </c>
      <c r="CB30" s="17">
        <v>-0.15545755237045203</v>
      </c>
      <c r="CC30" s="17">
        <v>-0.16109215017064846</v>
      </c>
      <c r="CD30" s="17">
        <v>-0.16575716234652116</v>
      </c>
      <c r="CE30" s="17">
        <v>-0.16723783413296778</v>
      </c>
      <c r="CF30" s="17">
        <v>-0.17172413793103447</v>
      </c>
      <c r="CG30" s="17">
        <v>-0.1686541737649063</v>
      </c>
      <c r="CH30" s="17">
        <v>-0.17216117216117216</v>
      </c>
      <c r="CI30" s="17">
        <v>-0.16759593309281731</v>
      </c>
      <c r="CJ30" s="17">
        <v>-0.16600529100529102</v>
      </c>
      <c r="CK30" s="17">
        <v>-0.18156161806208843</v>
      </c>
      <c r="CL30" s="17">
        <v>3.3198081888601992E-3</v>
      </c>
      <c r="CM30" s="17">
        <v>2.9498525073746312E-3</v>
      </c>
      <c r="CN30" s="17">
        <v>3.3320992225101815E-3</v>
      </c>
      <c r="CO30" s="17">
        <v>1.2509197939661517E-2</v>
      </c>
      <c r="CP30" s="17">
        <v>1.329500538986705E-2</v>
      </c>
      <c r="CQ30" s="17">
        <v>1.1283497884344146E-2</v>
      </c>
      <c r="CR30" s="17">
        <v>1.3660245183887917E-2</v>
      </c>
      <c r="CS30" s="17">
        <v>1.2567324955116697E-2</v>
      </c>
      <c r="CT30" s="17">
        <v>1.3391241404270721E-2</v>
      </c>
      <c r="CU30" s="17">
        <v>1.3894104393541119E-2</v>
      </c>
      <c r="CV30" s="17">
        <v>1.2772351615326822E-2</v>
      </c>
      <c r="CW30" s="17">
        <v>1.3282732447817837E-2</v>
      </c>
      <c r="CX30" s="17">
        <v>1.2898330804248861E-2</v>
      </c>
      <c r="CY30" s="17">
        <v>7.5443228970199921E-3</v>
      </c>
      <c r="CZ30" s="17">
        <v>-3.7579857196542651E-4</v>
      </c>
      <c r="DA30" s="17">
        <v>-7.6277650648360034E-4</v>
      </c>
      <c r="DB30" s="17">
        <v>-9.1324200913242004E-3</v>
      </c>
      <c r="DC30" s="17">
        <v>-9.0497737556561094E-3</v>
      </c>
      <c r="DD30" s="17">
        <v>-9.8113207547169817E-3</v>
      </c>
      <c r="DE30" s="17">
        <v>-1.0662604722010662E-2</v>
      </c>
      <c r="DF30" s="17">
        <v>-1.081685938082805E-2</v>
      </c>
      <c r="DG30" s="17">
        <v>0</v>
      </c>
      <c r="DH30" s="17">
        <v>5.3929121725731898E-3</v>
      </c>
      <c r="DI30" s="17">
        <v>-1.1691348402182385E-2</v>
      </c>
      <c r="DJ30" s="17">
        <v>-1.2432012432012432E-2</v>
      </c>
      <c r="DK30" s="17">
        <v>-1.2167300380228136E-2</v>
      </c>
      <c r="DL30" s="17">
        <v>-1.2581014105985514E-2</v>
      </c>
      <c r="DM30" s="17">
        <v>-1.2987012987012988E-2</v>
      </c>
      <c r="DN30" s="17">
        <v>-1.3117283950617283E-2</v>
      </c>
      <c r="DO30" s="17">
        <v>-1.40625E-2</v>
      </c>
      <c r="DP30" s="17">
        <v>-1.4877362283876157E-2</v>
      </c>
      <c r="DQ30" s="17">
        <v>-1.5022330491270807E-2</v>
      </c>
      <c r="DR30" s="17">
        <v>-1.479408236705318E-2</v>
      </c>
      <c r="DS30" s="17">
        <v>-1.5248796147672551E-2</v>
      </c>
      <c r="DT30" s="17">
        <v>-1.6509433962264151E-2</v>
      </c>
      <c r="DU30" s="17">
        <v>-1.5991074748977315E-2</v>
      </c>
      <c r="DV30" s="17">
        <v>-1.5861305791220952E-2</v>
      </c>
      <c r="DW30" s="17">
        <v>-1.6369588941433248E-2</v>
      </c>
      <c r="DX30" s="17">
        <v>-1.652589056188028E-2</v>
      </c>
      <c r="DY30" s="17">
        <v>-1.7291066282420751E-2</v>
      </c>
      <c r="DZ30" s="17">
        <v>-1.7543859649122806E-2</v>
      </c>
      <c r="EA30" s="17">
        <v>-1.7899408284023668E-2</v>
      </c>
      <c r="EB30" s="17">
        <v>-1.8175074183976261E-2</v>
      </c>
      <c r="EC30" s="17">
        <v>-1.8422991893883568E-2</v>
      </c>
      <c r="ED30" s="17">
        <v>-1.9428571428571427E-2</v>
      </c>
      <c r="EE30" s="17">
        <v>-1.9726858877086494E-2</v>
      </c>
      <c r="EF30" s="17">
        <v>-1.9887429643527205E-2</v>
      </c>
      <c r="EG30" s="17">
        <v>-2.097902097902098E-2</v>
      </c>
      <c r="EH30" s="17">
        <v>-2.119309262166405E-2</v>
      </c>
      <c r="EI30" s="17">
        <v>-2.4237685691946835E-2</v>
      </c>
      <c r="EJ30" s="17">
        <v>-2.1560172481379852E-2</v>
      </c>
      <c r="EK30" s="17">
        <v>-2.3291925465838508E-2</v>
      </c>
      <c r="EL30" s="17">
        <v>-2.2084463386284385E-2</v>
      </c>
      <c r="EM30" s="17">
        <v>-2.1859948128936643E-2</v>
      </c>
    </row>
    <row r="31" spans="1:143" s="17" customFormat="1" x14ac:dyDescent="0.2">
      <c r="A31" s="17" t="str">
        <f>Input!M31</f>
        <v>FG</v>
      </c>
      <c r="B31" s="17">
        <v>-2.5537634408602152E-2</v>
      </c>
      <c r="C31" s="17">
        <v>-2.4226110363391656E-2</v>
      </c>
      <c r="D31" s="17">
        <v>-1.226158038147139E-2</v>
      </c>
      <c r="E31" s="17">
        <v>-1.4276002719238613E-2</v>
      </c>
      <c r="F31" s="17">
        <v>1.7881705639614855E-2</v>
      </c>
      <c r="G31" s="17">
        <v>-2.6954177897574125E-3</v>
      </c>
      <c r="H31" s="17">
        <v>-6.8000000000000005E-4</v>
      </c>
      <c r="I31" s="17">
        <v>5.434782608695652E-3</v>
      </c>
      <c r="J31" s="17">
        <v>5.434782608695652E-3</v>
      </c>
      <c r="K31" s="17">
        <v>4.6590141796083728E-2</v>
      </c>
      <c r="L31" s="17">
        <v>3.9570757880617036E-2</v>
      </c>
      <c r="M31" s="17">
        <v>4.2367182246133152E-2</v>
      </c>
      <c r="N31" s="17">
        <v>2.7170311464546057E-2</v>
      </c>
      <c r="O31" s="17">
        <v>2.9900332225913623E-2</v>
      </c>
      <c r="P31" s="17">
        <v>5.5858310626702996E-2</v>
      </c>
      <c r="Q31" s="17">
        <v>6.1643835616438353E-2</v>
      </c>
      <c r="R31" s="17">
        <v>7.1181755355908774E-2</v>
      </c>
      <c r="S31" s="17">
        <v>3.1270791749833667E-2</v>
      </c>
      <c r="T31" s="17">
        <v>1.5727391874180863E-2</v>
      </c>
      <c r="U31" s="17">
        <v>9.7719869706840382E-3</v>
      </c>
      <c r="V31" s="17">
        <v>3.3333333333333333E-2</v>
      </c>
      <c r="W31" s="17">
        <v>3.5404141616566465E-2</v>
      </c>
      <c r="X31" s="17">
        <v>3.4022681787858569E-2</v>
      </c>
      <c r="Y31" s="17">
        <v>2.6490066225165563E-2</v>
      </c>
      <c r="Z31" s="17">
        <v>1.8396846254927726E-2</v>
      </c>
      <c r="AA31" s="17">
        <v>1.9066403681788299E-2</v>
      </c>
      <c r="AB31" s="17">
        <v>1.772816808929744E-2</v>
      </c>
      <c r="AC31" s="17">
        <v>1.4397905759162303E-2</v>
      </c>
      <c r="AD31" s="17">
        <v>0</v>
      </c>
      <c r="AE31" s="17">
        <v>4.9833887043189369E-2</v>
      </c>
      <c r="AF31" s="17">
        <v>4.0157998683344305E-2</v>
      </c>
      <c r="AG31" s="17">
        <v>2.7308192457737322E-2</v>
      </c>
      <c r="AH31" s="17">
        <v>5.5444221776887105E-2</v>
      </c>
      <c r="AI31" s="17">
        <v>6.0402684563758392E-2</v>
      </c>
      <c r="AJ31" s="17">
        <v>5.5444221776887105E-2</v>
      </c>
      <c r="AK31" s="17">
        <v>4.9833887043189369E-2</v>
      </c>
      <c r="AL31" s="17">
        <v>4.8440610484406108E-2</v>
      </c>
      <c r="AM31" s="17">
        <v>4.5665122435473195E-2</v>
      </c>
      <c r="AN31" s="17">
        <v>4.9136786188579015E-2</v>
      </c>
      <c r="AO31" s="17">
        <v>7.4099252209381378E-2</v>
      </c>
      <c r="AP31" s="17">
        <v>6.0402684563758392E-2</v>
      </c>
      <c r="AQ31" s="17">
        <v>7.7027948193592363E-2</v>
      </c>
      <c r="AR31" s="17">
        <v>8.6657496561210454E-2</v>
      </c>
      <c r="AS31" s="17">
        <v>5.9691482226693494E-2</v>
      </c>
      <c r="AT31" s="17">
        <v>6.6846725185685352E-2</v>
      </c>
      <c r="AU31" s="17">
        <v>6.1827956989247312E-2</v>
      </c>
      <c r="AV31" s="17">
        <v>5.2600000000000001E-2</v>
      </c>
      <c r="AW31" s="17">
        <v>-1.4084507E-2</v>
      </c>
      <c r="AX31" s="17">
        <v>3.3999999999999998E-3</v>
      </c>
      <c r="AY31" s="17">
        <v>2.3699999999999999E-2</v>
      </c>
      <c r="AZ31" s="17">
        <v>2.58E-2</v>
      </c>
      <c r="BA31" s="17">
        <v>2.3676880222841225E-2</v>
      </c>
      <c r="BB31" s="17">
        <v>3.5200000000000002E-2</v>
      </c>
      <c r="BC31" s="17">
        <v>3.0099999999999998E-2</v>
      </c>
      <c r="BD31" s="17">
        <v>6.83E-2</v>
      </c>
      <c r="BE31" s="17">
        <v>5.9800000000000006E-2</v>
      </c>
      <c r="BF31" s="17">
        <v>7.6134699853587118E-2</v>
      </c>
      <c r="BG31" s="17">
        <v>7.0599999999999996E-2</v>
      </c>
      <c r="BH31" s="17">
        <v>8.4900000000000003E-2</v>
      </c>
      <c r="BI31" s="17">
        <v>8.4900000000000003E-2</v>
      </c>
      <c r="BJ31" s="17">
        <v>8.3299999999999999E-2</v>
      </c>
      <c r="BK31" s="17">
        <v>0.1094</v>
      </c>
      <c r="BL31" s="17">
        <v>0.11195158850226929</v>
      </c>
      <c r="BM31" s="17">
        <v>0.11027190332326284</v>
      </c>
      <c r="BN31" s="17">
        <v>9.6196868008948541E-2</v>
      </c>
      <c r="BO31" s="17">
        <v>9.2100000000000001E-2</v>
      </c>
      <c r="BP31" s="17">
        <v>8.247422680412371E-2</v>
      </c>
      <c r="BQ31" s="17">
        <v>7.2210065645514229E-2</v>
      </c>
      <c r="BR31" s="17">
        <v>5.5300000000000002E-2</v>
      </c>
      <c r="BS31" s="17">
        <v>7.8503301540719009E-2</v>
      </c>
      <c r="BT31" s="17">
        <v>7.1428571428571425E-2</v>
      </c>
      <c r="BU31" s="17">
        <v>6.6763425253991288E-2</v>
      </c>
      <c r="BV31" s="17">
        <v>6.8313952999999997E-2</v>
      </c>
      <c r="BW31" s="17">
        <v>7.064821558630735E-2</v>
      </c>
      <c r="BX31" s="17">
        <v>8.247422680412371E-2</v>
      </c>
      <c r="BY31" s="17">
        <v>7.8503301540719009E-2</v>
      </c>
      <c r="BZ31" s="17">
        <v>8.8888888888888892E-2</v>
      </c>
      <c r="CA31" s="17">
        <v>0.11279333838001514</v>
      </c>
      <c r="CB31" s="17">
        <v>0.1111111111111111</v>
      </c>
      <c r="CC31" s="17">
        <v>0.10526315789473684</v>
      </c>
      <c r="CD31" s="17">
        <v>0.10609480812641084</v>
      </c>
      <c r="CE31" s="17">
        <v>8.8888888888888892E-2</v>
      </c>
      <c r="CF31" s="17">
        <v>9.5380029806259314E-2</v>
      </c>
      <c r="CG31" s="17">
        <v>9.8654708520179366E-2</v>
      </c>
      <c r="CH31" s="17">
        <v>9.6196868008948541E-2</v>
      </c>
      <c r="CI31" s="17">
        <v>9.6196868008948541E-2</v>
      </c>
      <c r="CJ31" s="17">
        <v>9.7834204630321137E-2</v>
      </c>
      <c r="CK31" s="17">
        <v>6.8313953488372089E-2</v>
      </c>
      <c r="CL31" s="17">
        <v>1.2396694214876033E-2</v>
      </c>
      <c r="CM31" s="17">
        <v>1.2396694214876033E-2</v>
      </c>
      <c r="CN31" s="17">
        <v>1.2396694214876033E-2</v>
      </c>
      <c r="CO31" s="17">
        <v>1.2396694214876033E-2</v>
      </c>
      <c r="CP31" s="17">
        <v>-1.8691588785046728E-2</v>
      </c>
      <c r="CQ31" s="17">
        <v>-1.8691588785046728E-2</v>
      </c>
      <c r="CR31" s="17">
        <v>-1.8691588785046728E-2</v>
      </c>
      <c r="CS31" s="17">
        <v>-2.0652898067954697E-2</v>
      </c>
      <c r="CT31" s="17">
        <v>-1.9346230820547032E-2</v>
      </c>
      <c r="CU31" s="17">
        <v>-1.8691588785046728E-2</v>
      </c>
      <c r="CV31" s="17">
        <v>9.6153846153846159E-3</v>
      </c>
      <c r="CW31" s="17">
        <v>1.0309278350515464E-2</v>
      </c>
      <c r="CX31" s="17">
        <v>1.1004126547455296E-2</v>
      </c>
      <c r="CY31" s="17">
        <v>1.3793103448275862E-2</v>
      </c>
      <c r="CZ31" s="17">
        <v>-6.8917987594762232E-4</v>
      </c>
      <c r="DA31" s="17">
        <v>6.9444444444444441E-3</v>
      </c>
      <c r="DB31" s="17">
        <v>3.4602076124567475E-3</v>
      </c>
      <c r="DC31" s="17">
        <v>-6.8917987594762232E-4</v>
      </c>
      <c r="DD31" s="17">
        <v>-6.8917987594762232E-4</v>
      </c>
      <c r="DE31" s="17">
        <v>8.3449235048678721E-3</v>
      </c>
      <c r="DF31" s="17">
        <v>7.6441973592772756E-3</v>
      </c>
      <c r="DG31" s="17">
        <v>2.1126760563380281E-2</v>
      </c>
      <c r="DH31" s="17">
        <v>2.9098651525904896E-2</v>
      </c>
      <c r="DI31" s="17">
        <v>1.7069701280227598E-2</v>
      </c>
      <c r="DJ31" s="17">
        <v>1.9244476122594441E-2</v>
      </c>
      <c r="DK31" s="17">
        <v>1.9971469329529243E-2</v>
      </c>
      <c r="DL31" s="17">
        <v>4.9191848208011242E-3</v>
      </c>
      <c r="DM31" s="17">
        <v>3.3984092552422268E-2</v>
      </c>
      <c r="DN31" s="17">
        <v>2.5824964131994262E-2</v>
      </c>
      <c r="DO31" s="17">
        <v>4.9191848208011242E-3</v>
      </c>
      <c r="DP31" s="17">
        <v>7.0422535211267607E-3</v>
      </c>
      <c r="DQ31" s="17">
        <v>4.953998584571833E-3</v>
      </c>
      <c r="DR31" s="17">
        <v>-7.0372976776917663E-4</v>
      </c>
      <c r="DS31" s="17">
        <v>-4.2075736325385693E-3</v>
      </c>
      <c r="DT31" s="17">
        <v>1.8651362984218076E-2</v>
      </c>
      <c r="DU31" s="17">
        <v>1.8651362984218076E-2</v>
      </c>
      <c r="DV31" s="17">
        <v>1.6463851109520401E-2</v>
      </c>
      <c r="DW31" s="17">
        <v>4.2432814710042432E-3</v>
      </c>
      <c r="DX31" s="17">
        <v>6.3784549964564135E-3</v>
      </c>
      <c r="DY31" s="17">
        <v>1.4104372355430183E-3</v>
      </c>
      <c r="DZ31" s="17">
        <v>-1.0452961672473868E-2</v>
      </c>
      <c r="EA31" s="17">
        <v>-2.0689655172413793E-2</v>
      </c>
      <c r="EB31" s="17">
        <v>1.5228426395939087E-2</v>
      </c>
      <c r="EC31" s="17">
        <v>1.4492753623188406E-2</v>
      </c>
      <c r="ED31" s="17">
        <v>1.4705882352941176E-2</v>
      </c>
      <c r="EE31" s="17">
        <v>1.6200294550810016E-2</v>
      </c>
      <c r="EF31" s="17">
        <v>7.2516316171138508E-4</v>
      </c>
      <c r="EG31" s="17">
        <v>-4.329004329004329E-3</v>
      </c>
      <c r="EH31" s="17">
        <v>5.0983248361252727E-3</v>
      </c>
      <c r="EI31" s="17">
        <v>1.3215859030837005E-2</v>
      </c>
      <c r="EJ31" s="17">
        <v>1.7699115044247787E-2</v>
      </c>
      <c r="EK31" s="17">
        <v>-7.2411296162201298E-4</v>
      </c>
      <c r="EL31" s="17">
        <v>2.4498886414253896E-2</v>
      </c>
      <c r="EM31" s="17">
        <v>1.0248901903367497E-2</v>
      </c>
    </row>
    <row r="32" spans="1:143" x14ac:dyDescent="0.2">
      <c r="A32" s="17" t="str">
        <f>Input!M32</f>
        <v>CY</v>
      </c>
      <c r="B32" s="17">
        <v>-2.1785561725758223E-2</v>
      </c>
      <c r="C32" s="17">
        <v>-2.0949123557075674E-2</v>
      </c>
      <c r="D32" s="17">
        <v>-2.3245894647046277E-2</v>
      </c>
      <c r="E32" s="17">
        <v>-1.9691780821917807E-2</v>
      </c>
      <c r="F32" s="17">
        <v>-1.9901562165632356E-2</v>
      </c>
      <c r="G32" s="17">
        <v>-1.3993541442411194E-2</v>
      </c>
      <c r="H32" s="17">
        <v>-1.5049999999999999E-2</v>
      </c>
      <c r="I32" s="17">
        <v>-8.2286704200952802E-3</v>
      </c>
      <c r="J32" s="17">
        <v>-8.4433860142888069E-3</v>
      </c>
      <c r="K32" s="17">
        <v>-6.0501296456352636E-3</v>
      </c>
      <c r="L32" s="17">
        <v>-9.9009900990099011E-3</v>
      </c>
      <c r="M32" s="17">
        <v>-6.0501296456352636E-3</v>
      </c>
      <c r="N32" s="17">
        <v>-7.9792969592408884E-3</v>
      </c>
      <c r="O32" s="17">
        <v>-6.4794816414686825E-3</v>
      </c>
      <c r="P32" s="17">
        <v>-2.1598272138228943E-3</v>
      </c>
      <c r="Q32" s="17">
        <v>6.4977257959714096E-4</v>
      </c>
      <c r="R32" s="17">
        <v>2.3866348448687352E-3</v>
      </c>
      <c r="S32" s="17">
        <v>1.3157894736842105E-2</v>
      </c>
      <c r="T32" s="17">
        <v>1.3157894736842105E-2</v>
      </c>
      <c r="U32" s="17">
        <v>8.7336244541484712E-3</v>
      </c>
      <c r="V32" s="17">
        <v>9.1743119266055051E-3</v>
      </c>
      <c r="W32" s="17">
        <v>1.0940919037199124E-2</v>
      </c>
      <c r="X32" s="17">
        <v>6.3167065998693097E-3</v>
      </c>
      <c r="Y32" s="17">
        <v>-2.3752969121140144E-3</v>
      </c>
      <c r="Z32" s="17">
        <v>-1.4505119453924915E-2</v>
      </c>
      <c r="AA32" s="17">
        <v>-4.0957102823884458E-3</v>
      </c>
      <c r="AB32" s="17">
        <v>1.5174506828528073E-3</v>
      </c>
      <c r="AC32" s="17">
        <v>-5.5962117950925528E-3</v>
      </c>
      <c r="AD32" s="17">
        <v>-6.024096385542169E-3</v>
      </c>
      <c r="AE32" s="17">
        <v>-8.5836909871244635E-3</v>
      </c>
      <c r="AF32" s="17">
        <v>-1.2187299550994226E-2</v>
      </c>
      <c r="AG32" s="17">
        <v>-9.433962264150943E-3</v>
      </c>
      <c r="AH32" s="17">
        <v>4.1116641419606144E-3</v>
      </c>
      <c r="AI32" s="17">
        <v>4.1116641419606144E-3</v>
      </c>
      <c r="AJ32" s="17">
        <v>2.3763231799524736E-3</v>
      </c>
      <c r="AK32" s="17">
        <v>2.1598272138228943E-3</v>
      </c>
      <c r="AL32" s="17">
        <v>1.294777729823047E-3</v>
      </c>
      <c r="AM32" s="17">
        <v>0</v>
      </c>
      <c r="AN32" s="17">
        <v>1.0787486515641855E-3</v>
      </c>
      <c r="AO32" s="17">
        <v>-8.6132644272179156E-4</v>
      </c>
      <c r="AP32" s="17">
        <v>-4.3084877208099956E-4</v>
      </c>
      <c r="AQ32" s="17">
        <v>1.0787486515641855E-3</v>
      </c>
      <c r="AR32" s="17">
        <v>3.4602076124567475E-3</v>
      </c>
      <c r="AS32" s="17">
        <v>1.0452961672473868E-2</v>
      </c>
      <c r="AT32" s="17">
        <v>1.0452961672473868E-2</v>
      </c>
      <c r="AU32" s="17">
        <v>1.3764474546646276E-2</v>
      </c>
      <c r="AV32" s="17">
        <v>1.2E-2</v>
      </c>
      <c r="AW32" s="17">
        <v>1.0673056E-2</v>
      </c>
      <c r="AX32" s="17">
        <v>8.5000000000000006E-3</v>
      </c>
      <c r="AY32" s="17">
        <v>8.6999999999999994E-3</v>
      </c>
      <c r="AZ32" s="17">
        <v>6.8999999999999999E-3</v>
      </c>
      <c r="BA32" s="17">
        <v>4.9815897769114144E-3</v>
      </c>
      <c r="BB32" s="17">
        <v>2.5999999999999999E-3</v>
      </c>
      <c r="BC32" s="17">
        <v>9.4999999999999998E-3</v>
      </c>
      <c r="BD32" s="17">
        <v>1.0200000000000001E-2</v>
      </c>
      <c r="BE32" s="17">
        <v>1.06E-2</v>
      </c>
      <c r="BF32" s="17">
        <v>1.0407632263660017E-2</v>
      </c>
      <c r="BG32" s="17">
        <v>9.7999999999999997E-3</v>
      </c>
      <c r="BH32" s="17">
        <v>1.11E-2</v>
      </c>
      <c r="BI32" s="17">
        <v>1.6899999999999998E-2</v>
      </c>
      <c r="BJ32" s="17">
        <v>1.6500000000000001E-2</v>
      </c>
      <c r="BK32" s="17">
        <v>2.23E-2</v>
      </c>
      <c r="BL32" s="17">
        <v>1.8941868060091443E-2</v>
      </c>
      <c r="BM32" s="17">
        <v>2.822139575585211E-2</v>
      </c>
      <c r="BN32" s="17">
        <v>2.5081788440567066E-2</v>
      </c>
      <c r="BO32" s="17">
        <v>2.4858264282599216E-2</v>
      </c>
      <c r="BP32" s="17">
        <v>2.4858264282599216E-2</v>
      </c>
      <c r="BQ32" s="17">
        <v>2.8896672504378284E-2</v>
      </c>
      <c r="BR32" s="17">
        <v>2.8000000000000001E-2</v>
      </c>
      <c r="BS32" s="17">
        <v>2.5081788440567066E-2</v>
      </c>
      <c r="BT32" s="17">
        <v>1.9080659150043366E-2</v>
      </c>
      <c r="BU32" s="17">
        <v>1.8859744201170606E-2</v>
      </c>
      <c r="BV32" s="17">
        <v>1.9522777000000002E-2</v>
      </c>
      <c r="BW32" s="17">
        <v>2.0452567449956483E-2</v>
      </c>
      <c r="BX32" s="17">
        <v>2.0497165285651986E-2</v>
      </c>
      <c r="BY32" s="17">
        <v>2.0497165285651986E-2</v>
      </c>
      <c r="BZ32" s="17">
        <v>2.0052310374891021E-2</v>
      </c>
      <c r="CA32" s="17">
        <v>1.8276762402088774E-2</v>
      </c>
      <c r="CB32" s="17">
        <v>1.9830028328611898E-2</v>
      </c>
      <c r="CC32" s="17">
        <v>1.0580868063053337E-2</v>
      </c>
      <c r="CD32" s="17">
        <v>5.3705692803437165E-3</v>
      </c>
      <c r="CE32" s="17">
        <v>7.1013557133634605E-3</v>
      </c>
      <c r="CF32" s="17">
        <v>9.0556274256144882E-3</v>
      </c>
      <c r="CG32" s="17">
        <v>6.4516129032258064E-3</v>
      </c>
      <c r="CH32" s="17">
        <v>3.8610038610038611E-3</v>
      </c>
      <c r="CI32" s="17">
        <v>1.364522417153996E-2</v>
      </c>
      <c r="CJ32" s="17">
        <v>1.6286644951140065E-2</v>
      </c>
      <c r="CK32" s="17">
        <v>1.1723838471558836E-2</v>
      </c>
      <c r="CL32" s="17">
        <v>6.4794816414686825E-3</v>
      </c>
      <c r="CM32" s="17">
        <v>3.8944180008654264E-3</v>
      </c>
      <c r="CN32" s="17">
        <v>-1.5063481816225521E-3</v>
      </c>
      <c r="CO32" s="17">
        <v>-7.0618446394179329E-3</v>
      </c>
      <c r="CP32" s="17">
        <v>6.4977257959714096E-4</v>
      </c>
      <c r="CQ32" s="17">
        <v>-1.1130136986301369E-2</v>
      </c>
      <c r="CR32" s="17">
        <v>-1.4294858118199274E-2</v>
      </c>
      <c r="CS32" s="17">
        <v>-1.6008537886872998E-2</v>
      </c>
      <c r="CT32" s="17">
        <v>-1.7476555839727195E-2</v>
      </c>
      <c r="CU32" s="17">
        <v>-2.1687269572760788E-4</v>
      </c>
      <c r="CV32" s="17">
        <v>-2.1687269572760788E-4</v>
      </c>
      <c r="CW32" s="17">
        <v>6.5118298241805949E-4</v>
      </c>
      <c r="CX32" s="17">
        <v>-2.1687269572760788E-4</v>
      </c>
    </row>
    <row r="33" spans="1:45" x14ac:dyDescent="0.2">
      <c r="A33" s="17" t="str">
        <f>Input!M33</f>
        <v>V</v>
      </c>
      <c r="B33" s="17">
        <v>-4.0316774658027354E-2</v>
      </c>
      <c r="C33" s="17">
        <v>-2.1849963583394028E-2</v>
      </c>
      <c r="D33" s="17">
        <v>-2.7900146842878122E-2</v>
      </c>
      <c r="E33" s="17">
        <v>-2.2338049143708117E-2</v>
      </c>
      <c r="F33" s="17">
        <v>-1.5015015015015015E-2</v>
      </c>
      <c r="G33" s="17">
        <v>-1.4296463506395787E-2</v>
      </c>
      <c r="H33" s="17">
        <v>-1.5089999999999999E-2</v>
      </c>
      <c r="I33" s="17">
        <v>-7.5872534142640367E-4</v>
      </c>
      <c r="J33" s="17">
        <v>-3.7593984962406013E-3</v>
      </c>
      <c r="K33" s="17">
        <v>-2.5659824046920823E-2</v>
      </c>
      <c r="L33" s="17">
        <v>-2.2827687776141383E-2</v>
      </c>
      <c r="M33" s="17">
        <v>-2.0771513353115726E-2</v>
      </c>
      <c r="N33" s="17">
        <v>-2.9304029304029304E-2</v>
      </c>
      <c r="O33" s="17">
        <v>-2.0618556701030927E-2</v>
      </c>
      <c r="P33" s="17">
        <v>-2.9839883551673944E-2</v>
      </c>
      <c r="Q33" s="17">
        <v>-2.4122807017543858E-2</v>
      </c>
      <c r="R33" s="17">
        <v>-2.4426350851221319E-2</v>
      </c>
      <c r="S33" s="17">
        <v>-1.5151515151515152E-3</v>
      </c>
      <c r="T33" s="17">
        <v>1.5197568389057751E-3</v>
      </c>
      <c r="U33" s="17">
        <v>-9.9693251533742328E-3</v>
      </c>
      <c r="V33" s="17">
        <v>-2.3237800154918666E-3</v>
      </c>
      <c r="W33" s="17">
        <v>-5.3516819571865441E-3</v>
      </c>
      <c r="X33" s="17">
        <v>-9.984639016897081E-3</v>
      </c>
      <c r="Y33" s="17">
        <v>-1.5420200462606013E-3</v>
      </c>
      <c r="Z33" s="17">
        <v>-3.0888030888030888E-3</v>
      </c>
      <c r="AA33" s="17">
        <v>-3.0674846625766872E-3</v>
      </c>
      <c r="AB33" s="17">
        <v>-1.355421686746988E-2</v>
      </c>
      <c r="AC33" s="17">
        <v>-1.4296463506395787E-2</v>
      </c>
      <c r="AD33" s="17">
        <v>-1.0630220197418374E-2</v>
      </c>
      <c r="AE33" s="17">
        <v>-7.6511094108645756E-3</v>
      </c>
      <c r="AF33" s="17">
        <v>-7.6277650648360028E-3</v>
      </c>
      <c r="AG33" s="17">
        <v>-9.8859315589353604E-3</v>
      </c>
      <c r="AH33" s="17">
        <v>-1.5037593984962405E-2</v>
      </c>
      <c r="AI33" s="17">
        <v>-1.2039127163280662E-2</v>
      </c>
      <c r="AJ33" s="17">
        <v>-3.4039334341906202E-2</v>
      </c>
      <c r="AK33" s="17">
        <v>-1.4717273431448489E-2</v>
      </c>
      <c r="AL33" s="17">
        <v>-3.1758326878388844E-2</v>
      </c>
      <c r="AM33" s="17">
        <v>-2.4960998439937598E-2</v>
      </c>
      <c r="AN33" s="17">
        <v>-2.3809523809523808E-2</v>
      </c>
      <c r="AO33" s="17">
        <v>-1.8729641693811076E-2</v>
      </c>
      <c r="AP33" s="17">
        <v>-7.3831009023789989E-3</v>
      </c>
      <c r="AQ33" s="17">
        <v>-1.7828200972447326E-2</v>
      </c>
      <c r="AR33" s="17">
        <v>-1.1391375101708706E-2</v>
      </c>
      <c r="AS33" s="17">
        <v>-2.2222222222222223E-2</v>
      </c>
    </row>
    <row r="34" spans="1:45" x14ac:dyDescent="0.2">
      <c r="A34" s="17" t="str">
        <f>Input!M34</f>
        <v>AP</v>
      </c>
      <c r="B34" s="17"/>
      <c r="C34" s="17"/>
      <c r="D34" s="17"/>
      <c r="E34" s="17"/>
      <c r="F34" s="17">
        <v>-0.18106206014075496</v>
      </c>
      <c r="G34" s="17">
        <v>-0.18106206014075496</v>
      </c>
      <c r="H34" s="17">
        <v>-0.18106206014075496</v>
      </c>
      <c r="I34" s="17">
        <v>-0.18106206014075496</v>
      </c>
      <c r="J34" s="17">
        <v>-0.18106206014075496</v>
      </c>
      <c r="K34" s="17">
        <v>-0.18106206014075496</v>
      </c>
      <c r="L34" s="17">
        <v>-0.18106206014075496</v>
      </c>
      <c r="M34" s="17">
        <v>-0.19364999370039057</v>
      </c>
      <c r="N34" s="17">
        <v>-0.19658548832538289</v>
      </c>
      <c r="O34" s="17">
        <v>-0.20129789092724323</v>
      </c>
      <c r="P34" s="17">
        <v>-0.2085085332673757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31"/>
  <sheetViews>
    <sheetView workbookViewId="0">
      <selection activeCell="L13" sqref="L13"/>
    </sheetView>
  </sheetViews>
  <sheetFormatPr defaultRowHeight="14.25" x14ac:dyDescent="0.2"/>
  <cols>
    <col min="1" max="14" width="9" style="20"/>
    <col min="15" max="15" width="9" style="21"/>
    <col min="16" max="16" width="5.5" customWidth="1"/>
    <col min="17" max="17" width="13.875" style="16" customWidth="1"/>
    <col min="18" max="18" width="13.875" style="19" customWidth="1"/>
  </cols>
  <sheetData>
    <row r="1" spans="16:18" x14ac:dyDescent="0.2">
      <c r="P1" s="14" t="s">
        <v>69</v>
      </c>
      <c r="Q1" s="15" t="s">
        <v>71</v>
      </c>
      <c r="R1" s="18" t="s">
        <v>70</v>
      </c>
    </row>
    <row r="2" spans="16:18" x14ac:dyDescent="0.2">
      <c r="P2" t="str">
        <f>Input!M2</f>
        <v>JM</v>
      </c>
      <c r="Q2" s="19">
        <f ca="1">(OFFSET(Basis!A2,0,1)-OFFSET(Basis!A2,0,2))/OFFSET(Spot!A2,0,1)</f>
        <v>5.5147058823529415E-3</v>
      </c>
      <c r="R2" s="19">
        <f ca="1">OFFSET(Ratio!A2,0,1)</f>
        <v>4.0152963671128104E-2</v>
      </c>
    </row>
    <row r="3" spans="16:18" x14ac:dyDescent="0.2">
      <c r="P3" t="str">
        <f>Input!M3</f>
        <v>J</v>
      </c>
      <c r="Q3" s="19">
        <f ca="1">(OFFSET(Basis!A3,0,1)-OFFSET(Basis!A3,0,2))/OFFSET(Spot!A3,0,1)</f>
        <v>-4.9512195121951222E-2</v>
      </c>
      <c r="R3" s="19">
        <f ca="1">OFFSET(Ratio!A3,0,1)</f>
        <v>2.9354207436399216E-3</v>
      </c>
    </row>
    <row r="4" spans="16:18" x14ac:dyDescent="0.2">
      <c r="P4" t="str">
        <f>Input!M4</f>
        <v>RB</v>
      </c>
      <c r="Q4" s="19">
        <f ca="1">(OFFSET(Basis!A4,0,1)-OFFSET(Basis!A4,0,2))/OFFSET(Spot!A4,0,1)</f>
        <v>4.7263681592039797E-3</v>
      </c>
      <c r="R4" s="19">
        <f ca="1">OFFSET(Ratio!A4,0,1)</f>
        <v>1.9269776876267748E-2</v>
      </c>
    </row>
    <row r="5" spans="16:18" x14ac:dyDescent="0.2">
      <c r="P5" t="str">
        <f>Input!M5</f>
        <v>I</v>
      </c>
      <c r="Q5" s="19">
        <f ca="1">(OFFSET(Basis!A5,0,1)-OFFSET(Basis!A5,0,2))/OFFSET(Spot!A5,0,1)</f>
        <v>2.8275734614673937E-2</v>
      </c>
      <c r="R5" s="19">
        <f ca="1">OFFSET(Ratio!A5,0,1)</f>
        <v>4.1578440808469723E-2</v>
      </c>
    </row>
    <row r="6" spans="16:18" x14ac:dyDescent="0.2">
      <c r="P6" t="str">
        <f>Input!M6</f>
        <v>P</v>
      </c>
      <c r="Q6" s="19">
        <f ca="1">(OFFSET(Basis!A6,0,1)-OFFSET(Basis!A6,0,2))/OFFSET(Spot!A6,0,1)</f>
        <v>7.7821011673151756E-4</v>
      </c>
      <c r="R6" s="19">
        <f ca="1">OFFSET(Ratio!A6,0,1)</f>
        <v>-1.9083969465648856E-2</v>
      </c>
    </row>
    <row r="7" spans="16:18" x14ac:dyDescent="0.2">
      <c r="P7" t="str">
        <f>Input!M7</f>
        <v>RM</v>
      </c>
      <c r="Q7" s="19">
        <f ca="1">(OFFSET(Basis!A7,0,1)-OFFSET(Basis!A7,0,2))/OFFSET(Spot!A7,0,1)</f>
        <v>4.8888888888888888E-3</v>
      </c>
      <c r="R7" s="19">
        <f ca="1">OFFSET(Ratio!A7,0,1)</f>
        <v>-2.0461471484545059E-2</v>
      </c>
    </row>
    <row r="8" spans="16:18" x14ac:dyDescent="0.2">
      <c r="P8" t="str">
        <f>Input!M8</f>
        <v>ZN</v>
      </c>
      <c r="Q8" s="19">
        <f ca="1">(OFFSET(Basis!A8,0,1)-OFFSET(Basis!A8,0,2))/OFFSET(Spot!A8,0,1)</f>
        <v>3.8284839203675346E-4</v>
      </c>
      <c r="R8" s="19">
        <f ca="1">OFFSET(Ratio!A8,0,1)</f>
        <v>-1.5290519877675841E-3</v>
      </c>
    </row>
    <row r="9" spans="16:18" x14ac:dyDescent="0.2">
      <c r="P9" t="str">
        <f>Input!M9</f>
        <v>HC</v>
      </c>
      <c r="Q9" s="19">
        <f ca="1">(OFFSET(Basis!A9,0,1)-OFFSET(Basis!A9,0,2))/OFFSET(Spot!A9,0,1)</f>
        <v>-1.4563106796116505E-3</v>
      </c>
      <c r="R9" s="19">
        <f ca="1">OFFSET(Ratio!A9,0,1)</f>
        <v>3.9616452182689881E-2</v>
      </c>
    </row>
    <row r="10" spans="16:18" x14ac:dyDescent="0.2">
      <c r="P10" t="str">
        <f>Input!M10</f>
        <v>A</v>
      </c>
      <c r="Q10" s="19">
        <f ca="1">(OFFSET(Basis!A10,0,1)-OFFSET(Basis!A10,0,2))/OFFSET(Spot!A10,0,1)</f>
        <v>3.8356164383561643E-3</v>
      </c>
      <c r="R10" s="19">
        <f ca="1">OFFSET(Ratio!A10,0,1)</f>
        <v>3.6048822026681804E-2</v>
      </c>
    </row>
    <row r="11" spans="16:18" x14ac:dyDescent="0.2">
      <c r="P11" t="str">
        <f>Input!M11</f>
        <v>ZC</v>
      </c>
      <c r="Q11" s="19">
        <f ca="1">(OFFSET(Basis!A11,0,1)-OFFSET(Basis!A11,0,2))/OFFSET(Spot!A11,0,1)</f>
        <v>4.0000000000000001E-3</v>
      </c>
      <c r="R11" s="19">
        <f ca="1">OFFSET(Ratio!A11,0,1)</f>
        <v>0.11906893464637414</v>
      </c>
    </row>
    <row r="12" spans="16:18" x14ac:dyDescent="0.2">
      <c r="P12" t="str">
        <f>Input!M12</f>
        <v>CF</v>
      </c>
      <c r="Q12" s="19">
        <f ca="1">(OFFSET(Basis!A12,0,1)-OFFSET(Basis!A12,0,2))/OFFSET(Spot!A12,0,1)</f>
        <v>3.8834951456310678E-3</v>
      </c>
      <c r="R12" s="19">
        <f ca="1">OFFSET(Ratio!A12,0,1)</f>
        <v>-4.1894940380277149E-3</v>
      </c>
    </row>
    <row r="13" spans="16:18" x14ac:dyDescent="0.2">
      <c r="P13" t="str">
        <f>Input!M13</f>
        <v>MA</v>
      </c>
      <c r="Q13" s="19">
        <f ca="1">(OFFSET(Basis!A13,0,1)-OFFSET(Basis!A13,0,2))/OFFSET(Spot!A13,0,1)</f>
        <v>1.2903225806451613E-3</v>
      </c>
      <c r="R13" s="19">
        <f ca="1">OFFSET(Ratio!A13,0,1)</f>
        <v>9.8511693834160169E-2</v>
      </c>
    </row>
    <row r="14" spans="16:18" x14ac:dyDescent="0.2">
      <c r="P14" t="str">
        <f>Input!M14</f>
        <v>BU</v>
      </c>
      <c r="Q14" s="19">
        <f ca="1">(OFFSET(Basis!A14,0,1)-OFFSET(Basis!A14,0,2))/OFFSET(Spot!A14,0,1)</f>
        <v>1.6666666666666668E-3</v>
      </c>
      <c r="R14" s="19">
        <f ca="1">OFFSET(Ratio!A14,0,1)</f>
        <v>-0.17582417582417584</v>
      </c>
    </row>
    <row r="15" spans="16:18" x14ac:dyDescent="0.2">
      <c r="P15" t="str">
        <f>Input!M15</f>
        <v>L</v>
      </c>
      <c r="Q15" s="19">
        <f ca="1">(OFFSET(Basis!A15,0,1)-OFFSET(Basis!A15,0,2))/OFFSET(Spot!A15,0,1)</f>
        <v>3.5605289928789421E-3</v>
      </c>
      <c r="R15" s="19">
        <f ca="1">OFFSET(Ratio!A15,0,1)</f>
        <v>-1.4536340852130326E-2</v>
      </c>
    </row>
    <row r="16" spans="16:18" x14ac:dyDescent="0.2">
      <c r="P16" t="str">
        <f>Input!M16</f>
        <v>SR</v>
      </c>
      <c r="Q16" s="19">
        <f ca="1">(OFFSET(Basis!A16,0,1)-OFFSET(Basis!A16,0,2))/OFFSET(Spot!A16,0,1)</f>
        <v>1.0050251256281408E-3</v>
      </c>
      <c r="R16" s="19">
        <f ca="1">OFFSET(Ratio!A16,0,1)</f>
        <v>2.8069571207163767E-2</v>
      </c>
    </row>
    <row r="17" spans="16:18" x14ac:dyDescent="0.2">
      <c r="P17" t="str">
        <f>Input!M17</f>
        <v>IC</v>
      </c>
      <c r="Q17" s="19">
        <f ca="1">(OFFSET(Basis!A17,0,1)-OFFSET(Basis!A17,0,2))/OFFSET(Spot!A17,0,1)</f>
        <v>1.3619760067051184E-3</v>
      </c>
      <c r="R17" s="19">
        <f ca="1">OFFSET(Ratio!A17,0,1)</f>
        <v>-1.0631977235065058E-4</v>
      </c>
    </row>
    <row r="18" spans="16:18" x14ac:dyDescent="0.2">
      <c r="P18" t="str">
        <f>Input!M18</f>
        <v>IH</v>
      </c>
      <c r="Q18" s="19">
        <f ca="1">(OFFSET(Basis!A18,0,1)-OFFSET(Basis!A18,0,2))/OFFSET(Spot!A18,0,1)</f>
        <v>-5.7879290223737765E-4</v>
      </c>
      <c r="R18" s="19">
        <f ca="1">OFFSET(Ratio!A18,0,1)</f>
        <v>-3.3138951592675287E-3</v>
      </c>
    </row>
    <row r="19" spans="16:18" x14ac:dyDescent="0.2">
      <c r="P19" t="str">
        <f>Input!M19</f>
        <v>IF</v>
      </c>
      <c r="Q19" s="19">
        <f ca="1">(OFFSET(Basis!A19,0,1)-OFFSET(Basis!A19,0,2))/OFFSET(Spot!A19,0,1)</f>
        <v>-4.3305336812967575E-4</v>
      </c>
      <c r="R19" s="19">
        <f ca="1">OFFSET(Ratio!A19,0,1)</f>
        <v>-2.9429142805201176E-3</v>
      </c>
    </row>
    <row r="20" spans="16:18" x14ac:dyDescent="0.2">
      <c r="P20" t="str">
        <f>Input!M20</f>
        <v>CU</v>
      </c>
      <c r="Q20" s="19">
        <f ca="1">(OFFSET(Basis!A20,0,1)-OFFSET(Basis!A20,0,2))/OFFSET(Spot!A20,0,1)</f>
        <v>-1.8793459875963165E-4</v>
      </c>
      <c r="R20" s="19">
        <f ca="1">OFFSET(Ratio!A20,0,1)</f>
        <v>-1.8758206715438004E-3</v>
      </c>
    </row>
    <row r="21" spans="16:18" x14ac:dyDescent="0.2">
      <c r="P21" t="str">
        <f>Input!M21</f>
        <v>CS</v>
      </c>
      <c r="Q21" s="19">
        <f ca="1">(OFFSET(Basis!A21,0,1)-OFFSET(Basis!A21,0,2))/OFFSET(Spot!A21,0,1)</f>
        <v>-4.4444444444444447E-4</v>
      </c>
      <c r="R21" s="19">
        <f ca="1">OFFSET(Ratio!A21,0,1)</f>
        <v>7.8102539530426451E-2</v>
      </c>
    </row>
    <row r="22" spans="16:18" x14ac:dyDescent="0.2">
      <c r="P22" t="str">
        <f>Input!M22</f>
        <v>AL</v>
      </c>
      <c r="Q22" s="19">
        <f ca="1">(OFFSET(Basis!A22,0,1)-OFFSET(Basis!A22,0,2))/OFFSET(Spot!A22,0,1)</f>
        <v>2.7662517289073307E-3</v>
      </c>
      <c r="R22" s="19">
        <f ca="1">OFFSET(Ratio!A22,0,1)</f>
        <v>-5.1599587203302374E-3</v>
      </c>
    </row>
    <row r="23" spans="16:18" x14ac:dyDescent="0.2">
      <c r="P23" t="str">
        <f>Input!M23</f>
        <v>PP</v>
      </c>
      <c r="Q23" s="19">
        <f ca="1">(OFFSET(Basis!A23,0,1)-OFFSET(Basis!A23,0,2))/OFFSET(Spot!A23,0,1)</f>
        <v>6.5256288811704035E-3</v>
      </c>
      <c r="R23" s="19">
        <f ca="1">OFFSET(Ratio!A23,0,1)</f>
        <v>-7.1062806980875743E-3</v>
      </c>
    </row>
    <row r="24" spans="16:18" x14ac:dyDescent="0.2">
      <c r="P24" t="str">
        <f>Input!M24</f>
        <v>C</v>
      </c>
      <c r="Q24" s="19">
        <f ca="1">(OFFSET(Basis!A24,0,1)-OFFSET(Basis!A24,0,2))/OFFSET(Spot!A24,0,1)</f>
        <v>5.4054054054054057E-3</v>
      </c>
      <c r="R24" s="19">
        <f ca="1">OFFSET(Ratio!A24,0,1)</f>
        <v>3.2942490228922393E-2</v>
      </c>
    </row>
    <row r="25" spans="16:18" x14ac:dyDescent="0.2">
      <c r="P25" t="str">
        <f>Input!M25</f>
        <v>NI</v>
      </c>
      <c r="Q25" s="19">
        <f ca="1">(OFFSET(Basis!A25,0,1)-OFFSET(Basis!A25,0,2))/OFFSET(Spot!A25,0,1)</f>
        <v>1.100828056502679E-2</v>
      </c>
      <c r="R25" s="19">
        <f ca="1">OFFSET(Ratio!A25,0,1)</f>
        <v>-1.0411645618432469E-2</v>
      </c>
    </row>
    <row r="26" spans="16:18" x14ac:dyDescent="0.2">
      <c r="P26" t="str">
        <f>Input!M26</f>
        <v>Y</v>
      </c>
      <c r="Q26" s="19">
        <f ca="1">(OFFSET(Basis!A26,0,1)-OFFSET(Basis!A26,0,2))/OFFSET(Spot!A26,0,1)</f>
        <v>-5.7142857142857143E-3</v>
      </c>
      <c r="R26" s="19">
        <f ca="1">OFFSET(Ratio!A26,0,1)</f>
        <v>-3.614457831325301E-2</v>
      </c>
    </row>
    <row r="27" spans="16:18" x14ac:dyDescent="0.2">
      <c r="P27" t="str">
        <f>Input!M27</f>
        <v>OI</v>
      </c>
      <c r="Q27" s="19">
        <f ca="1">(OFFSET(Basis!A27,0,1)-OFFSET(Basis!A27,0,2))/OFFSET(Spot!A27,0,1)</f>
        <v>0</v>
      </c>
      <c r="R27" s="19">
        <f ca="1">OFFSET(Ratio!A27,0,1)</f>
        <v>1.3786764705882353E-2</v>
      </c>
    </row>
    <row r="28" spans="16:18" x14ac:dyDescent="0.2">
      <c r="P28" t="str">
        <f>Input!M28</f>
        <v>TA</v>
      </c>
      <c r="Q28" s="19">
        <f ca="1">(OFFSET(Basis!A28,0,1)-OFFSET(Basis!A28,0,2))/OFFSET(Spot!A28,0,1)</f>
        <v>4.3975373790677225E-3</v>
      </c>
      <c r="R28" s="19">
        <f ca="1">OFFSET(Ratio!A28,0,1)</f>
        <v>-7.8534031413612562E-3</v>
      </c>
    </row>
    <row r="29" spans="16:18" x14ac:dyDescent="0.2">
      <c r="P29" t="str">
        <f>Input!M29</f>
        <v>M</v>
      </c>
      <c r="Q29" s="19">
        <f ca="1">(OFFSET(Basis!A29,0,1)-OFFSET(Basis!A29,0,2))/OFFSET(Spot!A29,0,1)</f>
        <v>1.4134275618374558E-3</v>
      </c>
      <c r="R29" s="19">
        <f ca="1">OFFSET(Ratio!A29,0,1)</f>
        <v>2.3508137432188065E-2</v>
      </c>
    </row>
    <row r="30" spans="16:18" x14ac:dyDescent="0.2">
      <c r="P30" t="str">
        <f>Input!M30</f>
        <v>RU</v>
      </c>
      <c r="Q30" s="19">
        <f ca="1">(OFFSET(Basis!A30,0,1)-OFFSET(Basis!A30,0,2))/OFFSET(Spot!A30,0,1)</f>
        <v>0</v>
      </c>
      <c r="R30" s="19">
        <f ca="1">OFFSET(Ratio!A30,0,1)</f>
        <v>-0.13748191027496381</v>
      </c>
    </row>
    <row r="31" spans="16:18" x14ac:dyDescent="0.2">
      <c r="P31" t="str">
        <f>Input!M31</f>
        <v>FG</v>
      </c>
      <c r="Q31" s="19">
        <f ca="1">(OFFSET(Basis!A31,0,1)-OFFSET(Basis!A31,0,2))/OFFSET(Spot!A31,0,1)</f>
        <v>-1.3793103448275861E-3</v>
      </c>
      <c r="R31" s="19">
        <f ca="1">OFFSET(Ratio!A31,0,1)</f>
        <v>-2.5537634408602152E-2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Input</vt:lpstr>
      <vt:lpstr>Spot</vt:lpstr>
      <vt:lpstr>Basis</vt:lpstr>
      <vt:lpstr>Ratio</vt:lpstr>
      <vt:lpstr>Analysis</vt:lpstr>
      <vt:lpstr>totalnum</vt:lpstr>
    </vt:vector>
  </TitlesOfParts>
  <Company>微软中国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WangWenke</cp:lastModifiedBy>
  <dcterms:created xsi:type="dcterms:W3CDTF">2017-07-10T08:41:44Z</dcterms:created>
  <dcterms:modified xsi:type="dcterms:W3CDTF">2018-01-26T07:39:39Z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09a58b5e-f845-4baf-99dc-9b7f1218489f</vt:lpwstr>
  </property>
</Properties>
</file>