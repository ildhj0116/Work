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O8" i="1"/>
  <c r="O7" i="1"/>
  <c r="O9" i="1" l="1"/>
  <c r="Q9" i="1" s="1"/>
  <c r="O10" i="1"/>
  <c r="P10" i="1" s="1"/>
  <c r="O11" i="1"/>
  <c r="P11" i="1" s="1"/>
  <c r="O12" i="1"/>
  <c r="Q12" i="1" s="1"/>
  <c r="P12" i="1"/>
  <c r="O13" i="1"/>
  <c r="Q13" i="1" s="1"/>
  <c r="O14" i="1"/>
  <c r="P14" i="1" s="1"/>
  <c r="O15" i="1"/>
  <c r="P15" i="1" s="1"/>
  <c r="O16" i="1"/>
  <c r="Q16" i="1" s="1"/>
  <c r="P16" i="1"/>
  <c r="O17" i="1"/>
  <c r="Q17" i="1" s="1"/>
  <c r="O18" i="1"/>
  <c r="P18" i="1" s="1"/>
  <c r="O19" i="1"/>
  <c r="P19" i="1" s="1"/>
  <c r="O20" i="1"/>
  <c r="Q20" i="1" s="1"/>
  <c r="M8" i="1"/>
  <c r="M7" i="1"/>
  <c r="M6" i="1"/>
  <c r="I8" i="1"/>
  <c r="I7" i="1"/>
  <c r="I6" i="1"/>
  <c r="P20" i="1" l="1"/>
  <c r="Q14" i="1"/>
  <c r="Q18" i="1"/>
  <c r="Q10" i="1"/>
  <c r="P17" i="1"/>
  <c r="P13" i="1"/>
  <c r="P9" i="1"/>
  <c r="Q19" i="1"/>
  <c r="Q15" i="1"/>
  <c r="Q11" i="1"/>
  <c r="C85" i="2"/>
  <c r="C84" i="2" l="1"/>
  <c r="C83" i="2" l="1"/>
  <c r="C82" i="2" l="1"/>
  <c r="C81" i="2" l="1"/>
  <c r="C80" i="2" l="1"/>
  <c r="C79" i="2" l="1"/>
  <c r="C78" i="2" l="1"/>
  <c r="C77" i="2" l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M3" i="1" l="1"/>
  <c r="M4" i="1"/>
  <c r="M5" i="1"/>
  <c r="O5" i="1"/>
  <c r="O4" i="1"/>
  <c r="O3" i="1"/>
  <c r="P4" i="1" l="1"/>
  <c r="P5" i="1" s="1"/>
  <c r="P6" i="1" s="1"/>
  <c r="I3" i="1"/>
  <c r="Q3" i="1" s="1"/>
  <c r="I4" i="1"/>
  <c r="I5" i="1"/>
  <c r="P7" i="1" l="1"/>
  <c r="Q6" i="1"/>
  <c r="Q5" i="1"/>
  <c r="Q4" i="1"/>
  <c r="P8" i="1" l="1"/>
  <c r="Q8" i="1" s="1"/>
  <c r="Q7" i="1"/>
  <c r="C31" i="2"/>
  <c r="C30" i="2"/>
  <c r="C29" i="2"/>
  <c r="C28" i="2"/>
  <c r="C27" i="2" l="1"/>
  <c r="C26" i="2"/>
  <c r="C25" i="2" l="1"/>
  <c r="C24" i="2"/>
  <c r="C23" i="2"/>
  <c r="C22" i="2" l="1"/>
  <c r="C21" i="2" l="1"/>
  <c r="C18" i="2" l="1"/>
  <c r="C19" i="2"/>
  <c r="C20" i="2"/>
  <c r="C17" i="2" l="1"/>
  <c r="C4" i="2"/>
  <c r="C3" i="2" l="1"/>
  <c r="C2" i="2" l="1"/>
  <c r="U1" i="1" l="1"/>
  <c r="T1" i="1"/>
  <c r="Q1" i="1"/>
  <c r="R1" i="1"/>
  <c r="E1" i="2"/>
  <c r="G2" i="2" l="1"/>
  <c r="S1" i="1" l="1"/>
  <c r="G3" i="2" l="1"/>
</calcChain>
</file>

<file path=xl/sharedStrings.xml><?xml version="1.0" encoding="utf-8"?>
<sst xmlns="http://schemas.openxmlformats.org/spreadsheetml/2006/main" count="162" uniqueCount="120">
  <si>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</si>
  <si>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</si>
  <si>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</si>
  <si>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</si>
  <si>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</si>
  <si>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</si>
  <si>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</si>
  <si>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</si>
  <si>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</si>
  <si>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</si>
  <si>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</si>
  <si>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</si>
  <si>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平仓日期</t>
    <phoneticPr fontId="1" type="noConversion"/>
  </si>
  <si>
    <t>开仓时间</t>
    <phoneticPr fontId="1" type="noConversion"/>
  </si>
  <si>
    <t>平仓时间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</si>
  <si>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</si>
  <si>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</si>
  <si>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</si>
  <si>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</si>
  <si>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</si>
  <si>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</si>
  <si>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</si>
  <si>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</si>
  <si>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</si>
  <si>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</si>
  <si>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P1805</t>
  </si>
  <si>
    <t>开仓日</t>
    <phoneticPr fontId="1" type="noConversion"/>
  </si>
  <si>
    <t>IH1803</t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</si>
  <si>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</si>
  <si>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</si>
  <si>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</si>
  <si>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</si>
  <si>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</si>
  <si>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</si>
  <si>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ZN1805</t>
  </si>
  <si>
    <t>J1805</t>
  </si>
  <si>
    <t>IF1803</t>
  </si>
  <si>
    <t>AL1805</t>
  </si>
  <si>
    <t>L1805</t>
  </si>
  <si>
    <t>实际仓位</t>
    <phoneticPr fontId="1" type="noConversion"/>
  </si>
  <si>
    <t>初始仓位</t>
    <phoneticPr fontId="1" type="noConversion"/>
  </si>
  <si>
    <t>缩减系数</t>
    <phoneticPr fontId="1" type="noConversion"/>
  </si>
  <si>
    <t>M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</si>
  <si>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</si>
  <si>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</si>
  <si>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</si>
  <si>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</si>
  <si>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</si>
  <si>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</si>
  <si>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</si>
  <si>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</si>
  <si>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</si>
  <si>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</si>
  <si>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</si>
  <si>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</si>
  <si>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</si>
  <si>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</si>
  <si>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</si>
  <si>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</si>
  <si>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</si>
  <si>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</si>
  <si>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</si>
  <si>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</si>
  <si>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</si>
  <si>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</si>
  <si>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</si>
  <si>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</si>
  <si>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</si>
  <si>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</si>
  <si>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</si>
  <si>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</si>
  <si>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</si>
  <si>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</si>
  <si>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</si>
  <si>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</si>
  <si>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</si>
  <si>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</si>
  <si>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</si>
  <si>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</si>
  <si>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</si>
  <si>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</si>
  <si>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</si>
  <si>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</si>
  <si>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</si>
  <si>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</si>
  <si>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</si>
  <si>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</si>
  <si>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</si>
  <si>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</si>
  <si>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</si>
  <si>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</si>
  <si>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</si>
  <si>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</si>
  <si>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</si>
  <si>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</si>
  <si>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</si>
  <si>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/>
  </si>
  <si>
    <t>板块</t>
    <phoneticPr fontId="1" type="noConversion"/>
  </si>
  <si>
    <t>乘数</t>
    <phoneticPr fontId="1" type="noConversion"/>
  </si>
  <si>
    <t>CU1804</t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</si>
  <si>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</si>
  <si>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</si>
  <si>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</si>
  <si>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</si>
  <si>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</si>
  <si>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</si>
  <si>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</si>
  <si>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</si>
  <si>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</si>
  <si>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</si>
  <si>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</si>
  <si>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</si>
  <si>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</si>
  <si>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</si>
  <si>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RM809</t>
    <phoneticPr fontId="1" type="noConversion"/>
  </si>
  <si>
    <t>RB1810</t>
    <phoneticPr fontId="1" type="noConversion"/>
  </si>
  <si>
    <t>HC1810</t>
    <phoneticPr fontId="1" type="noConversion"/>
  </si>
  <si>
    <t>CF809</t>
    <phoneticPr fontId="1" type="noConversion"/>
  </si>
  <si>
    <t>Y1809</t>
    <phoneticPr fontId="1" type="noConversion"/>
  </si>
  <si>
    <t>CS1809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</si>
</sst>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5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20" fontId="0" fillId="0" borderId="1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0" xfId="0" applyFill="1" applyBorder="1"/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Fill="1" applyBorder="1"/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285760"/>
        <c:axId val="40488592"/>
      </c:lineChart>
      <c:dateAx>
        <c:axId val="494285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488592"/>
        <c:crosses val="autoZero"/>
        <c:auto val="1"/>
        <c:lblOffset val="100"/>
        <c:baseTimeUnit val="days"/>
      </c:dateAx>
      <c:valAx>
        <c:axId val="4048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428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权益!$A$19:$A$85</c:f>
              <c:numCache>
                <c:formatCode>m/d/yyyy</c:formatCode>
                <c:ptCount val="67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43206</c:v>
                </c:pt>
                <c:pt idx="60">
                  <c:v>43207</c:v>
                </c:pt>
                <c:pt idx="61">
                  <c:v>43208</c:v>
                </c:pt>
                <c:pt idx="62">
                  <c:v>43209</c:v>
                </c:pt>
                <c:pt idx="63">
                  <c:v>43210</c:v>
                </c:pt>
                <c:pt idx="64">
                  <c:v>43213</c:v>
                </c:pt>
                <c:pt idx="65">
                  <c:v>43214</c:v>
                </c:pt>
                <c:pt idx="66">
                  <c:v>43215</c:v>
                </c:pt>
              </c:numCache>
            </c:numRef>
          </c:cat>
          <c:val>
            <c:numRef>
              <c:f>权益!$C$19:$C$85</c:f>
              <c:numCache>
                <c:formatCode>0.0000</c:formatCode>
                <c:ptCount val="67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0.95335539999999996</c:v>
                </c:pt>
                <c:pt idx="60">
                  <c:v>0.95580549999999997</c:v>
                </c:pt>
                <c:pt idx="61">
                  <c:v>0.95700499999999999</c:v>
                </c:pt>
                <c:pt idx="62">
                  <c:v>0.95955219999999997</c:v>
                </c:pt>
                <c:pt idx="63" formatCode="General">
                  <c:v>0.95417620000000003</c:v>
                </c:pt>
                <c:pt idx="64">
                  <c:v>0.95500669999999999</c:v>
                </c:pt>
                <c:pt idx="65">
                  <c:v>0.94666059999999996</c:v>
                </c:pt>
                <c:pt idx="66">
                  <c:v>0.94526529999999998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407376"/>
        <c:axId val="504407936"/>
      </c:lineChart>
      <c:dateAx>
        <c:axId val="504407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407936"/>
        <c:crosses val="autoZero"/>
        <c:auto val="1"/>
        <c:lblOffset val="100"/>
        <c:baseTimeUnit val="days"/>
      </c:dateAx>
      <c:valAx>
        <c:axId val="5044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40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133349</xdr:rowOff>
    </xdr:from>
    <xdr:to>
      <xdr:col>16</xdr:col>
      <xdr:colOff>333375</xdr:colOff>
      <xdr:row>49</xdr:row>
      <xdr:rowOff>28574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workbookViewId="0">
      <pane ySplit="1" topLeftCell="A65" activePane="bottomLeft" state="frozen"/>
      <selection pane="bottomLeft" activeCell="B86" sqref="B86"/>
    </sheetView>
  </sheetViews>
  <sheetFormatPr defaultRowHeight="13.5"/>
  <cols>
    <col min="1" max="1" width="12.75" style="1" customWidth="1"/>
    <col min="2" max="2" width="18.375" style="22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1" t="s">
        <v>8</v>
      </c>
      <c r="C1" s="1" t="s">
        <v>9</v>
      </c>
      <c r="E1" s="6">
        <f>COUNTA(C2:C9969)</f>
        <v>72</v>
      </c>
      <c r="I1" s="7"/>
    </row>
    <row r="2" spans="1:9">
      <c r="A2" s="2">
        <v>43094</v>
      </c>
      <c r="B2" s="21">
        <v>10000000</v>
      </c>
      <c r="C2" s="11">
        <f>B2/$B$2</f>
        <v>1</v>
      </c>
      <c r="F2" t="s">
        <v>10</v>
      </c>
      <c r="G2" s="8" t="e">
        <f>成交记录!R1/成交记录!Q1</f>
        <v>#DIV/0!</v>
      </c>
    </row>
    <row r="3" spans="1:9">
      <c r="A3" s="2">
        <v>43095</v>
      </c>
      <c r="B3" s="21">
        <v>9918326</v>
      </c>
      <c r="C3" s="11">
        <f>B3/$B$2</f>
        <v>0.99183259999999995</v>
      </c>
      <c r="F3" t="s">
        <v>11</v>
      </c>
      <c r="G3" s="13" t="e">
        <f>成交记录!T1/成交记录!U1</f>
        <v>#DIV/0!</v>
      </c>
    </row>
    <row r="4" spans="1:9">
      <c r="A4" s="2">
        <v>43096</v>
      </c>
      <c r="B4" s="21">
        <v>9920390</v>
      </c>
      <c r="C4" s="11">
        <f>B4/$B$2</f>
        <v>0.992039</v>
      </c>
    </row>
    <row r="5" spans="1:9">
      <c r="A5" s="2">
        <v>43097</v>
      </c>
      <c r="B5" s="21"/>
      <c r="C5" s="5"/>
    </row>
    <row r="6" spans="1:9">
      <c r="A6" s="2">
        <v>43098</v>
      </c>
      <c r="B6" s="21"/>
      <c r="C6" s="5"/>
    </row>
    <row r="7" spans="1:9">
      <c r="A7" s="2">
        <v>43101</v>
      </c>
      <c r="B7" s="21"/>
      <c r="C7" s="5"/>
    </row>
    <row r="8" spans="1:9">
      <c r="A8" s="2">
        <v>43102</v>
      </c>
      <c r="B8" s="21"/>
      <c r="C8" s="5"/>
    </row>
    <row r="9" spans="1:9">
      <c r="A9" s="2">
        <v>43103</v>
      </c>
      <c r="B9" s="21"/>
      <c r="C9" s="5"/>
    </row>
    <row r="10" spans="1:9">
      <c r="A10" s="2">
        <v>43104</v>
      </c>
      <c r="B10" s="21"/>
      <c r="C10" s="5"/>
    </row>
    <row r="11" spans="1:9">
      <c r="A11" s="2">
        <v>43105</v>
      </c>
      <c r="B11" s="21"/>
      <c r="C11" s="5"/>
    </row>
    <row r="12" spans="1:9">
      <c r="A12" s="2">
        <v>43108</v>
      </c>
      <c r="B12" s="21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7">
        <v>43112</v>
      </c>
      <c r="B16" s="27"/>
      <c r="C16" s="4"/>
    </row>
    <row r="17" spans="1:3">
      <c r="A17" s="2">
        <v>43115</v>
      </c>
      <c r="B17" s="22">
        <v>9836736</v>
      </c>
      <c r="C17" s="11">
        <f>B17/$B$2</f>
        <v>0.98367360000000004</v>
      </c>
    </row>
    <row r="18" spans="1:3">
      <c r="A18" s="2">
        <v>43116</v>
      </c>
      <c r="B18" s="22">
        <v>9743676</v>
      </c>
      <c r="C18" s="11">
        <f t="shared" ref="C18:C25" si="0">B18/$B$2</f>
        <v>0.9743676</v>
      </c>
    </row>
    <row r="19" spans="1:3">
      <c r="A19" s="2">
        <v>43117</v>
      </c>
      <c r="B19" s="22">
        <v>9685921</v>
      </c>
      <c r="C19" s="11">
        <f t="shared" si="0"/>
        <v>0.96859209999999996</v>
      </c>
    </row>
    <row r="20" spans="1:3">
      <c r="A20" s="2">
        <v>43118</v>
      </c>
      <c r="B20" s="22">
        <v>9704061</v>
      </c>
      <c r="C20" s="11">
        <f t="shared" si="0"/>
        <v>0.97040610000000005</v>
      </c>
    </row>
    <row r="21" spans="1:3">
      <c r="A21" s="17">
        <v>43119</v>
      </c>
      <c r="B21" s="27">
        <v>9729899</v>
      </c>
      <c r="C21" s="28">
        <f t="shared" si="0"/>
        <v>0.97298989999999996</v>
      </c>
    </row>
    <row r="22" spans="1:3">
      <c r="A22" s="2">
        <v>43122</v>
      </c>
      <c r="B22" s="22">
        <v>9715728</v>
      </c>
      <c r="C22" s="11">
        <f t="shared" si="0"/>
        <v>0.97157280000000001</v>
      </c>
    </row>
    <row r="23" spans="1:3">
      <c r="A23" s="2">
        <v>43123</v>
      </c>
      <c r="B23" s="22">
        <v>9756827</v>
      </c>
      <c r="C23" s="11">
        <f t="shared" si="0"/>
        <v>0.97568270000000001</v>
      </c>
    </row>
    <row r="24" spans="1:3">
      <c r="A24" s="2">
        <v>43124</v>
      </c>
      <c r="B24" s="22">
        <v>9739233</v>
      </c>
      <c r="C24" s="11">
        <f t="shared" si="0"/>
        <v>0.97392330000000005</v>
      </c>
    </row>
    <row r="25" spans="1:3">
      <c r="A25" s="2">
        <v>43125</v>
      </c>
      <c r="B25" s="22">
        <v>9796411</v>
      </c>
      <c r="C25" s="11">
        <f t="shared" si="0"/>
        <v>0.97964110000000004</v>
      </c>
    </row>
    <row r="26" spans="1:3">
      <c r="A26" s="17">
        <v>43126</v>
      </c>
      <c r="B26" s="27">
        <v>9748454.8399999999</v>
      </c>
      <c r="C26" s="28">
        <f t="shared" ref="C26:C85" si="1">B26/$B$2</f>
        <v>0.97484548400000004</v>
      </c>
    </row>
    <row r="27" spans="1:3">
      <c r="A27" s="2">
        <v>43129</v>
      </c>
      <c r="B27" s="22">
        <v>9771011.2799999993</v>
      </c>
      <c r="C27" s="11">
        <f t="shared" si="1"/>
        <v>0.97710112799999993</v>
      </c>
    </row>
    <row r="28" spans="1:3">
      <c r="A28" s="2">
        <v>43130</v>
      </c>
      <c r="B28" s="22">
        <v>9753399.9199999999</v>
      </c>
      <c r="C28" s="11">
        <f t="shared" si="1"/>
        <v>0.97533999199999999</v>
      </c>
    </row>
    <row r="29" spans="1:3">
      <c r="A29" s="2">
        <v>43131</v>
      </c>
      <c r="B29" s="22">
        <v>9712827.9100000001</v>
      </c>
      <c r="C29" s="11">
        <f t="shared" si="1"/>
        <v>0.97128279100000003</v>
      </c>
    </row>
    <row r="30" spans="1:3">
      <c r="A30" s="2">
        <v>43132</v>
      </c>
      <c r="B30" s="22">
        <v>9732130.9100000001</v>
      </c>
      <c r="C30" s="11">
        <f t="shared" si="1"/>
        <v>0.97321309099999997</v>
      </c>
    </row>
    <row r="31" spans="1:3">
      <c r="A31" s="17">
        <v>43133</v>
      </c>
      <c r="B31" s="27">
        <v>9712003</v>
      </c>
      <c r="C31" s="28">
        <f t="shared" si="1"/>
        <v>0.97120030000000002</v>
      </c>
    </row>
    <row r="32" spans="1:3">
      <c r="A32" s="2">
        <v>43136</v>
      </c>
      <c r="B32" s="22">
        <v>9694076.5299999993</v>
      </c>
      <c r="C32" s="43">
        <f t="shared" si="1"/>
        <v>0.96940765299999998</v>
      </c>
    </row>
    <row r="33" spans="1:3">
      <c r="A33" s="2">
        <v>43137</v>
      </c>
      <c r="B33" s="22">
        <v>9708630.9000000004</v>
      </c>
      <c r="C33" s="43">
        <f t="shared" si="1"/>
        <v>0.97086309000000004</v>
      </c>
    </row>
    <row r="34" spans="1:3">
      <c r="A34" s="2">
        <v>43138</v>
      </c>
      <c r="B34" s="22">
        <v>9702242.3900000006</v>
      </c>
      <c r="C34" s="43">
        <f t="shared" si="1"/>
        <v>0.9702242390000001</v>
      </c>
    </row>
    <row r="35" spans="1:3">
      <c r="A35" s="2">
        <v>43139</v>
      </c>
      <c r="B35" s="22">
        <v>9706020.5299999993</v>
      </c>
      <c r="C35" s="43">
        <f t="shared" si="1"/>
        <v>0.97060205299999991</v>
      </c>
    </row>
    <row r="36" spans="1:3">
      <c r="A36" s="17">
        <v>43140</v>
      </c>
      <c r="B36" s="27">
        <v>9795265</v>
      </c>
      <c r="C36" s="28">
        <f t="shared" si="1"/>
        <v>0.97952649999999997</v>
      </c>
    </row>
    <row r="37" spans="1:3">
      <c r="A37" s="2">
        <v>43143</v>
      </c>
      <c r="B37" s="22">
        <v>9699243</v>
      </c>
      <c r="C37" s="43">
        <f t="shared" si="1"/>
        <v>0.96992429999999996</v>
      </c>
    </row>
    <row r="38" spans="1:3">
      <c r="A38" s="2">
        <v>43144</v>
      </c>
      <c r="B38" s="22">
        <v>9678174.1799999997</v>
      </c>
      <c r="C38" s="43">
        <f t="shared" si="1"/>
        <v>0.96781741799999998</v>
      </c>
    </row>
    <row r="39" spans="1:3">
      <c r="A39" s="17">
        <v>43145</v>
      </c>
      <c r="B39" s="27">
        <v>9689418.1799999997</v>
      </c>
      <c r="C39" s="28">
        <f t="shared" si="1"/>
        <v>0.96894181800000001</v>
      </c>
    </row>
    <row r="40" spans="1:3">
      <c r="A40" s="2">
        <v>43153</v>
      </c>
      <c r="B40" s="22">
        <v>9627659</v>
      </c>
      <c r="C40" s="43">
        <f t="shared" si="1"/>
        <v>0.96276589999999995</v>
      </c>
    </row>
    <row r="41" spans="1:3">
      <c r="A41" s="17">
        <v>43154</v>
      </c>
      <c r="B41" s="27">
        <v>9619395.6300000008</v>
      </c>
      <c r="C41" s="28">
        <f t="shared" si="1"/>
        <v>0.96193956300000005</v>
      </c>
    </row>
    <row r="42" spans="1:3">
      <c r="A42" s="2">
        <v>43157</v>
      </c>
      <c r="B42" s="22">
        <v>9634210.25</v>
      </c>
      <c r="C42" s="43">
        <f t="shared" si="1"/>
        <v>0.96342102500000004</v>
      </c>
    </row>
    <row r="43" spans="1:3">
      <c r="A43" s="2">
        <v>43158</v>
      </c>
      <c r="B43" s="22">
        <v>9646383</v>
      </c>
      <c r="C43" s="53">
        <f t="shared" si="1"/>
        <v>0.96463829999999995</v>
      </c>
    </row>
    <row r="44" spans="1:3">
      <c r="A44" s="2">
        <v>43159</v>
      </c>
      <c r="B44" s="22">
        <v>9645561</v>
      </c>
      <c r="C44" s="53">
        <f t="shared" si="1"/>
        <v>0.96455610000000003</v>
      </c>
    </row>
    <row r="45" spans="1:3">
      <c r="A45" s="2">
        <v>43160</v>
      </c>
      <c r="B45" s="22">
        <v>9644799</v>
      </c>
      <c r="C45" s="53">
        <f t="shared" si="1"/>
        <v>0.96447989999999995</v>
      </c>
    </row>
    <row r="46" spans="1:3">
      <c r="A46" s="17">
        <v>43161</v>
      </c>
      <c r="B46" s="27">
        <v>9631738</v>
      </c>
      <c r="C46" s="54">
        <f t="shared" si="1"/>
        <v>0.96317379999999997</v>
      </c>
    </row>
    <row r="47" spans="1:3">
      <c r="A47" s="2">
        <v>43164</v>
      </c>
      <c r="B47" s="22">
        <v>9596808</v>
      </c>
      <c r="C47" s="53">
        <f t="shared" si="1"/>
        <v>0.9596808</v>
      </c>
    </row>
    <row r="48" spans="1:3">
      <c r="A48" s="2">
        <v>43165</v>
      </c>
      <c r="B48" s="22">
        <v>9571733</v>
      </c>
      <c r="C48" s="53">
        <f t="shared" si="1"/>
        <v>0.9571733</v>
      </c>
    </row>
    <row r="49" spans="1:3">
      <c r="A49" s="2">
        <v>43166</v>
      </c>
      <c r="B49" s="22">
        <v>9542127</v>
      </c>
      <c r="C49" s="53">
        <f t="shared" si="1"/>
        <v>0.95421270000000002</v>
      </c>
    </row>
    <row r="50" spans="1:3">
      <c r="A50" s="2">
        <v>43167</v>
      </c>
      <c r="B50" s="22">
        <v>9625546</v>
      </c>
      <c r="C50" s="53">
        <f t="shared" si="1"/>
        <v>0.96255460000000004</v>
      </c>
    </row>
    <row r="51" spans="1:3">
      <c r="A51" s="17">
        <v>43168</v>
      </c>
      <c r="B51" s="27">
        <v>9807634</v>
      </c>
      <c r="C51" s="54">
        <f t="shared" si="1"/>
        <v>0.98076339999999995</v>
      </c>
    </row>
    <row r="52" spans="1:3">
      <c r="A52" s="2">
        <v>43171</v>
      </c>
      <c r="B52" s="22">
        <v>9639849</v>
      </c>
      <c r="C52" s="53">
        <f t="shared" si="1"/>
        <v>0.96398490000000003</v>
      </c>
    </row>
    <row r="53" spans="1:3">
      <c r="A53" s="2">
        <v>43172</v>
      </c>
      <c r="B53" s="22">
        <v>9628753</v>
      </c>
      <c r="C53" s="53">
        <f t="shared" si="1"/>
        <v>0.96287529999999999</v>
      </c>
    </row>
    <row r="54" spans="1:3">
      <c r="A54" s="2">
        <v>43173</v>
      </c>
      <c r="B54" s="22">
        <v>9622938</v>
      </c>
      <c r="C54" s="53">
        <f t="shared" si="1"/>
        <v>0.96229379999999998</v>
      </c>
    </row>
    <row r="55" spans="1:3">
      <c r="A55" s="2">
        <v>43174</v>
      </c>
      <c r="B55" s="22">
        <v>9613579</v>
      </c>
      <c r="C55" s="53">
        <f t="shared" si="1"/>
        <v>0.96135789999999999</v>
      </c>
    </row>
    <row r="56" spans="1:3">
      <c r="A56" s="17">
        <v>43175</v>
      </c>
      <c r="B56" s="27">
        <v>9613579</v>
      </c>
      <c r="C56" s="54">
        <f t="shared" si="1"/>
        <v>0.96135789999999999</v>
      </c>
    </row>
    <row r="57" spans="1:3">
      <c r="A57" s="2">
        <v>43178</v>
      </c>
      <c r="B57" s="22">
        <v>9614515</v>
      </c>
      <c r="C57" s="53">
        <f t="shared" si="1"/>
        <v>0.96145150000000001</v>
      </c>
    </row>
    <row r="58" spans="1:3">
      <c r="A58" s="2">
        <v>43179</v>
      </c>
      <c r="B58" s="22">
        <v>9611131</v>
      </c>
      <c r="C58" s="53">
        <f t="shared" si="1"/>
        <v>0.96111310000000005</v>
      </c>
    </row>
    <row r="59" spans="1:3">
      <c r="A59" s="2">
        <v>43181</v>
      </c>
      <c r="B59" s="22">
        <v>9604011</v>
      </c>
      <c r="C59" s="53">
        <f t="shared" si="1"/>
        <v>0.96040110000000001</v>
      </c>
    </row>
    <row r="60" spans="1:3">
      <c r="A60" s="17">
        <v>43182</v>
      </c>
      <c r="B60" s="27">
        <v>9582498</v>
      </c>
      <c r="C60" s="53">
        <f t="shared" si="1"/>
        <v>0.95824980000000004</v>
      </c>
    </row>
    <row r="61" spans="1:3">
      <c r="A61" s="2">
        <v>43185</v>
      </c>
      <c r="B61" s="27">
        <v>9582498</v>
      </c>
      <c r="C61" s="53">
        <f t="shared" si="1"/>
        <v>0.95824980000000004</v>
      </c>
    </row>
    <row r="62" spans="1:3">
      <c r="A62" s="2">
        <v>43186</v>
      </c>
      <c r="B62" s="27">
        <v>9582498</v>
      </c>
      <c r="C62" s="53">
        <f t="shared" si="1"/>
        <v>0.95824980000000004</v>
      </c>
    </row>
    <row r="63" spans="1:3">
      <c r="A63" s="2">
        <v>43187</v>
      </c>
      <c r="B63" s="27">
        <v>9582498</v>
      </c>
      <c r="C63" s="53">
        <f t="shared" si="1"/>
        <v>0.95824980000000004</v>
      </c>
    </row>
    <row r="64" spans="1:3">
      <c r="A64" s="2">
        <v>43188</v>
      </c>
      <c r="B64" s="27">
        <v>9582498</v>
      </c>
      <c r="C64" s="53">
        <f t="shared" si="1"/>
        <v>0.95824980000000004</v>
      </c>
    </row>
    <row r="65" spans="1:4">
      <c r="A65" s="17">
        <v>43189</v>
      </c>
      <c r="B65" s="27">
        <v>9582498</v>
      </c>
      <c r="C65" s="53">
        <f t="shared" si="1"/>
        <v>0.95824980000000004</v>
      </c>
    </row>
    <row r="66" spans="1:4">
      <c r="A66" s="2">
        <v>43192</v>
      </c>
      <c r="B66" s="27">
        <v>9582498</v>
      </c>
      <c r="C66" s="53">
        <f t="shared" si="1"/>
        <v>0.95824980000000004</v>
      </c>
      <c r="D66" s="20"/>
    </row>
    <row r="67" spans="1:4">
      <c r="A67" s="2">
        <v>43193</v>
      </c>
      <c r="B67" s="27">
        <v>9582498</v>
      </c>
      <c r="C67" s="53">
        <f t="shared" si="1"/>
        <v>0.95824980000000004</v>
      </c>
      <c r="D67" s="20"/>
    </row>
    <row r="68" spans="1:4">
      <c r="A68" s="2">
        <v>43194</v>
      </c>
      <c r="B68" s="27">
        <v>9582498</v>
      </c>
      <c r="C68" s="53">
        <f t="shared" si="1"/>
        <v>0.95824980000000004</v>
      </c>
      <c r="D68" s="20"/>
    </row>
    <row r="69" spans="1:4">
      <c r="A69" s="2">
        <v>43195</v>
      </c>
      <c r="B69" s="27">
        <v>9582498</v>
      </c>
      <c r="C69" s="53">
        <f t="shared" si="1"/>
        <v>0.95824980000000004</v>
      </c>
      <c r="D69" s="20"/>
    </row>
    <row r="70" spans="1:4">
      <c r="A70" s="2">
        <v>43196</v>
      </c>
      <c r="B70" s="27">
        <v>9582498</v>
      </c>
      <c r="C70" s="53">
        <f t="shared" si="1"/>
        <v>0.95824980000000004</v>
      </c>
      <c r="D70" s="20"/>
    </row>
    <row r="71" spans="1:4">
      <c r="A71" s="2">
        <v>43197</v>
      </c>
      <c r="B71" s="27">
        <v>9582498</v>
      </c>
      <c r="C71" s="53">
        <f t="shared" si="1"/>
        <v>0.95824980000000004</v>
      </c>
      <c r="D71" s="20"/>
    </row>
    <row r="72" spans="1:4">
      <c r="A72" s="2">
        <v>43198</v>
      </c>
      <c r="B72" s="27">
        <v>9582498</v>
      </c>
      <c r="C72" s="53">
        <f t="shared" si="1"/>
        <v>0.95824980000000004</v>
      </c>
      <c r="D72" s="20"/>
    </row>
    <row r="73" spans="1:4">
      <c r="A73" s="2">
        <v>43199</v>
      </c>
      <c r="B73" s="27">
        <v>9582498</v>
      </c>
      <c r="C73" s="53">
        <f t="shared" si="1"/>
        <v>0.95824980000000004</v>
      </c>
      <c r="D73" s="20"/>
    </row>
    <row r="74" spans="1:4">
      <c r="A74" s="2">
        <v>43200</v>
      </c>
      <c r="B74" s="22">
        <v>9579844</v>
      </c>
      <c r="C74" s="53">
        <f t="shared" si="1"/>
        <v>0.95798439999999996</v>
      </c>
    </row>
    <row r="75" spans="1:4">
      <c r="A75" s="2">
        <v>43201</v>
      </c>
      <c r="B75" s="22">
        <v>9555703</v>
      </c>
      <c r="C75" s="53">
        <f t="shared" si="1"/>
        <v>0.95557029999999998</v>
      </c>
    </row>
    <row r="76" spans="1:4">
      <c r="A76" s="2">
        <v>43202</v>
      </c>
      <c r="B76" s="22">
        <v>9525099</v>
      </c>
      <c r="C76" s="53">
        <f t="shared" si="1"/>
        <v>0.95250990000000002</v>
      </c>
    </row>
    <row r="77" spans="1:4">
      <c r="A77" s="17">
        <v>43203</v>
      </c>
      <c r="B77" s="27">
        <v>9523654</v>
      </c>
      <c r="C77" s="54">
        <f t="shared" si="1"/>
        <v>0.95236540000000003</v>
      </c>
    </row>
    <row r="78" spans="1:4">
      <c r="A78" s="2">
        <v>43206</v>
      </c>
      <c r="B78" s="22">
        <v>9533554</v>
      </c>
      <c r="C78" s="53">
        <f t="shared" si="1"/>
        <v>0.95335539999999996</v>
      </c>
    </row>
    <row r="79" spans="1:4">
      <c r="A79" s="2">
        <v>43207</v>
      </c>
      <c r="B79" s="22">
        <v>9558055</v>
      </c>
      <c r="C79" s="53">
        <f t="shared" si="1"/>
        <v>0.95580549999999997</v>
      </c>
    </row>
    <row r="80" spans="1:4">
      <c r="A80" s="2">
        <v>43208</v>
      </c>
      <c r="B80" s="22">
        <v>9570050</v>
      </c>
      <c r="C80" s="53">
        <f t="shared" si="1"/>
        <v>0.95700499999999999</v>
      </c>
    </row>
    <row r="81" spans="1:3">
      <c r="A81" s="2">
        <v>43209</v>
      </c>
      <c r="B81" s="22">
        <v>9595522</v>
      </c>
      <c r="C81" s="53">
        <f t="shared" si="1"/>
        <v>0.95955219999999997</v>
      </c>
    </row>
    <row r="82" spans="1:3">
      <c r="A82" s="17">
        <v>43210</v>
      </c>
      <c r="B82" s="27">
        <v>9541762</v>
      </c>
      <c r="C82" s="4">
        <f t="shared" si="1"/>
        <v>0.95417620000000003</v>
      </c>
    </row>
    <row r="83" spans="1:3">
      <c r="A83" s="2">
        <v>43213</v>
      </c>
      <c r="B83" s="22">
        <v>9550067</v>
      </c>
      <c r="C83" s="53">
        <f t="shared" si="1"/>
        <v>0.95500669999999999</v>
      </c>
    </row>
    <row r="84" spans="1:3">
      <c r="A84" s="2">
        <v>43214</v>
      </c>
      <c r="B84" s="22">
        <v>9466606</v>
      </c>
      <c r="C84" s="53">
        <f t="shared" si="1"/>
        <v>0.94666059999999996</v>
      </c>
    </row>
    <row r="85" spans="1:3">
      <c r="A85" s="2">
        <v>43215</v>
      </c>
      <c r="B85" s="22">
        <v>9452653</v>
      </c>
      <c r="C85" s="53">
        <f t="shared" si="1"/>
        <v>0.94526529999999998</v>
      </c>
    </row>
    <row r="86" spans="1:3">
      <c r="A86" s="2">
        <v>43216</v>
      </c>
    </row>
    <row r="87" spans="1:3">
      <c r="A87" s="17">
        <v>43217</v>
      </c>
      <c r="B87" s="27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74"/>
  <sheetViews>
    <sheetView tabSelected="1" workbookViewId="0">
      <pane ySplit="1" topLeftCell="A2" activePane="bottomLeft" state="frozen"/>
      <selection pane="bottomLeft" activeCell="H10" sqref="H10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5" customWidth="1"/>
    <col min="8" max="8" width="7.375" style="30" customWidth="1"/>
    <col min="9" max="9" width="6.875" style="15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6.625" customWidth="1"/>
    <col min="15" max="15" width="10.75" style="9" customWidth="1"/>
    <col min="16" max="16" width="8.625" customWidth="1"/>
    <col min="17" max="17" width="9" style="1"/>
  </cols>
  <sheetData>
    <row r="1" spans="1:22" s="37" customFormat="1">
      <c r="A1" s="33" t="s">
        <v>0</v>
      </c>
      <c r="B1" s="33" t="s">
        <v>1</v>
      </c>
      <c r="C1" s="33" t="s">
        <v>2</v>
      </c>
      <c r="D1" s="33" t="s">
        <v>3</v>
      </c>
      <c r="E1" s="33" t="s">
        <v>26</v>
      </c>
      <c r="F1" s="33" t="s">
        <v>13</v>
      </c>
      <c r="G1" s="34" t="s">
        <v>40</v>
      </c>
      <c r="H1" s="35" t="s">
        <v>41</v>
      </c>
      <c r="I1" s="34" t="s">
        <v>39</v>
      </c>
      <c r="J1" s="33" t="s">
        <v>5</v>
      </c>
      <c r="K1" s="33" t="s">
        <v>12</v>
      </c>
      <c r="L1" s="36" t="s">
        <v>14</v>
      </c>
      <c r="M1" s="36" t="s">
        <v>4</v>
      </c>
      <c r="O1" s="38" t="s">
        <v>6</v>
      </c>
      <c r="P1" s="39"/>
      <c r="Q1" s="40">
        <f>COUNT(M2:M9618)</f>
        <v>0</v>
      </c>
      <c r="R1" s="39">
        <f>COUNTIF(M2:M9618,"&gt;0")</f>
        <v>0</v>
      </c>
      <c r="S1" s="39">
        <f>COUNTIF(M2:M9618,"&lt;0")</f>
        <v>0</v>
      </c>
      <c r="T1" s="39">
        <f>SUMIF(M2:M9618,"&gt;0")</f>
        <v>0</v>
      </c>
      <c r="U1" s="39">
        <f>ABS(SUMIF(M2:M9618,"&lt;0"))</f>
        <v>0</v>
      </c>
      <c r="V1" s="39"/>
    </row>
    <row r="2" spans="1:22">
      <c r="A2" s="2"/>
      <c r="K2" s="2"/>
      <c r="L2" s="2"/>
      <c r="M2" s="14"/>
      <c r="O2"/>
      <c r="Q2" s="9" t="s">
        <v>28</v>
      </c>
      <c r="R2" s="10" t="s">
        <v>29</v>
      </c>
      <c r="S2" s="10" t="s">
        <v>30</v>
      </c>
      <c r="T2" s="10" t="s">
        <v>31</v>
      </c>
      <c r="U2" s="10" t="s">
        <v>32</v>
      </c>
      <c r="V2" s="10" t="s">
        <v>33</v>
      </c>
    </row>
    <row r="3" spans="1:22">
      <c r="A3" s="2">
        <v>43216</v>
      </c>
      <c r="B3" s="1" t="s">
        <v>114</v>
      </c>
      <c r="C3" s="1">
        <v>50</v>
      </c>
      <c r="D3" s="1">
        <v>2660</v>
      </c>
      <c r="E3" s="2">
        <v>43216</v>
      </c>
      <c r="F3" s="23">
        <v>0.38194444444444442</v>
      </c>
      <c r="G3" s="15">
        <v>0.02</v>
      </c>
      <c r="H3" s="30">
        <v>1</v>
      </c>
      <c r="I3" s="15">
        <f t="shared" ref="I3:I8" si="0">IF(G3="","",G3*H3)</f>
        <v>0.02</v>
      </c>
      <c r="M3" s="14" t="str">
        <f>IF(J3="","",C3*(J3-D3)*O3)</f>
        <v/>
      </c>
      <c r="O3">
        <f>IF(B3="","",VLOOKUP(Cmt(B3),Sheet2!A:B,2,FALSE))</f>
        <v>10</v>
      </c>
      <c r="P3" s="26">
        <v>10000000</v>
      </c>
      <c r="Q3" s="12">
        <f>IF(O3="","",P3*I3/(D3*O3*0.15))</f>
        <v>50.125313283208023</v>
      </c>
      <c r="R3" s="10"/>
      <c r="S3" s="10"/>
      <c r="T3" s="10"/>
      <c r="U3" s="10"/>
      <c r="V3" s="10"/>
    </row>
    <row r="4" spans="1:22">
      <c r="B4" s="1" t="s">
        <v>115</v>
      </c>
      <c r="C4" s="1">
        <v>37</v>
      </c>
      <c r="D4" s="1">
        <v>3565</v>
      </c>
      <c r="E4" s="2">
        <v>43216</v>
      </c>
      <c r="F4" s="23">
        <v>0.38194444444444442</v>
      </c>
      <c r="G4" s="15">
        <v>0.02</v>
      </c>
      <c r="H4" s="30">
        <v>1</v>
      </c>
      <c r="I4" s="15">
        <f t="shared" si="0"/>
        <v>0.02</v>
      </c>
      <c r="M4" s="14" t="str">
        <f>IF(J4="","",C4*(J4-D4)*O4)</f>
        <v/>
      </c>
      <c r="O4">
        <f>IF(B4="","",VLOOKUP(Cmt(B4),Sheet2!A:B,2,FALSE))</f>
        <v>10</v>
      </c>
      <c r="P4" s="26">
        <f t="shared" ref="P4:P5" si="1">IF(O4="","",P3)</f>
        <v>10000000</v>
      </c>
      <c r="Q4" s="12">
        <f>IF(O4="","",P4*I4/(D4*O4*0.15))</f>
        <v>37.400654511453951</v>
      </c>
      <c r="R4" s="10"/>
      <c r="S4" s="10"/>
      <c r="T4" s="10"/>
      <c r="U4" s="10"/>
      <c r="V4" s="10"/>
    </row>
    <row r="5" spans="1:22">
      <c r="B5" s="1" t="s">
        <v>116</v>
      </c>
      <c r="C5" s="1">
        <v>36</v>
      </c>
      <c r="D5" s="1">
        <v>3674</v>
      </c>
      <c r="E5" s="2">
        <v>43216</v>
      </c>
      <c r="F5" s="23">
        <v>0.38194444444444442</v>
      </c>
      <c r="G5" s="15">
        <v>0.02</v>
      </c>
      <c r="H5" s="30">
        <v>1</v>
      </c>
      <c r="I5" s="15">
        <f t="shared" si="0"/>
        <v>0.02</v>
      </c>
      <c r="M5" s="14" t="str">
        <f>IF(J5="","",C5*(J5-D5)*O5)</f>
        <v/>
      </c>
      <c r="O5">
        <f>IF(B5="","",VLOOKUP(Cmt(B5),Sheet2!A:B,2,FALSE))</f>
        <v>10</v>
      </c>
      <c r="P5" s="26">
        <f t="shared" si="1"/>
        <v>10000000</v>
      </c>
      <c r="Q5" s="12">
        <f>IF(O5="","",P5*I5/(D5*O5*0.15))</f>
        <v>36.291054255126113</v>
      </c>
      <c r="R5" s="10"/>
      <c r="S5" s="10"/>
      <c r="T5" s="10"/>
      <c r="U5" s="10"/>
      <c r="V5" s="10"/>
    </row>
    <row r="6" spans="1:22">
      <c r="B6" s="1" t="s">
        <v>117</v>
      </c>
      <c r="C6" s="1">
        <v>-17</v>
      </c>
      <c r="D6" s="1">
        <v>15365</v>
      </c>
      <c r="E6" s="2">
        <v>43216</v>
      </c>
      <c r="F6" s="23">
        <v>0.38194444444444442</v>
      </c>
      <c r="G6" s="15">
        <v>0.02</v>
      </c>
      <c r="H6" s="30">
        <v>1</v>
      </c>
      <c r="I6" s="15">
        <f t="shared" si="0"/>
        <v>0.02</v>
      </c>
      <c r="M6" s="1" t="str">
        <f>IF(J6="","",C6*(J6-D6)*O6)</f>
        <v/>
      </c>
      <c r="O6">
        <f>IF(B6="","",VLOOKUP(Cmt(B6),Sheet2!A:B,2,FALSE))</f>
        <v>5</v>
      </c>
      <c r="P6" s="26">
        <f t="shared" ref="P6:P8" si="2">IF(O6="","",P5)</f>
        <v>10000000</v>
      </c>
      <c r="Q6" s="12">
        <f>IF(O6="","",P6*I6/(D6*O6*0.15))</f>
        <v>17.355461546805511</v>
      </c>
      <c r="R6" s="10"/>
      <c r="S6" s="10"/>
      <c r="T6" s="10"/>
      <c r="U6" s="10"/>
      <c r="V6" s="10"/>
    </row>
    <row r="7" spans="1:22">
      <c r="B7" s="1" t="s">
        <v>118</v>
      </c>
      <c r="C7" s="1">
        <v>-23</v>
      </c>
      <c r="D7" s="1">
        <v>5732</v>
      </c>
      <c r="E7" s="2">
        <v>43216</v>
      </c>
      <c r="F7" s="23">
        <v>0.38194444444444442</v>
      </c>
      <c r="G7" s="15">
        <v>0.02</v>
      </c>
      <c r="H7" s="30">
        <v>1</v>
      </c>
      <c r="I7" s="15">
        <f t="shared" si="0"/>
        <v>0.02</v>
      </c>
      <c r="M7" s="1" t="str">
        <f>IF(J7="","",C7*(J7-D7)*O7)</f>
        <v/>
      </c>
      <c r="O7">
        <f>IF(B7="","",VLOOKUP(Cmt(B7),Sheet2!A:B,2,FALSE))</f>
        <v>10</v>
      </c>
      <c r="P7" s="26">
        <f t="shared" si="2"/>
        <v>10000000</v>
      </c>
      <c r="Q7" s="12">
        <f>IF(O7="","",P7*I7/(D7*O7*0.15))</f>
        <v>23.261223540358223</v>
      </c>
      <c r="S7" s="10"/>
      <c r="T7" s="10"/>
      <c r="U7" s="10"/>
      <c r="V7" s="10"/>
    </row>
    <row r="8" spans="1:22">
      <c r="A8" s="3"/>
      <c r="B8" s="3" t="s">
        <v>119</v>
      </c>
      <c r="C8" s="3">
        <v>-63</v>
      </c>
      <c r="D8" s="3">
        <v>2119</v>
      </c>
      <c r="E8" s="17">
        <v>43216</v>
      </c>
      <c r="F8" s="24">
        <v>0.38194444444444442</v>
      </c>
      <c r="G8" s="16">
        <v>0.02</v>
      </c>
      <c r="H8" s="29">
        <v>1</v>
      </c>
      <c r="I8" s="16">
        <f t="shared" si="0"/>
        <v>0.02</v>
      </c>
      <c r="J8" s="3"/>
      <c r="K8" s="3"/>
      <c r="L8" s="3"/>
      <c r="M8" s="3" t="str">
        <f>IF(J8="","",C8*(J8-D8)*O8)</f>
        <v/>
      </c>
      <c r="N8" s="4"/>
      <c r="O8" s="4">
        <f>IF(B8="","",VLOOKUP(Cmt(B8),Sheet2!A:B,2,FALSE))</f>
        <v>10</v>
      </c>
      <c r="P8" s="57">
        <f t="shared" si="2"/>
        <v>10000000</v>
      </c>
      <c r="Q8" s="3">
        <f>IF(O8="","",P8*I8/(D8*O8*0.15))</f>
        <v>62.92276230926538</v>
      </c>
      <c r="S8" s="10"/>
      <c r="T8" s="10"/>
      <c r="U8" s="10"/>
      <c r="V8" s="10"/>
    </row>
    <row r="9" spans="1:22">
      <c r="O9" t="str">
        <f>IF(B9="","",VLOOKUP(Cmt(B9),Sheet2!A:B,2,FALSE))</f>
        <v/>
      </c>
      <c r="P9" s="26" t="str">
        <f>IF(O9="","",#REF!)</f>
        <v/>
      </c>
      <c r="Q9" s="12" t="str">
        <f>IF(O9="","",P9*I9/(D9*O9*0.15))</f>
        <v/>
      </c>
      <c r="S9" s="10"/>
      <c r="T9" s="10"/>
      <c r="U9" s="10"/>
      <c r="V9" s="10"/>
    </row>
    <row r="10" spans="1:22">
      <c r="O10" t="str">
        <f>IF(B10="","",VLOOKUP(Cmt(B10),Sheet2!A:B,2,FALSE))</f>
        <v/>
      </c>
      <c r="P10" s="26" t="str">
        <f t="shared" ref="P10:P20" si="3">IF(O10="","",P9)</f>
        <v/>
      </c>
      <c r="Q10" s="12" t="str">
        <f>IF(O10="","",P10*I10/(D10*O10*0.15))</f>
        <v/>
      </c>
      <c r="S10" s="10"/>
    </row>
    <row r="11" spans="1:22">
      <c r="O11" t="str">
        <f>IF(B11="","",VLOOKUP(Cmt(B11),Sheet2!A:B,2,FALSE))</f>
        <v/>
      </c>
      <c r="P11" s="26" t="str">
        <f t="shared" si="3"/>
        <v/>
      </c>
      <c r="Q11" s="12" t="str">
        <f>IF(O11="","",P11*I11/(D11*O11*0.15))</f>
        <v/>
      </c>
      <c r="S11" s="10"/>
    </row>
    <row r="12" spans="1:22">
      <c r="O12" t="str">
        <f>IF(B12="","",VLOOKUP(Cmt(B12),Sheet2!A:B,2,FALSE))</f>
        <v/>
      </c>
      <c r="P12" s="26" t="str">
        <f t="shared" si="3"/>
        <v/>
      </c>
      <c r="Q12" s="12" t="str">
        <f>IF(O12="","",P12*I12/(D12*O12*0.15))</f>
        <v/>
      </c>
      <c r="S12" s="10"/>
    </row>
    <row r="13" spans="1:22">
      <c r="O13" t="str">
        <f>IF(B13="","",VLOOKUP(Cmt(B13),Sheet2!A:B,2,FALSE))</f>
        <v/>
      </c>
      <c r="P13" s="26" t="str">
        <f t="shared" si="3"/>
        <v/>
      </c>
      <c r="Q13" s="12" t="str">
        <f>IF(O13="","",P13*I13/(D13*O13*0.15))</f>
        <v/>
      </c>
      <c r="S13" s="10"/>
    </row>
    <row r="14" spans="1:22">
      <c r="O14" t="str">
        <f>IF(B14="","",VLOOKUP(Cmt(B14),Sheet2!A:B,2,FALSE))</f>
        <v/>
      </c>
      <c r="P14" s="26" t="str">
        <f t="shared" si="3"/>
        <v/>
      </c>
      <c r="Q14" s="12" t="str">
        <f>IF(O14="","",P14*I14/(D14*O14*0.15))</f>
        <v/>
      </c>
      <c r="S14" s="10"/>
    </row>
    <row r="15" spans="1:22">
      <c r="O15" t="str">
        <f>IF(B15="","",VLOOKUP(Cmt(B15),Sheet2!A:B,2,FALSE))</f>
        <v/>
      </c>
      <c r="P15" s="26" t="str">
        <f t="shared" si="3"/>
        <v/>
      </c>
      <c r="Q15" s="12" t="str">
        <f>IF(O15="","",P15*I15/(D15*O15*0.15))</f>
        <v/>
      </c>
      <c r="S15" s="10"/>
    </row>
    <row r="16" spans="1:22">
      <c r="O16" t="str">
        <f>IF(B16="","",VLOOKUP(Cmt(B16),Sheet2!A:B,2,FALSE))</f>
        <v/>
      </c>
      <c r="P16" s="26" t="str">
        <f t="shared" si="3"/>
        <v/>
      </c>
      <c r="Q16" s="12" t="str">
        <f>IF(O16="","",P16*I16/(D16*O16*0.15))</f>
        <v/>
      </c>
      <c r="S16" s="10"/>
    </row>
    <row r="17" spans="15:19">
      <c r="O17" t="str">
        <f>IF(B17="","",VLOOKUP(Cmt(B17),Sheet2!A:B,2,FALSE))</f>
        <v/>
      </c>
      <c r="P17" s="26" t="str">
        <f t="shared" si="3"/>
        <v/>
      </c>
      <c r="Q17" s="12" t="str">
        <f>IF(O17="","",P17*I17/(D17*O17*0.15))</f>
        <v/>
      </c>
      <c r="S17" s="10"/>
    </row>
    <row r="18" spans="15:19">
      <c r="O18" t="str">
        <f>IF(B18="","",VLOOKUP(Cmt(B18),Sheet2!A:B,2,FALSE))</f>
        <v/>
      </c>
      <c r="P18" s="26" t="str">
        <f t="shared" si="3"/>
        <v/>
      </c>
      <c r="Q18" s="12" t="str">
        <f>IF(O18="","",P18*I18/(D18*O18*0.15))</f>
        <v/>
      </c>
      <c r="S18" s="10"/>
    </row>
    <row r="19" spans="15:19">
      <c r="O19" t="str">
        <f>IF(B19="","",VLOOKUP(Cmt(B19),Sheet2!A:B,2,FALSE))</f>
        <v/>
      </c>
      <c r="P19" s="26" t="str">
        <f t="shared" si="3"/>
        <v/>
      </c>
      <c r="Q19" s="12" t="str">
        <f>IF(O19="","",P19*I19/(D19*O19*0.15))</f>
        <v/>
      </c>
      <c r="S19" s="10"/>
    </row>
    <row r="20" spans="15:19">
      <c r="O20" t="str">
        <f>IF(B20="","",VLOOKUP(Cmt(B20),Sheet2!A:B,2,FALSE))</f>
        <v/>
      </c>
      <c r="P20" s="26" t="str">
        <f t="shared" si="3"/>
        <v/>
      </c>
      <c r="Q20" s="12" t="str">
        <f>IF(O20="","",P20*I20/(D20*O20*0.15))</f>
        <v/>
      </c>
      <c r="S20" s="10"/>
    </row>
    <row r="21" spans="15:19">
      <c r="S21" s="10"/>
    </row>
    <row r="22" spans="15:19">
      <c r="S22" s="10"/>
    </row>
    <row r="23" spans="15:19">
      <c r="S23" s="10"/>
    </row>
    <row r="24" spans="15:19">
      <c r="S24" s="10"/>
    </row>
    <row r="25" spans="15:19">
      <c r="S25" s="10"/>
    </row>
    <row r="26" spans="15:19">
      <c r="S26" s="10"/>
    </row>
    <row r="27" spans="15:19">
      <c r="S27" s="10"/>
    </row>
    <row r="28" spans="15:19">
      <c r="S28" s="10"/>
    </row>
    <row r="29" spans="15:19">
      <c r="S29" s="10"/>
    </row>
    <row r="30" spans="15:19">
      <c r="S30" s="10"/>
    </row>
    <row r="31" spans="15:19">
      <c r="S31" s="10"/>
    </row>
    <row r="32" spans="15:19">
      <c r="S32" s="10"/>
    </row>
    <row r="33" spans="19:19">
      <c r="S33" s="10"/>
    </row>
    <row r="34" spans="19:19">
      <c r="S34" s="10"/>
    </row>
    <row r="35" spans="19:19">
      <c r="S35" s="10"/>
    </row>
    <row r="36" spans="19:19">
      <c r="S36" s="10"/>
    </row>
    <row r="37" spans="19:19">
      <c r="S37" s="10"/>
    </row>
    <row r="38" spans="19:19">
      <c r="S38" s="10"/>
    </row>
    <row r="39" spans="19:19">
      <c r="S39" s="10"/>
    </row>
    <row r="40" spans="19:19">
      <c r="S40" s="10"/>
    </row>
    <row r="41" spans="19:19">
      <c r="S41" s="10"/>
    </row>
    <row r="42" spans="19:19">
      <c r="S42" s="10"/>
    </row>
    <row r="43" spans="19:19">
      <c r="S43" s="10"/>
    </row>
    <row r="44" spans="19:19">
      <c r="S44" s="10"/>
    </row>
    <row r="45" spans="19:19">
      <c r="S45" s="10"/>
    </row>
    <row r="46" spans="19:19">
      <c r="S46" s="10"/>
    </row>
    <row r="47" spans="19:19">
      <c r="S47" s="10"/>
    </row>
    <row r="48" spans="19:19">
      <c r="S48" s="10"/>
    </row>
    <row r="49" spans="19:19">
      <c r="S49" s="10"/>
    </row>
    <row r="50" spans="19:19">
      <c r="S50" s="10"/>
    </row>
    <row r="51" spans="19:19">
      <c r="S51" s="10"/>
    </row>
    <row r="52" spans="19:19">
      <c r="S52" s="10"/>
    </row>
    <row r="53" spans="19:19">
      <c r="S53" s="10"/>
    </row>
    <row r="54" spans="19:19">
      <c r="S54" s="10"/>
    </row>
    <row r="55" spans="19:19">
      <c r="S55" s="10"/>
    </row>
    <row r="56" spans="19:19">
      <c r="S56" s="10"/>
    </row>
    <row r="57" spans="19:19">
      <c r="S57" s="10"/>
    </row>
    <row r="58" spans="19:19">
      <c r="S58" s="10"/>
    </row>
    <row r="59" spans="19:19">
      <c r="S59" s="10"/>
    </row>
    <row r="60" spans="19:19">
      <c r="S60" s="10"/>
    </row>
    <row r="61" spans="19:19">
      <c r="S61" s="10"/>
    </row>
    <row r="62" spans="19:19">
      <c r="S62" s="10"/>
    </row>
    <row r="63" spans="19:19">
      <c r="S63" s="10"/>
    </row>
    <row r="64" spans="19:19">
      <c r="S64" s="10"/>
    </row>
    <row r="65" spans="19:19">
      <c r="S65" s="10"/>
    </row>
    <row r="66" spans="19:19">
      <c r="S66" s="10"/>
    </row>
    <row r="67" spans="19:19">
      <c r="S67" s="10"/>
    </row>
    <row r="68" spans="19:19">
      <c r="S68" s="10"/>
    </row>
    <row r="69" spans="19:19">
      <c r="S69" s="10"/>
    </row>
    <row r="70" spans="19:19">
      <c r="S70" s="10"/>
    </row>
    <row r="71" spans="19:19">
      <c r="S71" s="10"/>
    </row>
    <row r="72" spans="19:19">
      <c r="S72" s="10"/>
    </row>
    <row r="73" spans="19:19">
      <c r="S73" s="10"/>
    </row>
    <row r="74" spans="19:19">
      <c r="S74" s="10"/>
    </row>
    <row r="75" spans="19:19">
      <c r="S75" s="10"/>
    </row>
    <row r="76" spans="19:19">
      <c r="S76" s="10"/>
    </row>
    <row r="77" spans="19:19">
      <c r="S77" s="10"/>
    </row>
    <row r="78" spans="19:19">
      <c r="S78" s="10"/>
    </row>
    <row r="79" spans="19:19">
      <c r="S79" s="10"/>
    </row>
    <row r="80" spans="19:19">
      <c r="S80" s="10"/>
    </row>
    <row r="81" spans="19:19">
      <c r="S81" s="10"/>
    </row>
    <row r="82" spans="19:19">
      <c r="S82" s="10"/>
    </row>
    <row r="83" spans="19:19">
      <c r="S83" s="10"/>
    </row>
    <row r="84" spans="19:19">
      <c r="S84" s="10"/>
    </row>
    <row r="85" spans="19:19">
      <c r="S85" s="10"/>
    </row>
    <row r="86" spans="19:19">
      <c r="S86" s="10"/>
    </row>
    <row r="87" spans="19:19">
      <c r="S87" s="10"/>
    </row>
    <row r="88" spans="19:19">
      <c r="S88" s="10"/>
    </row>
    <row r="89" spans="19:19">
      <c r="S89" s="10"/>
    </row>
    <row r="90" spans="19:19">
      <c r="S90" s="10"/>
    </row>
    <row r="91" spans="19:19">
      <c r="S91" s="10"/>
    </row>
    <row r="92" spans="19:19">
      <c r="S92" s="10"/>
    </row>
    <row r="93" spans="19:19">
      <c r="S93" s="10"/>
    </row>
    <row r="94" spans="19:19">
      <c r="S94" s="10"/>
    </row>
    <row r="95" spans="19:19">
      <c r="S95" s="10"/>
    </row>
    <row r="96" spans="19:19">
      <c r="S96" s="10"/>
    </row>
    <row r="97" spans="19:19">
      <c r="S97" s="10"/>
    </row>
    <row r="98" spans="19:19">
      <c r="S98" s="10"/>
    </row>
    <row r="99" spans="19:19">
      <c r="S99" s="10"/>
    </row>
    <row r="100" spans="19:19">
      <c r="S100" s="10"/>
    </row>
    <row r="101" spans="19:19">
      <c r="S101" s="10"/>
    </row>
    <row r="102" spans="19:19">
      <c r="S102" s="10"/>
    </row>
    <row r="103" spans="19:19">
      <c r="S103" s="10"/>
    </row>
    <row r="104" spans="19:19">
      <c r="S104" s="10"/>
    </row>
    <row r="105" spans="19:19">
      <c r="S105" s="10"/>
    </row>
    <row r="106" spans="19:19">
      <c r="S106" s="10"/>
    </row>
    <row r="107" spans="19:19">
      <c r="S107" s="10"/>
    </row>
    <row r="108" spans="19:19">
      <c r="S108" s="10"/>
    </row>
    <row r="109" spans="19:19">
      <c r="S109" s="10"/>
    </row>
    <row r="110" spans="19:19">
      <c r="S110" s="10"/>
    </row>
    <row r="111" spans="19:19">
      <c r="S111" s="10"/>
    </row>
    <row r="112" spans="19:19">
      <c r="S112" s="10"/>
    </row>
    <row r="113" spans="19:19">
      <c r="S113" s="10"/>
    </row>
    <row r="114" spans="19:19">
      <c r="S114" s="10"/>
    </row>
    <row r="115" spans="19:19">
      <c r="S115" s="10"/>
    </row>
    <row r="116" spans="19:19">
      <c r="S116" s="10"/>
    </row>
    <row r="117" spans="19:19">
      <c r="S117" s="10"/>
    </row>
    <row r="118" spans="19:19">
      <c r="S118" s="10"/>
    </row>
    <row r="119" spans="19:19">
      <c r="S119" s="10"/>
    </row>
    <row r="120" spans="19:19">
      <c r="S120" s="10"/>
    </row>
    <row r="121" spans="19:19">
      <c r="S121" s="10"/>
    </row>
    <row r="122" spans="19:19">
      <c r="S122" s="10"/>
    </row>
    <row r="123" spans="19:19">
      <c r="S123" s="10"/>
    </row>
    <row r="124" spans="19:19">
      <c r="S124" s="10"/>
    </row>
    <row r="125" spans="19:19">
      <c r="S125" s="10"/>
    </row>
    <row r="126" spans="19:19">
      <c r="S126" s="10"/>
    </row>
    <row r="127" spans="19:19">
      <c r="S127" s="10"/>
    </row>
    <row r="128" spans="19:19">
      <c r="S128" s="10"/>
    </row>
    <row r="129" spans="19:19">
      <c r="S129" s="10"/>
    </row>
    <row r="130" spans="19:19">
      <c r="S130" s="10"/>
    </row>
    <row r="131" spans="19:19">
      <c r="S131" s="10"/>
    </row>
    <row r="132" spans="19:19">
      <c r="S132" s="10"/>
    </row>
    <row r="133" spans="19:19">
      <c r="S133" s="10"/>
    </row>
    <row r="134" spans="19:19">
      <c r="S134" s="10"/>
    </row>
    <row r="135" spans="19:19">
      <c r="S135" s="10"/>
    </row>
    <row r="136" spans="19:19">
      <c r="S136" s="10"/>
    </row>
    <row r="137" spans="19:19">
      <c r="S137" s="10"/>
    </row>
    <row r="138" spans="19:19">
      <c r="S138" s="10"/>
    </row>
    <row r="139" spans="19:19">
      <c r="S139" s="10"/>
    </row>
    <row r="140" spans="19:19">
      <c r="S140" s="10"/>
    </row>
    <row r="141" spans="19:19">
      <c r="S141" s="10"/>
    </row>
    <row r="142" spans="19:19">
      <c r="S142" s="10"/>
    </row>
    <row r="143" spans="19:19">
      <c r="S143" s="10"/>
    </row>
    <row r="144" spans="19:19">
      <c r="S144" s="10"/>
    </row>
    <row r="145" spans="19:19">
      <c r="S145" s="10"/>
    </row>
    <row r="146" spans="19:19">
      <c r="S146" s="10"/>
    </row>
    <row r="147" spans="19:19">
      <c r="S147" s="10"/>
    </row>
    <row r="148" spans="19:19">
      <c r="S148" s="10"/>
    </row>
    <row r="149" spans="19:19">
      <c r="S149" s="10"/>
    </row>
    <row r="150" spans="19:19">
      <c r="S150" s="10"/>
    </row>
    <row r="151" spans="19:19">
      <c r="S151" s="10"/>
    </row>
    <row r="152" spans="19:19">
      <c r="S152" s="10"/>
    </row>
    <row r="153" spans="19:19">
      <c r="S153" s="10"/>
    </row>
    <row r="154" spans="19:19">
      <c r="S154" s="10"/>
    </row>
    <row r="155" spans="19:19">
      <c r="S155" s="10"/>
    </row>
    <row r="156" spans="19:19">
      <c r="S156" s="10"/>
    </row>
    <row r="157" spans="19:19">
      <c r="S157" s="10"/>
    </row>
    <row r="158" spans="19:19">
      <c r="S158" s="10"/>
    </row>
    <row r="159" spans="19:19">
      <c r="S159" s="10"/>
    </row>
    <row r="160" spans="19:19">
      <c r="S160" s="10"/>
    </row>
    <row r="161" spans="19:19">
      <c r="S161" s="10"/>
    </row>
    <row r="162" spans="19:19">
      <c r="S162" s="10"/>
    </row>
    <row r="163" spans="19:19">
      <c r="S163" s="10"/>
    </row>
    <row r="164" spans="19:19">
      <c r="S164" s="10"/>
    </row>
    <row r="165" spans="19:19">
      <c r="S165" s="10"/>
    </row>
    <row r="166" spans="19:19">
      <c r="S166" s="10"/>
    </row>
    <row r="167" spans="19:19">
      <c r="S167" s="10"/>
    </row>
    <row r="168" spans="19:19">
      <c r="S168" s="10"/>
    </row>
    <row r="169" spans="19:19">
      <c r="S169" s="10"/>
    </row>
    <row r="170" spans="19:19">
      <c r="S170" s="10"/>
    </row>
    <row r="171" spans="19:19">
      <c r="S171" s="10"/>
    </row>
    <row r="172" spans="19:19">
      <c r="S172" s="10"/>
    </row>
    <row r="173" spans="19:19">
      <c r="S173" s="10"/>
    </row>
    <row r="174" spans="19:19">
      <c r="S174" s="10"/>
    </row>
    <row r="175" spans="19:19">
      <c r="S175" s="10"/>
    </row>
    <row r="176" spans="19:19">
      <c r="S176" s="10"/>
    </row>
    <row r="177" spans="19:19">
      <c r="S177" s="10"/>
    </row>
    <row r="178" spans="19:19">
      <c r="S178" s="10"/>
    </row>
    <row r="179" spans="19:19">
      <c r="S179" s="10"/>
    </row>
    <row r="180" spans="19:19">
      <c r="S180" s="10"/>
    </row>
    <row r="181" spans="19:19">
      <c r="S181" s="10"/>
    </row>
    <row r="182" spans="19:19">
      <c r="S182" s="10"/>
    </row>
    <row r="183" spans="19:19">
      <c r="S183" s="10"/>
    </row>
    <row r="184" spans="19:19">
      <c r="S184" s="10"/>
    </row>
    <row r="185" spans="19:19">
      <c r="S185" s="10"/>
    </row>
    <row r="186" spans="19:19">
      <c r="S186" s="10"/>
    </row>
    <row r="187" spans="19:19">
      <c r="S187" s="10"/>
    </row>
    <row r="188" spans="19:19">
      <c r="S188" s="10"/>
    </row>
    <row r="189" spans="19:19">
      <c r="S189" s="10"/>
    </row>
    <row r="190" spans="19:19">
      <c r="S190" s="10"/>
    </row>
    <row r="191" spans="19:19">
      <c r="S191" s="10"/>
    </row>
    <row r="192" spans="19:19">
      <c r="S192" s="10"/>
    </row>
    <row r="193" spans="19:19">
      <c r="S193" s="10"/>
    </row>
    <row r="194" spans="19:19">
      <c r="S194" s="10"/>
    </row>
    <row r="195" spans="19:19">
      <c r="S195" s="10"/>
    </row>
    <row r="196" spans="19:19">
      <c r="S196" s="10"/>
    </row>
    <row r="197" spans="19:19">
      <c r="S197" s="10"/>
    </row>
    <row r="198" spans="19:19">
      <c r="S198" s="10"/>
    </row>
    <row r="199" spans="19:19">
      <c r="S199" s="10"/>
    </row>
    <row r="200" spans="19:19">
      <c r="S200" s="10"/>
    </row>
    <row r="201" spans="19:19">
      <c r="S201" s="10"/>
    </row>
    <row r="202" spans="19:19">
      <c r="S202" s="10"/>
    </row>
    <row r="203" spans="19:19">
      <c r="S203" s="10"/>
    </row>
    <row r="204" spans="19:19">
      <c r="S204" s="10"/>
    </row>
    <row r="205" spans="19:19">
      <c r="S205" s="10"/>
    </row>
    <row r="206" spans="19:19">
      <c r="S206" s="10"/>
    </row>
    <row r="207" spans="19:19">
      <c r="S207" s="10"/>
    </row>
    <row r="208" spans="19:19">
      <c r="S208" s="10"/>
    </row>
    <row r="209" spans="19:19">
      <c r="S209" s="10"/>
    </row>
    <row r="210" spans="19:19">
      <c r="S210" s="10"/>
    </row>
    <row r="211" spans="19:19">
      <c r="S211" s="10"/>
    </row>
    <row r="212" spans="19:19">
      <c r="S212" s="10"/>
    </row>
    <row r="213" spans="19:19">
      <c r="S213" s="10"/>
    </row>
    <row r="214" spans="19:19">
      <c r="S214" s="10"/>
    </row>
    <row r="215" spans="19:19">
      <c r="S215" s="10"/>
    </row>
    <row r="216" spans="19:19">
      <c r="S216" s="10"/>
    </row>
    <row r="217" spans="19:19">
      <c r="S217" s="10"/>
    </row>
    <row r="218" spans="19:19">
      <c r="S218" s="10"/>
    </row>
    <row r="219" spans="19:19">
      <c r="S219" s="10"/>
    </row>
    <row r="220" spans="19:19">
      <c r="S220" s="10"/>
    </row>
    <row r="221" spans="19:19">
      <c r="S221" s="10"/>
    </row>
    <row r="222" spans="19:19">
      <c r="S222" s="10"/>
    </row>
    <row r="223" spans="19:19">
      <c r="S223" s="10"/>
    </row>
    <row r="224" spans="19:19">
      <c r="S224" s="10"/>
    </row>
    <row r="225" spans="19:19">
      <c r="S225" s="10"/>
    </row>
    <row r="226" spans="19:19">
      <c r="S226" s="10"/>
    </row>
    <row r="227" spans="19:19">
      <c r="S227" s="10"/>
    </row>
    <row r="228" spans="19:19">
      <c r="S228" s="10"/>
    </row>
    <row r="229" spans="19:19">
      <c r="S229" s="10"/>
    </row>
    <row r="230" spans="19:19">
      <c r="S230" s="10"/>
    </row>
    <row r="231" spans="19:19">
      <c r="S231" s="10"/>
    </row>
    <row r="232" spans="19:19">
      <c r="S232" s="10"/>
    </row>
    <row r="233" spans="19:19">
      <c r="S233" s="10"/>
    </row>
    <row r="234" spans="19:19">
      <c r="S234" s="10"/>
    </row>
    <row r="235" spans="19:19">
      <c r="S235" s="10"/>
    </row>
    <row r="236" spans="19:19">
      <c r="S236" s="10"/>
    </row>
    <row r="237" spans="19:19">
      <c r="S237" s="10"/>
    </row>
    <row r="238" spans="19:19">
      <c r="S238" s="10"/>
    </row>
    <row r="239" spans="19:19">
      <c r="S239" s="10"/>
    </row>
    <row r="240" spans="19:19">
      <c r="S240" s="10"/>
    </row>
    <row r="241" spans="19:19">
      <c r="S241" s="10"/>
    </row>
    <row r="242" spans="19:19">
      <c r="S242" s="10"/>
    </row>
    <row r="243" spans="19:19">
      <c r="S243" s="10"/>
    </row>
    <row r="244" spans="19:19">
      <c r="S244" s="10"/>
    </row>
    <row r="245" spans="19:19">
      <c r="S245" s="10"/>
    </row>
    <row r="246" spans="19:19">
      <c r="S246" s="10"/>
    </row>
    <row r="247" spans="19:19">
      <c r="S247" s="10"/>
    </row>
    <row r="248" spans="19:19">
      <c r="S248" s="10"/>
    </row>
    <row r="249" spans="19:19">
      <c r="S249" s="10"/>
    </row>
    <row r="250" spans="19:19">
      <c r="S250" s="10"/>
    </row>
    <row r="251" spans="19:19">
      <c r="S251" s="10"/>
    </row>
    <row r="252" spans="19:19">
      <c r="S252" s="10"/>
    </row>
    <row r="253" spans="19:19">
      <c r="S253" s="10"/>
    </row>
    <row r="254" spans="19:19">
      <c r="S254" s="10"/>
    </row>
    <row r="255" spans="19:19">
      <c r="S255" s="10"/>
    </row>
    <row r="256" spans="19:19">
      <c r="S256" s="10"/>
    </row>
    <row r="257" spans="19:19">
      <c r="S257" s="10"/>
    </row>
    <row r="258" spans="19:19">
      <c r="S258" s="10"/>
    </row>
    <row r="259" spans="19:19">
      <c r="S259" s="10"/>
    </row>
    <row r="260" spans="19:19">
      <c r="S260" s="10"/>
    </row>
    <row r="261" spans="19:19">
      <c r="S261" s="10"/>
    </row>
    <row r="262" spans="19:19">
      <c r="S262" s="10"/>
    </row>
    <row r="263" spans="19:19">
      <c r="S263" s="10"/>
    </row>
    <row r="264" spans="19:19">
      <c r="S264" s="10"/>
    </row>
    <row r="265" spans="19:19">
      <c r="S265" s="10"/>
    </row>
    <row r="266" spans="19:19">
      <c r="S266" s="10"/>
    </row>
    <row r="267" spans="19:19">
      <c r="S267" s="10"/>
    </row>
    <row r="268" spans="19:19">
      <c r="S268" s="10"/>
    </row>
    <row r="269" spans="19:19">
      <c r="S269" s="10"/>
    </row>
    <row r="270" spans="19:19">
      <c r="S270" s="10"/>
    </row>
    <row r="271" spans="19:19">
      <c r="S271" s="10"/>
    </row>
    <row r="272" spans="19:19">
      <c r="S272" s="10"/>
    </row>
    <row r="273" spans="19:19">
      <c r="S273" s="10"/>
    </row>
    <row r="274" spans="19:19">
      <c r="S274" s="10"/>
    </row>
    <row r="275" spans="19:19">
      <c r="S275" s="10"/>
    </row>
    <row r="276" spans="19:19">
      <c r="S276" s="10"/>
    </row>
    <row r="277" spans="19:19">
      <c r="S277" s="10"/>
    </row>
    <row r="278" spans="19:19">
      <c r="S278" s="10"/>
    </row>
    <row r="279" spans="19:19">
      <c r="S279" s="10"/>
    </row>
    <row r="280" spans="19:19">
      <c r="S280" s="10"/>
    </row>
    <row r="281" spans="19:19">
      <c r="S281" s="10"/>
    </row>
    <row r="282" spans="19:19">
      <c r="S282" s="10"/>
    </row>
    <row r="283" spans="19:19">
      <c r="S283" s="10"/>
    </row>
    <row r="284" spans="19:19">
      <c r="S284" s="10"/>
    </row>
    <row r="285" spans="19:19">
      <c r="S285" s="10"/>
    </row>
    <row r="286" spans="19:19">
      <c r="S286" s="10"/>
    </row>
    <row r="287" spans="19:19">
      <c r="S287" s="10"/>
    </row>
    <row r="288" spans="19:19">
      <c r="S288" s="10"/>
    </row>
    <row r="289" spans="19:19">
      <c r="S289" s="10"/>
    </row>
    <row r="290" spans="19:19">
      <c r="S290" s="10"/>
    </row>
    <row r="291" spans="19:19">
      <c r="S291" s="10"/>
    </row>
    <row r="292" spans="19:19">
      <c r="S292" s="10"/>
    </row>
    <row r="293" spans="19:19">
      <c r="S293" s="10"/>
    </row>
    <row r="294" spans="19:19">
      <c r="S294" s="10"/>
    </row>
    <row r="295" spans="19:19">
      <c r="S295" s="10"/>
    </row>
    <row r="296" spans="19:19">
      <c r="S296" s="10"/>
    </row>
    <row r="297" spans="19:19">
      <c r="S297" s="10"/>
    </row>
    <row r="298" spans="19:19">
      <c r="S298" s="10"/>
    </row>
    <row r="299" spans="19:19">
      <c r="S299" s="10"/>
    </row>
    <row r="300" spans="19:19">
      <c r="S300" s="10"/>
    </row>
    <row r="301" spans="19:19">
      <c r="S301" s="10"/>
    </row>
    <row r="302" spans="19:19">
      <c r="S302" s="10"/>
    </row>
    <row r="303" spans="19:19">
      <c r="S303" s="10"/>
    </row>
    <row r="304" spans="19:19">
      <c r="S304" s="10"/>
    </row>
    <row r="305" spans="19:19">
      <c r="S305" s="10"/>
    </row>
    <row r="306" spans="19:19">
      <c r="S306" s="10"/>
    </row>
    <row r="307" spans="19:19">
      <c r="S307" s="10"/>
    </row>
    <row r="308" spans="19:19">
      <c r="S308" s="10"/>
    </row>
    <row r="309" spans="19:19">
      <c r="S309" s="10"/>
    </row>
    <row r="310" spans="19:19">
      <c r="S310" s="10"/>
    </row>
    <row r="311" spans="19:19">
      <c r="S311" s="10"/>
    </row>
    <row r="312" spans="19:19">
      <c r="S312" s="10"/>
    </row>
    <row r="313" spans="19:19">
      <c r="S313" s="10"/>
    </row>
    <row r="314" spans="19:19">
      <c r="S314" s="10"/>
    </row>
    <row r="315" spans="19:19">
      <c r="S315" s="10"/>
    </row>
    <row r="316" spans="19:19">
      <c r="S316" s="10"/>
    </row>
    <row r="317" spans="19:19">
      <c r="S317" s="10"/>
    </row>
    <row r="318" spans="19:19">
      <c r="S318" s="10"/>
    </row>
    <row r="319" spans="19:19">
      <c r="S319" s="10"/>
    </row>
    <row r="320" spans="19:19">
      <c r="S320" s="10"/>
    </row>
    <row r="321" spans="19:19">
      <c r="S321" s="10"/>
    </row>
    <row r="322" spans="19:19">
      <c r="S322" s="10"/>
    </row>
    <row r="323" spans="19:19">
      <c r="S323" s="10"/>
    </row>
    <row r="324" spans="19:19">
      <c r="S324" s="10"/>
    </row>
    <row r="325" spans="19:19">
      <c r="S325" s="10"/>
    </row>
    <row r="326" spans="19:19">
      <c r="S326" s="10"/>
    </row>
    <row r="327" spans="19:19">
      <c r="S327" s="10"/>
    </row>
    <row r="328" spans="19:19">
      <c r="S328" s="10"/>
    </row>
    <row r="329" spans="19:19">
      <c r="S329" s="10"/>
    </row>
    <row r="330" spans="19:19">
      <c r="S330" s="10"/>
    </row>
    <row r="331" spans="19:19">
      <c r="S331" s="10"/>
    </row>
    <row r="332" spans="19:19">
      <c r="S332" s="10"/>
    </row>
    <row r="333" spans="19:19">
      <c r="S333" s="10"/>
    </row>
    <row r="334" spans="19:19">
      <c r="S334" s="10"/>
    </row>
    <row r="335" spans="19:19">
      <c r="S335" s="10"/>
    </row>
    <row r="336" spans="19:19">
      <c r="S336" s="10"/>
    </row>
    <row r="337" spans="19:19">
      <c r="S337" s="10"/>
    </row>
    <row r="338" spans="19:19">
      <c r="S338" s="10"/>
    </row>
    <row r="339" spans="19:19">
      <c r="S339" s="10"/>
    </row>
    <row r="340" spans="19:19">
      <c r="S340" s="10"/>
    </row>
    <row r="341" spans="19:19">
      <c r="S341" s="10"/>
    </row>
    <row r="342" spans="19:19">
      <c r="S342" s="10"/>
    </row>
    <row r="343" spans="19:19">
      <c r="S343" s="10"/>
    </row>
    <row r="344" spans="19:19">
      <c r="S344" s="10"/>
    </row>
    <row r="345" spans="19:19">
      <c r="S345" s="10"/>
    </row>
    <row r="346" spans="19:19">
      <c r="S346" s="10"/>
    </row>
    <row r="347" spans="19:19">
      <c r="S347" s="10"/>
    </row>
    <row r="348" spans="19:19">
      <c r="S348" s="10"/>
    </row>
    <row r="349" spans="19:19">
      <c r="S349" s="10"/>
    </row>
    <row r="350" spans="19:19">
      <c r="S350" s="10"/>
    </row>
    <row r="351" spans="19:19">
      <c r="S351" s="10"/>
    </row>
    <row r="352" spans="19:19">
      <c r="S352" s="10"/>
    </row>
    <row r="353" spans="19:19">
      <c r="S353" s="10"/>
    </row>
    <row r="354" spans="19:19">
      <c r="S354" s="10"/>
    </row>
    <row r="355" spans="19:19">
      <c r="S355" s="10"/>
    </row>
    <row r="356" spans="19:19">
      <c r="S356" s="10"/>
    </row>
    <row r="357" spans="19:19">
      <c r="S357" s="10"/>
    </row>
    <row r="358" spans="19:19">
      <c r="S358" s="10"/>
    </row>
    <row r="359" spans="19:19">
      <c r="S359" s="10"/>
    </row>
    <row r="360" spans="19:19">
      <c r="S360" s="10"/>
    </row>
    <row r="361" spans="19:19">
      <c r="S361" s="10"/>
    </row>
    <row r="362" spans="19:19">
      <c r="S362" s="10"/>
    </row>
    <row r="363" spans="19:19">
      <c r="S363" s="10"/>
    </row>
    <row r="364" spans="19:19">
      <c r="S364" s="10"/>
    </row>
    <row r="365" spans="19:19">
      <c r="S365" s="10"/>
    </row>
    <row r="366" spans="19:19">
      <c r="S366" s="10"/>
    </row>
    <row r="367" spans="19:19">
      <c r="S367" s="10"/>
    </row>
    <row r="368" spans="19:19">
      <c r="S368" s="10"/>
    </row>
    <row r="369" spans="19:19">
      <c r="S369" s="10"/>
    </row>
    <row r="370" spans="19:19">
      <c r="S370" s="10"/>
    </row>
    <row r="371" spans="19:19">
      <c r="S371" s="10"/>
    </row>
    <row r="372" spans="19:19">
      <c r="S372" s="10"/>
    </row>
    <row r="373" spans="19:19">
      <c r="S373" s="10"/>
    </row>
    <row r="374" spans="19:19">
      <c r="S374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42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41" t="s">
        <v>1</v>
      </c>
      <c r="B1" s="41" t="s">
        <v>2</v>
      </c>
      <c r="C1" s="41" t="s">
        <v>3</v>
      </c>
      <c r="D1" s="41" t="s">
        <v>26</v>
      </c>
      <c r="E1" s="55" t="s">
        <v>101</v>
      </c>
      <c r="F1" s="56" t="s">
        <v>102</v>
      </c>
      <c r="G1" s="41" t="s">
        <v>103</v>
      </c>
      <c r="H1" s="36" t="s">
        <v>104</v>
      </c>
      <c r="I1" s="36" t="s">
        <v>109</v>
      </c>
      <c r="J1" s="41" t="s">
        <v>110</v>
      </c>
      <c r="K1" s="47" t="s">
        <v>97</v>
      </c>
      <c r="L1" s="47" t="s">
        <v>98</v>
      </c>
    </row>
    <row r="2" spans="1:12">
      <c r="A2" s="12" t="s">
        <v>15</v>
      </c>
      <c r="B2" s="12">
        <v>49</v>
      </c>
      <c r="C2" s="12">
        <v>4018</v>
      </c>
      <c r="D2" s="19">
        <v>43161</v>
      </c>
      <c r="E2" s="25">
        <v>0.88611111111111107</v>
      </c>
      <c r="F2" s="18">
        <v>3.1E-2</v>
      </c>
      <c r="G2" s="12">
        <v>3980</v>
      </c>
      <c r="H2" s="19">
        <v>43164</v>
      </c>
      <c r="I2" s="25">
        <v>0.38194444444444442</v>
      </c>
      <c r="J2" s="14">
        <v>-18620</v>
      </c>
      <c r="K2" t="s">
        <v>107</v>
      </c>
    </row>
    <row r="3" spans="1:12">
      <c r="A3" s="12" t="s">
        <v>23</v>
      </c>
      <c r="B3" s="12">
        <v>36</v>
      </c>
      <c r="C3" s="12">
        <v>3146</v>
      </c>
      <c r="D3" s="19">
        <v>43166</v>
      </c>
      <c r="E3" s="25">
        <v>0.56597222222222221</v>
      </c>
      <c r="F3" s="18">
        <v>1.7999999999999999E-2</v>
      </c>
      <c r="G3" s="12">
        <v>3100</v>
      </c>
      <c r="H3" s="19">
        <v>43167</v>
      </c>
      <c r="I3" s="25">
        <v>0.38194444444444442</v>
      </c>
      <c r="J3" s="14">
        <v>-16560</v>
      </c>
      <c r="K3" t="s">
        <v>111</v>
      </c>
    </row>
    <row r="4" spans="1:12">
      <c r="A4" s="12" t="s">
        <v>18</v>
      </c>
      <c r="B4" s="12">
        <v>-15</v>
      </c>
      <c r="C4" s="12">
        <v>100240</v>
      </c>
      <c r="D4" s="19">
        <v>43168</v>
      </c>
      <c r="E4" s="25">
        <v>0.62013888888888891</v>
      </c>
      <c r="F4" s="18">
        <v>2.4E-2</v>
      </c>
      <c r="G4" s="12">
        <v>101240</v>
      </c>
      <c r="H4" s="19">
        <v>43168</v>
      </c>
      <c r="I4" s="25">
        <v>0.93472222222222223</v>
      </c>
      <c r="J4" s="14">
        <v>-15000</v>
      </c>
      <c r="K4" t="s">
        <v>105</v>
      </c>
    </row>
    <row r="5" spans="1:12">
      <c r="A5" s="12" t="s">
        <v>21</v>
      </c>
      <c r="B5" s="12">
        <v>-40</v>
      </c>
      <c r="C5" s="12">
        <v>2706</v>
      </c>
      <c r="D5" s="19">
        <v>43168</v>
      </c>
      <c r="E5" s="25">
        <v>0.57638888888888895</v>
      </c>
      <c r="F5" s="18">
        <v>1.7000000000000001E-2</v>
      </c>
      <c r="G5" s="12">
        <v>2740</v>
      </c>
      <c r="H5" s="19">
        <v>43171</v>
      </c>
      <c r="I5" s="25">
        <v>0.375</v>
      </c>
      <c r="J5" s="14">
        <v>-13600</v>
      </c>
      <c r="K5" t="s">
        <v>106</v>
      </c>
    </row>
    <row r="6" spans="1:12">
      <c r="A6" s="12" t="s">
        <v>24</v>
      </c>
      <c r="B6" s="12">
        <v>36</v>
      </c>
      <c r="C6" s="12">
        <v>4106</v>
      </c>
      <c r="D6" s="19">
        <v>43161</v>
      </c>
      <c r="E6" s="25">
        <v>0.88611111111111107</v>
      </c>
      <c r="F6" s="18">
        <v>2.3E-2</v>
      </c>
      <c r="G6" s="12">
        <v>4069</v>
      </c>
      <c r="H6" s="19">
        <v>43164</v>
      </c>
      <c r="I6" s="25">
        <v>0.38194444444444442</v>
      </c>
      <c r="J6" s="14">
        <v>-13320</v>
      </c>
      <c r="K6" t="s">
        <v>107</v>
      </c>
    </row>
    <row r="7" spans="1:12">
      <c r="A7" s="12" t="s">
        <v>37</v>
      </c>
      <c r="B7" s="12">
        <v>-20</v>
      </c>
      <c r="C7" s="12">
        <v>14075</v>
      </c>
      <c r="D7" s="19">
        <v>43168</v>
      </c>
      <c r="E7" s="25">
        <v>0.62013888888888891</v>
      </c>
      <c r="F7" s="18">
        <v>2.1999999999999999E-2</v>
      </c>
      <c r="G7" s="12">
        <v>14185</v>
      </c>
      <c r="H7" s="19">
        <v>43171</v>
      </c>
      <c r="I7" s="25">
        <v>0.38125000000000003</v>
      </c>
      <c r="J7" s="14">
        <v>-11000</v>
      </c>
      <c r="K7" t="s">
        <v>105</v>
      </c>
    </row>
    <row r="8" spans="1:12">
      <c r="A8" s="12" t="s">
        <v>35</v>
      </c>
      <c r="B8" s="12">
        <v>-12</v>
      </c>
      <c r="C8" s="12">
        <v>2059</v>
      </c>
      <c r="D8" s="19">
        <v>43168</v>
      </c>
      <c r="E8" s="25">
        <v>0.46319444444444446</v>
      </c>
      <c r="F8" s="18">
        <v>3.9E-2</v>
      </c>
      <c r="G8" s="12">
        <v>2068</v>
      </c>
      <c r="H8" s="19">
        <v>43168</v>
      </c>
      <c r="I8" s="25">
        <v>0.96875</v>
      </c>
      <c r="J8" s="14">
        <v>-10800</v>
      </c>
      <c r="K8" t="s">
        <v>107</v>
      </c>
    </row>
    <row r="9" spans="1:12">
      <c r="A9" s="12" t="s">
        <v>19</v>
      </c>
      <c r="B9" s="12">
        <v>1</v>
      </c>
      <c r="C9" s="12">
        <v>6040</v>
      </c>
      <c r="D9" s="19">
        <v>43164</v>
      </c>
      <c r="E9" s="25">
        <v>0.42430555555555555</v>
      </c>
      <c r="F9" s="18">
        <v>1.4E-2</v>
      </c>
      <c r="G9" s="12">
        <v>5986.2</v>
      </c>
      <c r="H9" s="19">
        <v>43164</v>
      </c>
      <c r="I9" s="25">
        <v>0.56736111111111109</v>
      </c>
      <c r="J9" s="14">
        <v>-10760.000000000036</v>
      </c>
      <c r="K9" t="s">
        <v>108</v>
      </c>
    </row>
    <row r="10" spans="1:12">
      <c r="A10" s="12" t="s">
        <v>18</v>
      </c>
      <c r="B10" s="12">
        <v>-15</v>
      </c>
      <c r="C10" s="12">
        <v>101930</v>
      </c>
      <c r="D10" s="19">
        <v>43164</v>
      </c>
      <c r="E10" s="25">
        <v>0.88263888888888886</v>
      </c>
      <c r="F10" s="18">
        <v>2.4E-2</v>
      </c>
      <c r="G10" s="12">
        <v>102620</v>
      </c>
      <c r="H10" s="19">
        <v>43165</v>
      </c>
      <c r="I10" s="25">
        <v>0.58958333333333335</v>
      </c>
      <c r="J10" s="14">
        <v>-10350</v>
      </c>
      <c r="K10" t="s">
        <v>105</v>
      </c>
    </row>
    <row r="11" spans="1:12">
      <c r="A11" s="12" t="s">
        <v>22</v>
      </c>
      <c r="B11" s="12">
        <v>-40</v>
      </c>
      <c r="C11" s="12">
        <v>2654</v>
      </c>
      <c r="D11" s="19">
        <v>43166</v>
      </c>
      <c r="E11" s="25">
        <v>0.40972222222222227</v>
      </c>
      <c r="F11" s="18">
        <v>1.7000000000000001E-2</v>
      </c>
      <c r="G11" s="12">
        <v>2679</v>
      </c>
      <c r="H11" s="19">
        <v>43166</v>
      </c>
      <c r="I11" s="25">
        <v>0.61805555555555558</v>
      </c>
      <c r="J11" s="14">
        <v>-10000</v>
      </c>
      <c r="K11" t="s">
        <v>106</v>
      </c>
    </row>
    <row r="12" spans="1:12">
      <c r="A12" s="12" t="s">
        <v>19</v>
      </c>
      <c r="B12" s="12">
        <v>1</v>
      </c>
      <c r="C12" s="12">
        <v>6101.6</v>
      </c>
      <c r="D12" s="19">
        <v>43166</v>
      </c>
      <c r="E12" s="25">
        <v>0.37847222222222227</v>
      </c>
      <c r="F12" s="18">
        <v>1.4E-2</v>
      </c>
      <c r="G12" s="12">
        <v>6057.4</v>
      </c>
      <c r="H12" s="19">
        <v>43167</v>
      </c>
      <c r="I12" s="25">
        <v>0.4201388888888889</v>
      </c>
      <c r="J12" s="14">
        <v>-8840.0000000001455</v>
      </c>
      <c r="K12" t="s">
        <v>108</v>
      </c>
    </row>
    <row r="13" spans="1:12">
      <c r="A13" s="12" t="s">
        <v>21</v>
      </c>
      <c r="B13" s="12">
        <v>-40</v>
      </c>
      <c r="C13" s="12">
        <v>2710</v>
      </c>
      <c r="D13" s="19">
        <v>43166</v>
      </c>
      <c r="E13" s="25">
        <v>0.40972222222222227</v>
      </c>
      <c r="F13" s="18">
        <v>1.7000000000000001E-2</v>
      </c>
      <c r="G13" s="12">
        <v>2728</v>
      </c>
      <c r="H13" s="19">
        <v>43166</v>
      </c>
      <c r="I13" s="25">
        <v>0.93333333333333324</v>
      </c>
      <c r="J13" s="14">
        <v>-7200</v>
      </c>
      <c r="K13" t="s">
        <v>106</v>
      </c>
    </row>
    <row r="14" spans="1:12">
      <c r="A14" s="12" t="s">
        <v>27</v>
      </c>
      <c r="B14" s="12">
        <v>-1</v>
      </c>
      <c r="C14" s="12">
        <v>2858.6</v>
      </c>
      <c r="D14" s="19">
        <v>43164</v>
      </c>
      <c r="E14" s="25">
        <v>0.56736111111111109</v>
      </c>
      <c r="F14" s="18">
        <v>1.2999999999999999E-2</v>
      </c>
      <c r="G14" s="12">
        <v>2879</v>
      </c>
      <c r="H14" s="19">
        <v>43165</v>
      </c>
      <c r="I14" s="25">
        <v>0.56597222222222221</v>
      </c>
      <c r="J14" s="14">
        <v>-6120.0000000000273</v>
      </c>
      <c r="K14" t="s">
        <v>108</v>
      </c>
    </row>
    <row r="15" spans="1:12">
      <c r="A15" s="12" t="s">
        <v>27</v>
      </c>
      <c r="B15" s="12">
        <v>-1</v>
      </c>
      <c r="C15" s="12">
        <v>2870.2</v>
      </c>
      <c r="D15" s="19">
        <v>43166</v>
      </c>
      <c r="E15" s="25">
        <v>0.61805555555555558</v>
      </c>
      <c r="F15" s="18">
        <v>1.2999999999999999E-2</v>
      </c>
      <c r="G15" s="12">
        <v>2885.2</v>
      </c>
      <c r="H15" s="19">
        <v>43167</v>
      </c>
      <c r="I15" s="25">
        <v>0.4604166666666667</v>
      </c>
      <c r="J15" s="14">
        <v>-4500</v>
      </c>
      <c r="K15" t="s">
        <v>108</v>
      </c>
    </row>
    <row r="16" spans="1:12">
      <c r="A16" s="1" t="s">
        <v>27</v>
      </c>
      <c r="B16" s="1">
        <v>-1</v>
      </c>
      <c r="C16" s="1">
        <v>2857</v>
      </c>
      <c r="D16" s="2">
        <v>43161</v>
      </c>
      <c r="E16" s="23">
        <v>0.42569444444444443</v>
      </c>
      <c r="F16" s="15">
        <v>1.2999999999999999E-2</v>
      </c>
      <c r="G16" s="1">
        <v>2866.4</v>
      </c>
      <c r="H16" s="2">
        <v>43161</v>
      </c>
      <c r="I16" s="23">
        <v>0.42222222222222222</v>
      </c>
      <c r="J16" s="14">
        <v>-2820.0000000000273</v>
      </c>
      <c r="K16" t="s">
        <v>113</v>
      </c>
    </row>
    <row r="17" spans="1:11">
      <c r="A17" s="1" t="s">
        <v>16</v>
      </c>
      <c r="B17" s="1">
        <v>9</v>
      </c>
      <c r="C17" s="1">
        <v>5838</v>
      </c>
      <c r="D17" s="2">
        <v>43157</v>
      </c>
      <c r="E17" s="23">
        <v>0.37986111111111115</v>
      </c>
      <c r="F17" s="15">
        <v>1.2E-2</v>
      </c>
      <c r="G17" s="1">
        <v>5788</v>
      </c>
      <c r="H17" s="2">
        <v>43164</v>
      </c>
      <c r="I17" s="23">
        <v>0.58819444444444446</v>
      </c>
      <c r="J17" s="14">
        <v>-2250</v>
      </c>
      <c r="K17" t="s">
        <v>106</v>
      </c>
    </row>
    <row r="18" spans="1:11">
      <c r="A18" s="12" t="s">
        <v>99</v>
      </c>
      <c r="B18" s="12">
        <v>-5</v>
      </c>
      <c r="C18" s="12">
        <v>52090</v>
      </c>
      <c r="D18" s="19">
        <v>43164</v>
      </c>
      <c r="E18" s="25">
        <v>0.42430555555555555</v>
      </c>
      <c r="F18" s="18">
        <v>1.9E-2</v>
      </c>
      <c r="G18" s="12">
        <v>52180</v>
      </c>
      <c r="H18" s="19">
        <v>43165</v>
      </c>
      <c r="I18" s="25">
        <v>0.37986111111111115</v>
      </c>
      <c r="J18" s="14">
        <v>-2250</v>
      </c>
      <c r="K18" t="s">
        <v>105</v>
      </c>
    </row>
    <row r="19" spans="1:11">
      <c r="A19" s="12" t="s">
        <v>18</v>
      </c>
      <c r="B19" s="12">
        <v>-15</v>
      </c>
      <c r="C19" s="12">
        <v>102450</v>
      </c>
      <c r="D19" s="19">
        <v>43166</v>
      </c>
      <c r="E19" s="25">
        <v>0.56597222222222221</v>
      </c>
      <c r="F19" s="18">
        <v>2.4E-2</v>
      </c>
      <c r="G19" s="12">
        <v>102550</v>
      </c>
      <c r="H19" s="19">
        <v>43167</v>
      </c>
      <c r="I19" s="25">
        <v>0.38194444444444442</v>
      </c>
      <c r="J19" s="14">
        <v>-1500</v>
      </c>
      <c r="K19" t="s">
        <v>105</v>
      </c>
    </row>
    <row r="20" spans="1:11">
      <c r="A20" s="12" t="s">
        <v>18</v>
      </c>
      <c r="B20" s="12">
        <v>-15</v>
      </c>
      <c r="C20" s="12">
        <v>102650</v>
      </c>
      <c r="D20" s="19">
        <v>43166</v>
      </c>
      <c r="E20" s="25">
        <v>0.4236111111111111</v>
      </c>
      <c r="F20" s="18">
        <v>2.4E-2</v>
      </c>
      <c r="G20" s="12">
        <v>102690</v>
      </c>
      <c r="H20" s="19">
        <v>43166</v>
      </c>
      <c r="I20" s="25">
        <v>0.46527777777777773</v>
      </c>
      <c r="J20" s="14">
        <v>-600</v>
      </c>
      <c r="K20" t="s">
        <v>105</v>
      </c>
    </row>
    <row r="21" spans="1:11">
      <c r="A21" s="12" t="s">
        <v>100</v>
      </c>
      <c r="B21" s="12">
        <v>-1</v>
      </c>
      <c r="C21" s="12">
        <v>92.54</v>
      </c>
      <c r="D21" s="19">
        <v>43164</v>
      </c>
      <c r="E21" s="25">
        <v>0.42430555555555555</v>
      </c>
      <c r="F21" s="18">
        <v>1.4999999999999999E-2</v>
      </c>
      <c r="G21" s="12">
        <v>92.55</v>
      </c>
      <c r="H21" s="19">
        <v>43164</v>
      </c>
      <c r="I21" s="25">
        <v>0.56736111111111109</v>
      </c>
      <c r="J21" s="14">
        <v>-99.999999999909051</v>
      </c>
      <c r="K21" t="s">
        <v>112</v>
      </c>
    </row>
    <row r="22" spans="1:11">
      <c r="A22" s="12" t="s">
        <v>20</v>
      </c>
      <c r="B22" s="12">
        <v>-2</v>
      </c>
      <c r="C22" s="12">
        <v>6460</v>
      </c>
      <c r="D22" s="19">
        <v>43164</v>
      </c>
      <c r="E22" s="25">
        <v>0.56805555555555554</v>
      </c>
      <c r="F22" s="18">
        <v>1E-3</v>
      </c>
      <c r="G22" s="12">
        <v>6308</v>
      </c>
      <c r="H22" s="19">
        <v>43167</v>
      </c>
      <c r="I22" s="25">
        <v>0.59027777777777779</v>
      </c>
      <c r="J22" s="14">
        <v>1520</v>
      </c>
      <c r="K22" t="s">
        <v>107</v>
      </c>
    </row>
    <row r="23" spans="1:11">
      <c r="A23" s="12" t="s">
        <v>17</v>
      </c>
      <c r="B23" s="12">
        <v>20</v>
      </c>
      <c r="C23" s="12">
        <v>2181</v>
      </c>
      <c r="D23" s="19">
        <v>43161</v>
      </c>
      <c r="E23" s="25">
        <v>0.46458333333333335</v>
      </c>
      <c r="F23" s="18">
        <v>2.1999999999999999E-2</v>
      </c>
      <c r="G23" s="12">
        <v>2197</v>
      </c>
      <c r="H23" s="19">
        <v>43165</v>
      </c>
      <c r="I23" s="25">
        <v>0.58958333333333335</v>
      </c>
      <c r="J23" s="14">
        <v>3200</v>
      </c>
      <c r="K23" t="s">
        <v>111</v>
      </c>
    </row>
    <row r="24" spans="1:11">
      <c r="A24" s="12" t="s">
        <v>25</v>
      </c>
      <c r="B24" s="12">
        <v>-11</v>
      </c>
      <c r="C24" s="12">
        <v>5144</v>
      </c>
      <c r="D24" s="19">
        <v>43167</v>
      </c>
      <c r="E24" s="25">
        <v>0.41944444444444445</v>
      </c>
      <c r="F24" s="18">
        <v>8.9999999999999993E-3</v>
      </c>
      <c r="G24" s="12">
        <v>5102</v>
      </c>
      <c r="H24" s="19">
        <v>43171</v>
      </c>
      <c r="I24" s="25">
        <v>0.38125000000000003</v>
      </c>
      <c r="J24" s="14">
        <v>4620</v>
      </c>
      <c r="K24" t="s">
        <v>111</v>
      </c>
    </row>
    <row r="25" spans="1:11">
      <c r="A25" s="12" t="s">
        <v>99</v>
      </c>
      <c r="B25" s="12">
        <v>-5</v>
      </c>
      <c r="C25" s="12">
        <v>52310</v>
      </c>
      <c r="D25" s="19">
        <v>43166</v>
      </c>
      <c r="E25" s="25">
        <v>0.61805555555555558</v>
      </c>
      <c r="F25" s="18">
        <v>2.4E-2</v>
      </c>
      <c r="G25" s="12">
        <v>52040</v>
      </c>
      <c r="H25" s="19">
        <v>43171</v>
      </c>
      <c r="I25" s="25">
        <v>0.38125000000000003</v>
      </c>
      <c r="J25" s="14">
        <v>6750</v>
      </c>
      <c r="K25" t="s">
        <v>105</v>
      </c>
    </row>
    <row r="26" spans="1:11">
      <c r="A26" s="12" t="s">
        <v>18</v>
      </c>
      <c r="B26" s="12">
        <v>-15</v>
      </c>
      <c r="C26" s="12">
        <v>101010</v>
      </c>
      <c r="D26" s="19">
        <v>43167</v>
      </c>
      <c r="E26" s="25">
        <v>0.58680555555555558</v>
      </c>
      <c r="F26" s="18">
        <v>2.4E-2</v>
      </c>
      <c r="G26" s="12">
        <v>100560</v>
      </c>
      <c r="H26" s="19">
        <v>43168</v>
      </c>
      <c r="I26" s="25">
        <v>0.58958333333333335</v>
      </c>
      <c r="J26" s="14">
        <v>6750</v>
      </c>
      <c r="K26" t="s">
        <v>105</v>
      </c>
    </row>
    <row r="27" spans="1:11">
      <c r="A27" s="12" t="s">
        <v>38</v>
      </c>
      <c r="B27" s="12">
        <v>-20</v>
      </c>
      <c r="C27" s="12">
        <v>9420</v>
      </c>
      <c r="D27" s="19">
        <v>43167</v>
      </c>
      <c r="E27" s="25">
        <v>0.46180555555555558</v>
      </c>
      <c r="F27" s="18">
        <v>1.4999999999999999E-2</v>
      </c>
      <c r="G27" s="12">
        <v>9350</v>
      </c>
      <c r="H27" s="19">
        <v>43171</v>
      </c>
      <c r="I27" s="25">
        <v>0.38125000000000003</v>
      </c>
      <c r="J27" s="14">
        <v>7000</v>
      </c>
      <c r="K27" t="s">
        <v>106</v>
      </c>
    </row>
    <row r="28" spans="1:11">
      <c r="A28" s="12" t="s">
        <v>20</v>
      </c>
      <c r="B28" s="12">
        <v>-16</v>
      </c>
      <c r="C28" s="12">
        <v>6272</v>
      </c>
      <c r="D28" s="19">
        <v>43168</v>
      </c>
      <c r="E28" s="25">
        <v>0.38263888888888892</v>
      </c>
      <c r="F28" s="18">
        <v>8.0000000000000002E-3</v>
      </c>
      <c r="G28" s="1">
        <v>6160</v>
      </c>
      <c r="H28" s="2">
        <v>43171</v>
      </c>
      <c r="I28" s="23">
        <v>0.4694444444444445</v>
      </c>
      <c r="J28" s="14">
        <v>8960</v>
      </c>
      <c r="K28" t="s">
        <v>107</v>
      </c>
    </row>
    <row r="29" spans="1:11">
      <c r="A29" s="12" t="s">
        <v>36</v>
      </c>
      <c r="B29" s="12">
        <v>-1</v>
      </c>
      <c r="C29" s="12">
        <v>4013</v>
      </c>
      <c r="D29" s="19">
        <v>43164</v>
      </c>
      <c r="E29" s="25">
        <v>0.42430555555555555</v>
      </c>
      <c r="F29" s="18">
        <v>1.0999999999999999E-2</v>
      </c>
      <c r="G29" s="12">
        <v>3982</v>
      </c>
      <c r="H29" s="19">
        <v>43164</v>
      </c>
      <c r="I29" s="25">
        <v>0.56736111111111109</v>
      </c>
      <c r="J29" s="14">
        <v>9300</v>
      </c>
      <c r="K29" t="s">
        <v>108</v>
      </c>
    </row>
    <row r="30" spans="1:11">
      <c r="A30" s="12" t="s">
        <v>34</v>
      </c>
      <c r="B30" s="12">
        <v>-13</v>
      </c>
      <c r="C30" s="12">
        <v>25310</v>
      </c>
      <c r="D30" s="19">
        <v>43167</v>
      </c>
      <c r="E30" s="25">
        <v>0.39930555555555558</v>
      </c>
      <c r="F30" s="18">
        <v>2.7E-2</v>
      </c>
      <c r="G30" s="12">
        <v>25100</v>
      </c>
      <c r="H30" s="19">
        <v>43171</v>
      </c>
      <c r="I30" s="25">
        <v>0.38125000000000003</v>
      </c>
      <c r="J30" s="14">
        <v>13650</v>
      </c>
      <c r="K30" t="s">
        <v>105</v>
      </c>
    </row>
    <row r="31" spans="1:11">
      <c r="A31" s="12" t="s">
        <v>15</v>
      </c>
      <c r="B31" s="12">
        <v>-31</v>
      </c>
      <c r="C31" s="12">
        <v>3870</v>
      </c>
      <c r="D31" s="19">
        <v>43167</v>
      </c>
      <c r="E31" s="25">
        <v>0.39930555555555558</v>
      </c>
      <c r="F31" s="18">
        <v>1.9E-2</v>
      </c>
      <c r="G31" s="12">
        <v>3744</v>
      </c>
      <c r="H31" s="19">
        <v>43171</v>
      </c>
      <c r="I31" s="25">
        <v>0.38125000000000003</v>
      </c>
      <c r="J31" s="14">
        <v>39060</v>
      </c>
      <c r="K31" t="s">
        <v>107</v>
      </c>
    </row>
    <row r="32" spans="1:11">
      <c r="A32" s="12" t="s">
        <v>24</v>
      </c>
      <c r="B32" s="12">
        <v>-45</v>
      </c>
      <c r="C32" s="12">
        <v>3956</v>
      </c>
      <c r="D32" s="19">
        <v>43167</v>
      </c>
      <c r="E32" s="25">
        <v>0.39930555555555558</v>
      </c>
      <c r="F32" s="18">
        <v>2.8000000000000001E-2</v>
      </c>
      <c r="G32" s="12">
        <v>3843</v>
      </c>
      <c r="H32" s="19">
        <v>43171</v>
      </c>
      <c r="I32" s="25">
        <v>0.38125000000000003</v>
      </c>
      <c r="J32" s="14">
        <v>50850</v>
      </c>
      <c r="K32" t="s">
        <v>107</v>
      </c>
    </row>
    <row r="33" spans="1:12">
      <c r="A33" s="12" t="s">
        <v>19</v>
      </c>
      <c r="B33" s="12">
        <v>1</v>
      </c>
      <c r="C33" s="12">
        <v>6099</v>
      </c>
      <c r="D33" s="19">
        <v>43167</v>
      </c>
      <c r="E33" s="25">
        <v>0.62013888888888891</v>
      </c>
      <c r="F33" s="18">
        <v>1.4E-2</v>
      </c>
      <c r="G33" s="19"/>
      <c r="H33" s="25"/>
      <c r="I33" s="12"/>
      <c r="J33" s="14" t="s">
        <v>96</v>
      </c>
      <c r="K33" t="s">
        <v>108</v>
      </c>
    </row>
    <row r="34" spans="1:12">
      <c r="A34" s="45"/>
      <c r="B34" s="45"/>
      <c r="C34" s="45"/>
      <c r="D34" s="48"/>
      <c r="E34" s="44"/>
      <c r="F34" s="44"/>
      <c r="G34" s="48"/>
      <c r="H34" s="47"/>
      <c r="I34" s="47"/>
      <c r="J34" s="45"/>
      <c r="K34" s="49"/>
      <c r="L34" s="46"/>
    </row>
    <row r="35" spans="1:12">
      <c r="A35" s="50"/>
      <c r="B35" s="50"/>
      <c r="C35" s="50"/>
      <c r="D35" s="51"/>
      <c r="E35" s="52"/>
      <c r="F35" s="52"/>
      <c r="G35" s="51"/>
      <c r="H35" s="50"/>
      <c r="I35" s="50"/>
      <c r="J35" s="46"/>
      <c r="K35" s="46"/>
      <c r="L35" s="46"/>
    </row>
    <row r="36" spans="1:12">
      <c r="A36" s="50"/>
      <c r="B36" s="50"/>
      <c r="C36" s="50"/>
      <c r="D36" s="51"/>
      <c r="E36" s="52"/>
      <c r="F36" s="52"/>
      <c r="G36" s="51"/>
      <c r="H36" s="50"/>
      <c r="I36" s="50"/>
      <c r="J36" s="46"/>
      <c r="K36" s="46"/>
      <c r="L36" s="46"/>
    </row>
    <row r="37" spans="1:12">
      <c r="A37" s="45"/>
      <c r="B37" s="45"/>
      <c r="C37" s="45"/>
      <c r="D37" s="48"/>
      <c r="E37" s="44"/>
      <c r="F37" s="44"/>
      <c r="G37" s="48"/>
      <c r="H37" s="47"/>
      <c r="I37" s="47"/>
      <c r="J37" s="45"/>
      <c r="K37" s="49"/>
      <c r="L37" s="46"/>
    </row>
    <row r="38" spans="1:12">
      <c r="A38" s="50"/>
      <c r="B38" s="50"/>
      <c r="C38" s="50"/>
      <c r="D38" s="51"/>
      <c r="E38" s="52"/>
      <c r="F38" s="52"/>
      <c r="G38" s="51"/>
      <c r="H38" s="50"/>
      <c r="I38" s="50"/>
      <c r="J38" s="46"/>
      <c r="K38" s="46"/>
      <c r="L38" s="46"/>
    </row>
    <row r="39" spans="1:12">
      <c r="A39" s="50"/>
      <c r="B39" s="50"/>
      <c r="C39" s="50"/>
      <c r="D39" s="51"/>
      <c r="E39" s="52"/>
      <c r="F39" s="52"/>
      <c r="G39" s="51"/>
      <c r="H39" s="50"/>
      <c r="I39" s="50"/>
      <c r="J39" s="46"/>
      <c r="K39" s="46"/>
      <c r="L39" s="46"/>
    </row>
    <row r="40" spans="1:12">
      <c r="A40" s="45"/>
      <c r="B40" s="45"/>
      <c r="C40" s="45"/>
      <c r="D40" s="48"/>
      <c r="E40" s="44"/>
      <c r="F40" s="44"/>
      <c r="G40" s="48"/>
      <c r="H40" s="47"/>
      <c r="I40" s="47"/>
      <c r="J40" s="45"/>
      <c r="K40" s="49"/>
      <c r="L40" s="46"/>
    </row>
    <row r="41" spans="1:12">
      <c r="A41" s="45"/>
      <c r="B41" s="45"/>
      <c r="C41" s="45"/>
      <c r="D41" s="48"/>
      <c r="E41" s="44"/>
      <c r="F41" s="44"/>
      <c r="G41" s="48"/>
      <c r="H41" s="47"/>
      <c r="I41" s="47"/>
      <c r="J41" s="45"/>
      <c r="K41" s="46"/>
      <c r="L41" s="46"/>
    </row>
    <row r="42" spans="1:12">
      <c r="A42" s="45"/>
      <c r="B42" s="45"/>
      <c r="C42" s="45"/>
      <c r="D42" s="48"/>
      <c r="E42" s="44"/>
      <c r="F42" s="44"/>
      <c r="G42" s="48"/>
      <c r="H42" s="47"/>
      <c r="I42" s="47"/>
      <c r="J42" s="45"/>
      <c r="K42" s="46"/>
      <c r="L42" s="46"/>
    </row>
    <row r="43" spans="1:12">
      <c r="A43" s="50"/>
      <c r="B43" s="50"/>
      <c r="C43" s="50"/>
      <c r="D43" s="51"/>
      <c r="E43" s="52"/>
      <c r="F43" s="52"/>
      <c r="G43" s="51"/>
      <c r="H43" s="50"/>
      <c r="I43" s="50"/>
      <c r="J43" s="46"/>
      <c r="K43" s="46"/>
      <c r="L43" s="46"/>
    </row>
    <row r="44" spans="1:12">
      <c r="A44" s="50"/>
      <c r="B44" s="50"/>
      <c r="C44" s="50"/>
      <c r="D44" s="51"/>
      <c r="E44" s="52"/>
      <c r="F44" s="52"/>
      <c r="G44" s="51"/>
      <c r="H44" s="50"/>
      <c r="I44" s="50"/>
      <c r="J44" s="46"/>
      <c r="K44" s="46"/>
      <c r="L44" s="46"/>
    </row>
    <row r="45" spans="1:12">
      <c r="A45" s="45"/>
      <c r="B45" s="45"/>
      <c r="C45" s="45"/>
      <c r="D45" s="48"/>
      <c r="E45" s="44"/>
      <c r="F45" s="44"/>
      <c r="G45" s="48"/>
      <c r="H45" s="47"/>
      <c r="I45" s="47"/>
      <c r="J45" s="45"/>
      <c r="K45" s="46"/>
      <c r="L45" s="46"/>
    </row>
    <row r="46" spans="1:12">
      <c r="A46" s="45"/>
      <c r="B46" s="45"/>
      <c r="C46" s="45"/>
      <c r="D46" s="48"/>
      <c r="E46" s="44"/>
      <c r="F46" s="44"/>
      <c r="G46" s="48"/>
      <c r="H46" s="47"/>
      <c r="I46" s="47"/>
      <c r="J46" s="45"/>
      <c r="K46" s="46"/>
      <c r="L46" s="46"/>
    </row>
    <row r="47" spans="1:12">
      <c r="A47" s="50"/>
      <c r="B47" s="50"/>
      <c r="C47" s="50"/>
      <c r="D47" s="51"/>
      <c r="E47" s="52"/>
      <c r="F47" s="52"/>
      <c r="G47" s="51"/>
      <c r="H47" s="50"/>
      <c r="I47" s="50"/>
      <c r="J47" s="46"/>
      <c r="K47" s="46"/>
      <c r="L47" s="46"/>
    </row>
    <row r="48" spans="1:12">
      <c r="A48" s="50"/>
      <c r="B48" s="50"/>
      <c r="C48" s="50"/>
      <c r="D48" s="51"/>
      <c r="E48" s="52"/>
      <c r="F48" s="52"/>
      <c r="G48" s="51"/>
      <c r="H48" s="50"/>
      <c r="I48" s="50"/>
      <c r="J48" s="46"/>
      <c r="K48" s="46"/>
      <c r="L48" s="46"/>
    </row>
    <row r="49" spans="1:12">
      <c r="A49" s="50"/>
      <c r="B49" s="50"/>
      <c r="C49" s="50"/>
      <c r="D49" s="51"/>
      <c r="E49" s="52"/>
      <c r="F49" s="52"/>
      <c r="G49" s="51"/>
      <c r="H49" s="50"/>
      <c r="I49" s="50"/>
      <c r="J49" s="46"/>
      <c r="K49" s="46"/>
      <c r="L49" s="46"/>
    </row>
    <row r="50" spans="1:12">
      <c r="A50" s="45"/>
      <c r="B50" s="45"/>
      <c r="C50" s="45"/>
      <c r="D50" s="48"/>
      <c r="E50" s="44"/>
      <c r="F50" s="44"/>
      <c r="G50" s="48"/>
      <c r="H50" s="47"/>
      <c r="I50" s="47"/>
      <c r="J50" s="45"/>
      <c r="K50" s="49"/>
      <c r="L50" s="46"/>
    </row>
    <row r="51" spans="1:12">
      <c r="A51" s="50"/>
      <c r="B51" s="50"/>
      <c r="C51" s="50"/>
      <c r="D51" s="51"/>
      <c r="E51" s="52"/>
      <c r="F51" s="52"/>
      <c r="G51" s="51"/>
      <c r="H51" s="50"/>
      <c r="I51" s="50"/>
      <c r="J51" s="46"/>
      <c r="K51" s="46"/>
      <c r="L51" s="46"/>
    </row>
    <row r="52" spans="1:12">
      <c r="A52" s="50"/>
      <c r="B52" s="50"/>
      <c r="C52" s="50"/>
      <c r="D52" s="51"/>
      <c r="E52" s="52"/>
      <c r="F52" s="52"/>
      <c r="G52" s="51"/>
      <c r="H52" s="50"/>
      <c r="I52" s="50"/>
      <c r="J52" s="46"/>
      <c r="K52" s="46"/>
      <c r="L52" s="46"/>
    </row>
    <row r="53" spans="1:12">
      <c r="A53" s="45"/>
      <c r="B53" s="45"/>
      <c r="C53" s="45"/>
      <c r="D53" s="48"/>
      <c r="E53" s="44"/>
      <c r="F53" s="44"/>
      <c r="G53" s="48"/>
      <c r="H53" s="47"/>
      <c r="I53" s="47"/>
      <c r="J53" s="45"/>
      <c r="K53" s="49"/>
      <c r="L53" s="46"/>
    </row>
    <row r="54" spans="1:12">
      <c r="A54" s="50"/>
      <c r="B54" s="50"/>
      <c r="C54" s="50"/>
      <c r="D54" s="51"/>
      <c r="E54" s="52"/>
      <c r="F54" s="52"/>
      <c r="G54" s="51"/>
      <c r="H54" s="50"/>
      <c r="I54" s="50"/>
      <c r="J54" s="46"/>
      <c r="K54" s="46"/>
      <c r="L54" s="46"/>
    </row>
    <row r="55" spans="1:12">
      <c r="A55" s="50"/>
      <c r="B55" s="50"/>
      <c r="C55" s="50"/>
      <c r="D55" s="51"/>
      <c r="E55" s="52"/>
      <c r="F55" s="52"/>
      <c r="G55" s="51"/>
      <c r="H55" s="50"/>
      <c r="I55" s="50"/>
      <c r="J55" s="46"/>
      <c r="K55" s="46"/>
      <c r="L55" s="46"/>
    </row>
    <row r="56" spans="1:12">
      <c r="A56" s="45"/>
      <c r="B56" s="45"/>
      <c r="C56" s="45"/>
      <c r="D56" s="48"/>
      <c r="E56" s="44"/>
      <c r="F56" s="44"/>
      <c r="G56" s="48"/>
      <c r="H56" s="47"/>
      <c r="I56" s="47"/>
      <c r="J56" s="45"/>
      <c r="K56" s="46"/>
      <c r="L56" s="46"/>
    </row>
    <row r="57" spans="1:12">
      <c r="A57" s="45"/>
      <c r="B57" s="45"/>
      <c r="C57" s="45"/>
      <c r="D57" s="48"/>
      <c r="E57" s="44"/>
      <c r="F57" s="44"/>
      <c r="G57" s="48"/>
      <c r="H57" s="47"/>
      <c r="I57" s="47"/>
      <c r="J57" s="45"/>
      <c r="K57" s="46"/>
      <c r="L57" s="46"/>
    </row>
    <row r="58" spans="1:12">
      <c r="A58" s="45"/>
      <c r="B58" s="45"/>
      <c r="C58" s="45"/>
      <c r="D58" s="48"/>
      <c r="E58" s="44"/>
      <c r="F58" s="44"/>
      <c r="G58" s="48"/>
      <c r="H58" s="47"/>
      <c r="I58" s="47"/>
      <c r="J58" s="45"/>
      <c r="K58" s="46"/>
      <c r="L58" s="46"/>
    </row>
    <row r="59" spans="1:12">
      <c r="A59" s="50"/>
      <c r="B59" s="50"/>
      <c r="C59" s="50"/>
      <c r="D59" s="51"/>
      <c r="E59" s="52"/>
      <c r="F59" s="52"/>
      <c r="G59" s="51"/>
      <c r="H59" s="50"/>
      <c r="I59" s="50"/>
      <c r="J59" s="46"/>
      <c r="K59" s="46"/>
      <c r="L59" s="46"/>
    </row>
    <row r="60" spans="1:12">
      <c r="A60" s="50"/>
      <c r="B60" s="50"/>
      <c r="C60" s="50"/>
      <c r="D60" s="51"/>
      <c r="E60" s="52"/>
      <c r="F60" s="52"/>
      <c r="G60" s="51"/>
      <c r="H60" s="50"/>
      <c r="I60" s="50"/>
      <c r="J60" s="46"/>
      <c r="K60" s="46"/>
      <c r="L60" s="46"/>
    </row>
    <row r="61" spans="1:12">
      <c r="A61" s="45"/>
      <c r="B61" s="45"/>
      <c r="C61" s="45"/>
      <c r="D61" s="48"/>
      <c r="E61" s="44"/>
      <c r="F61" s="44"/>
      <c r="G61" s="48"/>
      <c r="H61" s="47"/>
      <c r="I61" s="47"/>
      <c r="J61" s="45"/>
      <c r="K61" s="46"/>
      <c r="L61" s="46"/>
    </row>
    <row r="62" spans="1:12">
      <c r="A62" s="50"/>
      <c r="B62" s="50"/>
      <c r="C62" s="50"/>
      <c r="D62" s="51"/>
      <c r="E62" s="52"/>
      <c r="F62" s="52"/>
      <c r="G62" s="51"/>
      <c r="H62" s="50"/>
      <c r="I62" s="50"/>
      <c r="J62" s="46"/>
      <c r="K62" s="46"/>
      <c r="L62" s="46"/>
    </row>
    <row r="63" spans="1:12">
      <c r="A63" s="50"/>
      <c r="B63" s="50"/>
      <c r="C63" s="50"/>
      <c r="D63" s="51"/>
      <c r="E63" s="52"/>
      <c r="F63" s="52"/>
      <c r="G63" s="51"/>
      <c r="H63" s="50"/>
      <c r="I63" s="50"/>
      <c r="J63" s="46"/>
      <c r="K63" s="46"/>
      <c r="L63" s="46"/>
    </row>
    <row r="64" spans="1:12">
      <c r="A64" s="50"/>
      <c r="B64" s="50"/>
      <c r="C64" s="50"/>
      <c r="D64" s="51"/>
      <c r="E64" s="52"/>
      <c r="F64" s="52"/>
      <c r="G64" s="51"/>
      <c r="H64" s="50"/>
      <c r="I64" s="50"/>
      <c r="J64" s="46"/>
      <c r="K64" s="46"/>
      <c r="L64" s="46"/>
    </row>
    <row r="65" spans="1:12">
      <c r="A65" s="50"/>
      <c r="B65" s="50"/>
      <c r="C65" s="50"/>
      <c r="D65" s="51"/>
      <c r="E65" s="52"/>
      <c r="F65" s="52"/>
      <c r="G65" s="51"/>
      <c r="H65" s="50"/>
      <c r="I65" s="50"/>
      <c r="J65" s="46"/>
      <c r="K65" s="46"/>
      <c r="L65" s="46"/>
    </row>
    <row r="66" spans="1:12">
      <c r="A66" s="45"/>
      <c r="B66" s="45"/>
      <c r="C66" s="45"/>
      <c r="D66" s="48"/>
      <c r="E66" s="44"/>
      <c r="F66" s="44"/>
      <c r="G66" s="48"/>
      <c r="H66" s="47"/>
      <c r="I66" s="47"/>
      <c r="J66" s="45"/>
      <c r="K66" s="46"/>
      <c r="L66" s="46"/>
    </row>
    <row r="67" spans="1:12">
      <c r="A67" s="45"/>
      <c r="B67" s="45"/>
      <c r="C67" s="45"/>
      <c r="D67" s="48"/>
      <c r="E67" s="44"/>
      <c r="F67" s="44"/>
      <c r="G67" s="48"/>
      <c r="H67" s="47"/>
      <c r="I67" s="47"/>
      <c r="J67" s="45"/>
      <c r="K67" s="46"/>
      <c r="L67" s="46"/>
    </row>
    <row r="68" spans="1:12">
      <c r="A68" s="45"/>
      <c r="B68" s="45"/>
      <c r="C68" s="45"/>
      <c r="D68" s="48"/>
      <c r="E68" s="44"/>
      <c r="F68" s="44"/>
      <c r="G68" s="48"/>
      <c r="H68" s="47"/>
      <c r="I68" s="47"/>
      <c r="J68" s="45"/>
      <c r="K68" s="46"/>
      <c r="L68" s="46"/>
    </row>
    <row r="69" spans="1:12">
      <c r="A69" s="45"/>
      <c r="B69" s="45"/>
      <c r="C69" s="45"/>
      <c r="D69" s="48"/>
      <c r="E69" s="44"/>
      <c r="F69" s="44"/>
      <c r="G69" s="48"/>
      <c r="H69" s="47"/>
      <c r="I69" s="47"/>
      <c r="J69" s="45"/>
      <c r="K69" s="49"/>
      <c r="L69" s="46"/>
    </row>
    <row r="70" spans="1:12">
      <c r="A70" s="45"/>
      <c r="B70" s="45"/>
      <c r="C70" s="45"/>
      <c r="D70" s="48"/>
      <c r="E70" s="44"/>
      <c r="F70" s="44"/>
      <c r="G70" s="48"/>
      <c r="H70" s="47"/>
      <c r="I70" s="47"/>
      <c r="J70" s="45"/>
      <c r="K70" s="49"/>
      <c r="L70" s="46"/>
    </row>
    <row r="71" spans="1:12">
      <c r="A71" s="50"/>
      <c r="B71" s="50"/>
      <c r="C71" s="50"/>
      <c r="D71" s="51"/>
      <c r="E71" s="52"/>
      <c r="F71" s="52"/>
      <c r="G71" s="51"/>
      <c r="H71" s="50"/>
      <c r="I71" s="50"/>
      <c r="J71" s="46"/>
      <c r="K71" s="46"/>
      <c r="L71" s="46"/>
    </row>
    <row r="72" spans="1:12">
      <c r="A72" s="45"/>
      <c r="B72" s="45"/>
      <c r="C72" s="45"/>
      <c r="D72" s="48"/>
      <c r="E72" s="44"/>
      <c r="F72" s="44"/>
      <c r="G72" s="48"/>
      <c r="H72" s="47"/>
      <c r="I72" s="47"/>
      <c r="J72" s="45"/>
      <c r="K72" s="46"/>
      <c r="L72" s="46"/>
    </row>
    <row r="73" spans="1:12">
      <c r="A73" s="45"/>
      <c r="B73" s="45"/>
      <c r="C73" s="45"/>
      <c r="D73" s="48"/>
      <c r="E73" s="44"/>
      <c r="F73" s="44"/>
      <c r="G73" s="48"/>
      <c r="H73" s="47"/>
      <c r="I73" s="47"/>
      <c r="J73" s="45"/>
      <c r="K73" s="46"/>
      <c r="L73" s="46"/>
    </row>
    <row r="74" spans="1:12">
      <c r="A74" s="50"/>
      <c r="B74" s="50"/>
      <c r="C74" s="50"/>
      <c r="D74" s="51"/>
      <c r="E74" s="52"/>
      <c r="F74" s="52"/>
      <c r="G74" s="51"/>
      <c r="H74" s="50"/>
      <c r="I74" s="50"/>
      <c r="J74" s="46"/>
      <c r="K74" s="46"/>
      <c r="L74" s="46"/>
    </row>
    <row r="75" spans="1:12">
      <c r="A75" s="50"/>
      <c r="B75" s="50"/>
      <c r="C75" s="50"/>
      <c r="D75" s="51"/>
      <c r="E75" s="52"/>
      <c r="F75" s="52"/>
      <c r="G75" s="51"/>
      <c r="H75" s="50"/>
      <c r="I75" s="50"/>
      <c r="J75" s="46"/>
      <c r="K75" s="46"/>
      <c r="L75" s="46"/>
    </row>
    <row r="76" spans="1:12">
      <c r="A76" s="50"/>
      <c r="B76" s="50"/>
      <c r="C76" s="50"/>
      <c r="D76" s="51"/>
      <c r="E76" s="52"/>
      <c r="F76" s="52"/>
      <c r="G76" s="51"/>
      <c r="H76" s="50"/>
      <c r="I76" s="50"/>
      <c r="J76" s="46"/>
      <c r="K76" s="46"/>
      <c r="L76" s="46"/>
    </row>
    <row r="77" spans="1:12">
      <c r="A77" s="45"/>
      <c r="B77" s="45"/>
      <c r="C77" s="45"/>
      <c r="D77" s="48"/>
      <c r="E77" s="44"/>
      <c r="F77" s="44"/>
      <c r="G77" s="48"/>
      <c r="H77" s="47"/>
      <c r="I77" s="47"/>
      <c r="J77" s="45"/>
      <c r="K77" s="46"/>
      <c r="L77" s="46"/>
    </row>
    <row r="78" spans="1:12">
      <c r="A78" s="50"/>
      <c r="B78" s="50"/>
      <c r="C78" s="50"/>
      <c r="D78" s="51"/>
      <c r="E78" s="52"/>
      <c r="F78" s="52"/>
      <c r="G78" s="51"/>
      <c r="H78" s="50"/>
      <c r="I78" s="50"/>
      <c r="J78" s="46"/>
      <c r="K78" s="46"/>
      <c r="L78" s="46"/>
    </row>
    <row r="79" spans="1:12">
      <c r="A79" s="45"/>
      <c r="B79" s="45"/>
      <c r="C79" s="45"/>
      <c r="D79" s="48"/>
      <c r="E79" s="44"/>
      <c r="F79" s="44"/>
      <c r="G79" s="48"/>
      <c r="H79" s="47"/>
      <c r="I79" s="47"/>
      <c r="J79" s="45"/>
      <c r="K79" s="49"/>
      <c r="L79" s="46"/>
    </row>
    <row r="80" spans="1:12">
      <c r="A80" s="45"/>
      <c r="B80" s="45"/>
      <c r="C80" s="45"/>
      <c r="D80" s="48"/>
      <c r="E80" s="44"/>
      <c r="F80" s="44"/>
      <c r="G80" s="48"/>
      <c r="H80" s="47"/>
      <c r="I80" s="47"/>
      <c r="J80" s="45"/>
      <c r="K80" s="46"/>
      <c r="L80" s="46"/>
    </row>
    <row r="81" spans="1:12">
      <c r="A81" s="45"/>
      <c r="B81" s="45"/>
      <c r="C81" s="45"/>
      <c r="D81" s="48"/>
      <c r="E81" s="44"/>
      <c r="F81" s="44"/>
      <c r="G81" s="48"/>
      <c r="H81" s="47"/>
      <c r="I81" s="47"/>
      <c r="J81" s="45"/>
      <c r="K81" s="46"/>
      <c r="L81" s="46"/>
    </row>
    <row r="82" spans="1:12">
      <c r="A82" s="45"/>
      <c r="B82" s="45"/>
      <c r="C82" s="45"/>
      <c r="D82" s="48"/>
      <c r="E82" s="44"/>
      <c r="F82" s="44"/>
      <c r="G82" s="48"/>
      <c r="H82" s="47"/>
      <c r="I82" s="47"/>
      <c r="J82" s="45"/>
      <c r="K82" s="49"/>
      <c r="L82" s="46"/>
    </row>
    <row r="83" spans="1:12">
      <c r="A83" s="50"/>
      <c r="B83" s="50"/>
      <c r="C83" s="50"/>
      <c r="D83" s="51"/>
      <c r="E83" s="52"/>
      <c r="F83" s="52"/>
      <c r="G83" s="51"/>
      <c r="H83" s="50"/>
      <c r="I83" s="50"/>
      <c r="J83" s="46"/>
      <c r="K83" s="46"/>
      <c r="L83" s="46"/>
    </row>
    <row r="84" spans="1:12">
      <c r="A84" s="50"/>
      <c r="B84" s="50"/>
      <c r="C84" s="50"/>
      <c r="D84" s="51"/>
      <c r="E84" s="52"/>
      <c r="F84" s="52"/>
      <c r="G84" s="51"/>
      <c r="H84" s="50"/>
      <c r="I84" s="50"/>
      <c r="J84" s="46"/>
      <c r="K84" s="46"/>
      <c r="L84" s="46"/>
    </row>
    <row r="85" spans="1:12">
      <c r="A85" s="45"/>
      <c r="B85" s="45"/>
      <c r="C85" s="45"/>
      <c r="D85" s="48"/>
      <c r="E85" s="44"/>
      <c r="F85" s="44"/>
      <c r="G85" s="48"/>
      <c r="H85" s="47"/>
      <c r="I85" s="47"/>
      <c r="J85" s="45"/>
      <c r="K85" s="46"/>
      <c r="L85" s="46"/>
    </row>
    <row r="86" spans="1:12">
      <c r="A86" s="45"/>
      <c r="B86" s="45"/>
      <c r="C86" s="45"/>
      <c r="D86" s="48"/>
      <c r="E86" s="44"/>
      <c r="F86" s="44"/>
      <c r="G86" s="48"/>
      <c r="H86" s="47"/>
      <c r="I86" s="47"/>
      <c r="J86" s="45"/>
      <c r="K86" s="46"/>
      <c r="L86" s="46"/>
    </row>
    <row r="87" spans="1:12">
      <c r="A87" s="50"/>
      <c r="B87" s="50"/>
      <c r="C87" s="50"/>
      <c r="D87" s="51"/>
      <c r="E87" s="52"/>
      <c r="F87" s="52"/>
      <c r="G87" s="51"/>
      <c r="H87" s="50"/>
      <c r="I87" s="50"/>
      <c r="J87" s="46"/>
      <c r="K87" s="46"/>
      <c r="L87" s="46"/>
    </row>
    <row r="88" spans="1:12">
      <c r="A88" s="45"/>
      <c r="B88" s="45"/>
      <c r="C88" s="45"/>
      <c r="D88" s="48"/>
      <c r="E88" s="44"/>
      <c r="F88" s="44"/>
      <c r="G88" s="48"/>
      <c r="H88" s="47"/>
      <c r="I88" s="47"/>
      <c r="J88" s="45"/>
      <c r="K88" s="46"/>
      <c r="L88" s="46"/>
    </row>
    <row r="89" spans="1:12">
      <c r="A89" s="45"/>
      <c r="B89" s="45"/>
      <c r="C89" s="45"/>
      <c r="D89" s="48"/>
      <c r="E89" s="44"/>
      <c r="F89" s="44"/>
      <c r="G89" s="48"/>
      <c r="H89" s="47"/>
      <c r="I89" s="47"/>
      <c r="J89" s="45"/>
      <c r="K89" s="46"/>
      <c r="L89" s="46"/>
    </row>
    <row r="90" spans="1:12">
      <c r="A90" s="50"/>
      <c r="B90" s="50"/>
      <c r="C90" s="50"/>
      <c r="D90" s="51"/>
      <c r="E90" s="52"/>
      <c r="F90" s="52"/>
      <c r="G90" s="51"/>
      <c r="H90" s="50"/>
      <c r="I90" s="50"/>
      <c r="J90" s="46"/>
      <c r="K90" s="46"/>
      <c r="L90" s="46"/>
    </row>
    <row r="91" spans="1:12">
      <c r="A91" s="45"/>
      <c r="B91" s="45"/>
      <c r="C91" s="45"/>
      <c r="D91" s="48"/>
      <c r="E91" s="44"/>
      <c r="F91" s="44"/>
      <c r="G91" s="45"/>
      <c r="H91" s="47"/>
      <c r="I91" s="47"/>
      <c r="J91" s="45"/>
      <c r="K91" s="46"/>
      <c r="L91" s="46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32" bestFit="1" customWidth="1"/>
    <col min="2" max="2" width="10.5" style="31" bestFit="1" customWidth="1"/>
  </cols>
  <sheetData>
    <row r="1" spans="1:2">
      <c r="A1" s="32" t="s">
        <v>43</v>
      </c>
      <c r="B1" s="31" t="s">
        <v>95</v>
      </c>
    </row>
    <row r="2" spans="1:2">
      <c r="A2" s="32" t="s">
        <v>44</v>
      </c>
      <c r="B2" s="31">
        <v>5</v>
      </c>
    </row>
    <row r="3" spans="1:2">
      <c r="A3" s="32" t="s">
        <v>45</v>
      </c>
      <c r="B3" s="31">
        <v>5</v>
      </c>
    </row>
    <row r="4" spans="1:2">
      <c r="A4" s="32" t="s">
        <v>46</v>
      </c>
      <c r="B4" s="31">
        <v>5</v>
      </c>
    </row>
    <row r="5" spans="1:2">
      <c r="A5" s="32" t="s">
        <v>47</v>
      </c>
      <c r="B5" s="31">
        <v>5</v>
      </c>
    </row>
    <row r="6" spans="1:2">
      <c r="A6" s="32" t="s">
        <v>48</v>
      </c>
      <c r="B6" s="31">
        <v>1</v>
      </c>
    </row>
    <row r="7" spans="1:2">
      <c r="A7" s="32" t="s">
        <v>49</v>
      </c>
      <c r="B7" s="31">
        <v>1</v>
      </c>
    </row>
    <row r="8" spans="1:2">
      <c r="A8" s="32" t="s">
        <v>50</v>
      </c>
      <c r="B8" s="31">
        <v>1000</v>
      </c>
    </row>
    <row r="9" spans="1:2">
      <c r="A9" s="32" t="s">
        <v>51</v>
      </c>
      <c r="B9" s="31">
        <v>15</v>
      </c>
    </row>
    <row r="10" spans="1:2">
      <c r="A10" s="32" t="s">
        <v>52</v>
      </c>
      <c r="B10" s="31">
        <v>10</v>
      </c>
    </row>
    <row r="11" spans="1:2">
      <c r="A11" s="32" t="s">
        <v>53</v>
      </c>
      <c r="B11" s="31">
        <v>10</v>
      </c>
    </row>
    <row r="12" spans="1:2">
      <c r="A12" s="32" t="s">
        <v>54</v>
      </c>
      <c r="B12" s="31">
        <v>10</v>
      </c>
    </row>
    <row r="13" spans="1:2">
      <c r="A13" s="32" t="s">
        <v>55</v>
      </c>
      <c r="B13" s="31">
        <v>50</v>
      </c>
    </row>
    <row r="14" spans="1:2">
      <c r="A14" s="32" t="s">
        <v>56</v>
      </c>
      <c r="B14" s="31">
        <v>10</v>
      </c>
    </row>
    <row r="15" spans="1:2">
      <c r="A15" s="32" t="s">
        <v>57</v>
      </c>
      <c r="B15" s="31">
        <v>10</v>
      </c>
    </row>
    <row r="16" spans="1:2">
      <c r="A16" s="32" t="s">
        <v>58</v>
      </c>
      <c r="B16" s="31">
        <v>20</v>
      </c>
    </row>
    <row r="17" spans="1:2">
      <c r="A17" s="32" t="s">
        <v>59</v>
      </c>
      <c r="B17" s="31">
        <v>50</v>
      </c>
    </row>
    <row r="18" spans="1:2">
      <c r="A18" s="32" t="s">
        <v>60</v>
      </c>
      <c r="B18" s="31">
        <v>5</v>
      </c>
    </row>
    <row r="19" spans="1:2">
      <c r="A19" s="32" t="s">
        <v>61</v>
      </c>
      <c r="B19" s="31">
        <v>10</v>
      </c>
    </row>
    <row r="20" spans="1:2">
      <c r="A20" s="32" t="s">
        <v>62</v>
      </c>
      <c r="B20" s="31">
        <v>10</v>
      </c>
    </row>
    <row r="21" spans="1:2">
      <c r="A21" s="32" t="s">
        <v>63</v>
      </c>
      <c r="B21" s="31">
        <v>20</v>
      </c>
    </row>
    <row r="22" spans="1:2">
      <c r="A22" s="32" t="s">
        <v>64</v>
      </c>
      <c r="B22" s="31">
        <v>10</v>
      </c>
    </row>
    <row r="23" spans="1:2">
      <c r="A23" s="32" t="s">
        <v>65</v>
      </c>
      <c r="B23" s="31">
        <v>10</v>
      </c>
    </row>
    <row r="24" spans="1:2">
      <c r="A24" s="32" t="s">
        <v>66</v>
      </c>
      <c r="B24" s="31">
        <v>20</v>
      </c>
    </row>
    <row r="25" spans="1:2">
      <c r="A25" s="32" t="s">
        <v>67</v>
      </c>
      <c r="B25" s="31">
        <v>20</v>
      </c>
    </row>
    <row r="26" spans="1:2">
      <c r="A26" s="32" t="s">
        <v>68</v>
      </c>
      <c r="B26" s="31">
        <v>5</v>
      </c>
    </row>
    <row r="27" spans="1:2">
      <c r="A27" s="32" t="s">
        <v>69</v>
      </c>
      <c r="B27" s="31">
        <v>5</v>
      </c>
    </row>
    <row r="28" spans="1:2">
      <c r="A28" s="32" t="s">
        <v>70</v>
      </c>
      <c r="B28" s="31">
        <v>10</v>
      </c>
    </row>
    <row r="29" spans="1:2">
      <c r="A29" s="32" t="s">
        <v>71</v>
      </c>
      <c r="B29" s="31">
        <v>20</v>
      </c>
    </row>
    <row r="30" spans="1:2">
      <c r="A30" s="32" t="s">
        <v>72</v>
      </c>
      <c r="B30" s="31">
        <v>100</v>
      </c>
    </row>
    <row r="31" spans="1:2">
      <c r="A31" s="32" t="s">
        <v>73</v>
      </c>
      <c r="B31" s="31">
        <v>5</v>
      </c>
    </row>
    <row r="32" spans="1:2">
      <c r="A32" s="32" t="s">
        <v>74</v>
      </c>
      <c r="B32" s="31">
        <v>5</v>
      </c>
    </row>
    <row r="33" spans="1:2">
      <c r="A33" s="32" t="s">
        <v>75</v>
      </c>
      <c r="B33" s="31">
        <v>10</v>
      </c>
    </row>
    <row r="34" spans="1:2">
      <c r="A34" s="32" t="s">
        <v>76</v>
      </c>
      <c r="B34" s="31">
        <v>10</v>
      </c>
    </row>
    <row r="35" spans="1:2">
      <c r="A35" s="32" t="s">
        <v>77</v>
      </c>
      <c r="B35" s="31">
        <v>10</v>
      </c>
    </row>
    <row r="36" spans="1:2">
      <c r="A36" s="32" t="s">
        <v>78</v>
      </c>
      <c r="B36" s="31">
        <v>10</v>
      </c>
    </row>
    <row r="37" spans="1:2">
      <c r="A37" s="32" t="s">
        <v>42</v>
      </c>
      <c r="B37" s="31">
        <v>10</v>
      </c>
    </row>
    <row r="38" spans="1:2">
      <c r="A38" s="32" t="s">
        <v>79</v>
      </c>
      <c r="B38" s="31">
        <v>10</v>
      </c>
    </row>
    <row r="39" spans="1:2">
      <c r="A39" s="32" t="s">
        <v>80</v>
      </c>
      <c r="B39" s="31">
        <v>10</v>
      </c>
    </row>
    <row r="40" spans="1:2">
      <c r="A40" s="32" t="s">
        <v>81</v>
      </c>
      <c r="B40" s="31">
        <v>500</v>
      </c>
    </row>
    <row r="41" spans="1:2">
      <c r="A41" s="32" t="s">
        <v>82</v>
      </c>
      <c r="B41" s="31">
        <v>500</v>
      </c>
    </row>
    <row r="42" spans="1:2">
      <c r="A42" s="32" t="s">
        <v>83</v>
      </c>
      <c r="B42" s="31">
        <v>5</v>
      </c>
    </row>
    <row r="43" spans="1:2">
      <c r="A43" s="32" t="s">
        <v>84</v>
      </c>
      <c r="B43" s="31">
        <v>5</v>
      </c>
    </row>
    <row r="44" spans="1:2">
      <c r="A44" s="32" t="s">
        <v>85</v>
      </c>
      <c r="B44" s="31">
        <v>5</v>
      </c>
    </row>
    <row r="45" spans="1:2">
      <c r="A45" s="32" t="s">
        <v>86</v>
      </c>
      <c r="B45" s="31">
        <v>5</v>
      </c>
    </row>
    <row r="46" spans="1:2">
      <c r="A46" s="32" t="s">
        <v>87</v>
      </c>
      <c r="B46" s="31">
        <v>100</v>
      </c>
    </row>
    <row r="47" spans="1:2">
      <c r="A47" s="32" t="s">
        <v>88</v>
      </c>
      <c r="B47" s="31">
        <v>60</v>
      </c>
    </row>
    <row r="48" spans="1:2">
      <c r="A48" s="32" t="s">
        <v>89</v>
      </c>
      <c r="B48" s="31">
        <v>100</v>
      </c>
    </row>
    <row r="49" spans="1:2">
      <c r="A49" s="32" t="s">
        <v>90</v>
      </c>
      <c r="B49" s="31">
        <v>300</v>
      </c>
    </row>
    <row r="50" spans="1:2">
      <c r="A50" s="32" t="s">
        <v>91</v>
      </c>
      <c r="B50" s="31">
        <v>200</v>
      </c>
    </row>
    <row r="51" spans="1:2">
      <c r="A51" s="32" t="s">
        <v>92</v>
      </c>
      <c r="B51" s="31">
        <v>300</v>
      </c>
    </row>
    <row r="52" spans="1:2">
      <c r="A52" s="32" t="s">
        <v>93</v>
      </c>
      <c r="B52" s="31">
        <v>10000</v>
      </c>
    </row>
    <row r="53" spans="1:2">
      <c r="A53" s="32" t="s">
        <v>94</v>
      </c>
      <c r="B53" s="31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2018-04-26T01:34:40Z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